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4" autoFilterDateGrouping="1"/>
  </bookViews>
  <sheets>
    <sheet name="README" sheetId="1" state="visible" r:id="rId1"/>
    <sheet name="PEN_REGISTER" sheetId="2" state="visible" r:id="rId2"/>
    <sheet name="BATCH_REGISTER" sheetId="3" state="visible" r:id="rId3"/>
    <sheet name="FEED_PURCHASES" sheetId="4" state="visible" r:id="rId4"/>
    <sheet name="FEED_ISSUES" sheetId="5" state="visible" r:id="rId5"/>
    <sheet name="DRUG_PURCHASES" sheetId="6" state="visible" r:id="rId6"/>
    <sheet name="DRUG_USAGE" sheetId="7" state="visible" r:id="rId7"/>
    <sheet name="MORTALITY_LOG" sheetId="8" state="visible" r:id="rId8"/>
    <sheet name="PRODUCTION_LOG" sheetId="9" state="visible" r:id="rId9"/>
    <sheet name="SALES" sheetId="10" state="visible" r:id="rId10"/>
    <sheet name="OTHER_EXPENSES" sheetId="11" state="visible" r:id="rId11"/>
    <sheet name="CASHBOOK" sheetId="12" state="visible" r:id="rId12"/>
    <sheet name="INVENTORY" sheetId="13" state="visible" r:id="rId13"/>
    <sheet name="BATCH_PROFITABILITY" sheetId="14" state="visible" r:id="rId14"/>
    <sheet name="DASHBOARD" sheetId="15" state="visible" r:id="rId15"/>
    <sheet name="STOCK_MOVEMENTS" sheetId="16" state="visible" r:id="rId16"/>
    <sheet name="REPORTS" sheetId="17" state="visible" r:id="rId17"/>
    <sheet name="TRENDS" sheetId="18" state="visible" r:id="rId18"/>
    <sheet name="CHECKS" sheetId="19" state="visible" r:id="rId19"/>
    <sheet name="LISTS" sheetId="20" state="visible" r:id="rId20"/>
    <sheet name="HELPER" sheetId="21" state="hidden" r:id="rId21"/>
  </sheets>
  <definedNames>
    <definedName name="FarmName">LISTS!$B$6</definedName>
    <definedName name="ExpiryWarnDays">LISTS!$B$7</definedName>
    <definedName name="L_FeedTypes">tFeedTypes[[Feed Type]]</definedName>
    <definedName name="L_Drugs">tDrugs[[Drug Name]]</definedName>
    <definedName name="L_Units">tUnits[[Unit]]</definedName>
    <definedName name="L_Animals">tAnimalTypes[[Animal Type]]</definedName>
    <definedName name="L_Products">tProducts[[Product]]</definedName>
    <definedName name="L_ExpCat">tExpCat[[Expense Category]]</definedName>
    <definedName name="L_Pay">tPayMethods[[Payment Method]]</definedName>
    <definedName name="L_Causes">tCauses[[Mortality Cause]]</definedName>
    <definedName name="L_Meas">tMeasTypes[[Measurement Type]]</definedName>
    <definedName name="L_Reasons">tDrugReasons[[Drug Reason]]</definedName>
    <definedName name="L_MoveTypes">tMoveTypes[[Movement Type]]</definedName>
    <definedName name="L_CashTypes">tCashTypes[[Cash Type]]</definedName>
    <definedName name="L_Staff">tStaff[[Staff]]</definedName>
    <definedName name="L_Customers">tCustomers[[Customer]]</definedName>
    <definedName name="L_Suppliers">tSuppliers[[Supplier]]</definedName>
    <definedName name="L_Pens">tPens[[Pen ID]]</definedName>
    <definedName name="L_Batches">tBatches[[Batch ID]]</definedName>
    <definedName name="L_PensGen">OFFSET(HELPER!$A$2,0,0,COUNTA(tPens[[Pen ID]])+1,1)</definedName>
    <definedName name="L_PenFilter">OFFSET(HELPER!$B$2,0,0,COUNTA(tPens[[Pen ID]])+1,1)</definedName>
    <definedName name="L_BatchFilter">OFFSET(HELPER!$C$2,0,0,COUNTA(tBatches[[Batch ID]])+1,1)</definedName>
    <definedName name="L_AnimalFilter">OFFSET(HELPER!$D$2,0,0,COUNTA(tAnimalTypes[[Animal Type]])+1,1)</definedName>
    <definedName name="DStart">HELPER!$G$2</definedName>
    <definedName name="DEnd">HELPER!$G$3</definedName>
    <definedName name="FPen">HELPER!$G$4</definedName>
    <definedName name="FBatch">HELPER!$G$5</definedName>
    <definedName name="FAnimal">HELPER!$G$6</definedName>
    <definedName name="FilterText">HELPER!$G$7</definedName>
    <definedName name="TrendStart">TRENDS!$C$4</definedName>
    <definedName name="DB_Period">DASHBOARD!$D$5</definedName>
    <definedName name="DB_From">DASHBOARD!$D$6</definedName>
    <definedName name="DB_To">DASHBOARD!$D$7</definedName>
    <definedName name="DB_Pen">DASHBOARD!$D$8</definedName>
    <definedName name="DB_Batch">DASHBOARD!$D$9</definedName>
    <definedName name="DB_Animal">DASHBOARD!$D$10</definedName>
    <definedName name="_xlnm._FilterDatabase" localSheetId="13" hidden="1">'BATCH_PROFITABILITY'!$A$4:$Y$304</definedName>
  </definedNames>
  <calcPr calcId="124519" fullCalcOnLoad="1"/>
</workbook>
</file>

<file path=xl/styles.xml><?xml version="1.0" encoding="utf-8"?>
<styleSheet xmlns="http://schemas.openxmlformats.org/spreadsheetml/2006/main">
  <numFmts count="10">
    <numFmt numFmtId="164" formatCode="#,##0;[Red]-#,##0;&quot;-&quot;"/>
    <numFmt numFmtId="165" formatCode="#,##0.0;[Red]-#,##0.0;&quot;-&quot;"/>
    <numFmt numFmtId="166" formatCode="DD/MM/YYYY"/>
    <numFmt numFmtId="167" formatCode="yyyy-mm-dd"/>
    <numFmt numFmtId="168" formatCode="&quot;₦&quot;#,##0;[Red]-&quot;₦&quot;#,##0;&quot;-&quot;"/>
    <numFmt numFmtId="169" formatCode="&quot;₦&quot;#,##0.00;[Red]-&quot;₦&quot;#,##0.00;&quot;-&quot;"/>
    <numFmt numFmtId="170" formatCode="0.000;-0.000;&quot;-&quot;"/>
    <numFmt numFmtId="171" formatCode="0.0%;-0.0%;&quot;-&quot;"/>
    <numFmt numFmtId="172" formatCode="#,##0.00;[Red]-#,##0.00;&quot;-&quot;"/>
    <numFmt numFmtId="173" formatCode="mmm yyyy"/>
  </numFmts>
  <fonts count="12">
    <font>
      <name val="Calibri"/>
      <family val="2"/>
      <color theme="1"/>
      <sz val="11"/>
      <scheme val="minor"/>
    </font>
    <font>
      <name val="Arial"/>
      <b val="1"/>
      <color rgb="001F5130"/>
      <sz val="16"/>
    </font>
    <font>
      <name val="Arial"/>
      <i val="1"/>
      <color rgb="00595959"/>
      <sz val="10"/>
    </font>
    <font>
      <name val="Arial"/>
      <color rgb="00595959"/>
      <sz val="9"/>
    </font>
    <font>
      <name val="Arial"/>
      <b val="1"/>
      <color rgb="001F5130"/>
      <sz val="12"/>
    </font>
    <font>
      <name val="Arial"/>
      <b val="1"/>
      <sz val="10"/>
    </font>
    <font>
      <name val="Arial"/>
      <color rgb="000000FF"/>
      <sz val="10"/>
    </font>
    <font>
      <name val="Arial"/>
      <sz val="10"/>
    </font>
    <font>
      <name val="Arial"/>
      <b val="1"/>
      <color rgb="00FFFFFF"/>
      <sz val="10"/>
    </font>
    <font>
      <name val="Arial"/>
      <b val="1"/>
      <color rgb="001F5130"/>
      <sz val="18"/>
    </font>
    <font>
      <name val="Arial"/>
      <b val="1"/>
      <color rgb="00000000"/>
      <sz val="12"/>
    </font>
    <font>
      <name val="Arial"/>
      <b val="1"/>
      <i val="1"/>
      <color rgb="00595959"/>
      <sz val="11"/>
    </font>
  </fonts>
  <fills count="7">
    <fill>
      <patternFill/>
    </fill>
    <fill>
      <patternFill patternType="gray125"/>
    </fill>
    <fill>
      <patternFill patternType="solid">
        <fgColor rgb="00FFF2CC"/>
      </patternFill>
    </fill>
    <fill>
      <patternFill patternType="solid">
        <fgColor rgb="001F5130"/>
      </patternFill>
    </fill>
    <fill>
      <patternFill patternType="solid">
        <fgColor rgb="00595959"/>
      </patternFill>
    </fill>
    <fill>
      <patternFill patternType="solid">
        <fgColor rgb="00F2F2F2"/>
      </patternFill>
    </fill>
    <fill>
      <patternFill patternType="solid">
        <fgColor rgb="00E2EFDA"/>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65">
    <xf numFmtId="0" fontId="0" fillId="0" borderId="0" pivotButton="0" quotePrefix="0" xfId="0"/>
    <xf numFmtId="0" fontId="1" fillId="0" borderId="0" pivotButton="0" quotePrefix="0" xfId="0"/>
    <xf numFmtId="0" fontId="11" fillId="0" borderId="0" pivotButton="0" quotePrefix="0" xfId="0"/>
    <xf numFmtId="0" fontId="8" fillId="3" borderId="0" pivotButton="0" quotePrefix="0" xfId="0"/>
    <xf numFmtId="0" fontId="0" fillId="3" borderId="0" pivotButton="0" quotePrefix="0" xfId="0"/>
    <xf numFmtId="0" fontId="5" fillId="0" borderId="0" applyAlignment="1" pivotButton="0" quotePrefix="0" xfId="0">
      <alignment vertical="top"/>
    </xf>
    <xf numFmtId="0" fontId="7" fillId="0" borderId="0" applyAlignment="1" pivotButton="0" quotePrefix="0" xfId="0">
      <alignment vertical="top" wrapText="1"/>
    </xf>
    <xf numFmtId="0" fontId="2" fillId="0" borderId="0" pivotButton="0" quotePrefix="0" xfId="0"/>
    <xf numFmtId="0" fontId="3" fillId="0" borderId="0" pivotButton="0" quotePrefix="0" xfId="0"/>
    <xf numFmtId="0" fontId="8" fillId="3" borderId="0" applyAlignment="1" pivotButton="0" quotePrefix="0" xfId="0">
      <alignment horizontal="center" vertical="center" wrapText="1"/>
    </xf>
    <xf numFmtId="0" fontId="8" fillId="4" borderId="0" applyAlignment="1" pivotButton="0" quotePrefix="0" xfId="0">
      <alignment horizontal="center" vertical="center" wrapText="1"/>
    </xf>
    <xf numFmtId="49" fontId="7" fillId="0" borderId="0" pivotButton="0" quotePrefix="0" xfId="0"/>
    <xf numFmtId="0" fontId="7" fillId="0" borderId="0" pivotButton="0" quotePrefix="0" xfId="0"/>
    <xf numFmtId="0" fontId="7" fillId="5" borderId="0" pivotButton="0" quotePrefix="0" xfId="0"/>
    <xf numFmtId="166" fontId="7" fillId="5" borderId="0" pivotButton="0" quotePrefix="0" xfId="0"/>
    <xf numFmtId="164" fontId="7" fillId="5" borderId="0" pivotButton="0" quotePrefix="0" xfId="0"/>
    <xf numFmtId="166" fontId="7" fillId="0" borderId="0" pivotButton="0" quotePrefix="0" xfId="0"/>
    <xf numFmtId="164" fontId="7" fillId="0" borderId="0" pivotButton="0" quotePrefix="0" xfId="0"/>
    <xf numFmtId="165" fontId="7" fillId="0" borderId="0" pivotButton="0" quotePrefix="0" xfId="0"/>
    <xf numFmtId="165" fontId="7" fillId="5" borderId="0" pivotButton="0" quotePrefix="0" xfId="0"/>
    <xf numFmtId="168" fontId="7" fillId="0" borderId="0" pivotButton="0" quotePrefix="0" xfId="0"/>
    <xf numFmtId="168" fontId="7" fillId="5" borderId="0" pivotButton="0" quotePrefix="0" xfId="0"/>
    <xf numFmtId="169" fontId="7" fillId="5" borderId="0" pivotButton="0" quotePrefix="0" xfId="0"/>
    <xf numFmtId="169" fontId="7" fillId="0" borderId="0" pivotButton="0" quotePrefix="0" xfId="0"/>
    <xf numFmtId="170" fontId="7" fillId="0" borderId="0" pivotButton="0" quotePrefix="0" xfId="0"/>
    <xf numFmtId="0" fontId="4" fillId="0" borderId="0" pivotButton="0" quotePrefix="0" xfId="0"/>
    <xf numFmtId="0" fontId="8" fillId="4" borderId="1" applyAlignment="1" pivotButton="0" quotePrefix="0" xfId="0">
      <alignment horizontal="center" vertical="center" wrapText="1"/>
    </xf>
    <xf numFmtId="0" fontId="5" fillId="0" borderId="1" pivotButton="0" quotePrefix="0" xfId="0"/>
    <xf numFmtId="165" fontId="7" fillId="0" borderId="1" pivotButton="0" quotePrefix="0" xfId="0"/>
    <xf numFmtId="168" fontId="7" fillId="0" borderId="1" pivotButton="0" quotePrefix="0" xfId="0"/>
    <xf numFmtId="169" fontId="7" fillId="0" borderId="1" pivotButton="0" quotePrefix="0" xfId="0"/>
    <xf numFmtId="166" fontId="7" fillId="0" borderId="1" pivotButton="0" quotePrefix="0" xfId="0"/>
    <xf numFmtId="0" fontId="5" fillId="6" borderId="1" pivotButton="0" quotePrefix="0" xfId="0"/>
    <xf numFmtId="165" fontId="5" fillId="6" borderId="1" pivotButton="0" quotePrefix="0" xfId="0"/>
    <xf numFmtId="168" fontId="5" fillId="6" borderId="1" pivotButton="0" quotePrefix="0" xfId="0"/>
    <xf numFmtId="0" fontId="7" fillId="6" borderId="1" pivotButton="0" quotePrefix="0" xfId="0"/>
    <xf numFmtId="0" fontId="7" fillId="0" borderId="1" pivotButton="0" quotePrefix="0" xfId="0"/>
    <xf numFmtId="164" fontId="5" fillId="6" borderId="1" pivotButton="0" quotePrefix="0" xfId="0"/>
    <xf numFmtId="171" fontId="5" fillId="6" borderId="1" pivotButton="0" quotePrefix="0" xfId="0"/>
    <xf numFmtId="164" fontId="7" fillId="0" borderId="1" pivotButton="0" quotePrefix="0" xfId="0"/>
    <xf numFmtId="171" fontId="7" fillId="0" borderId="1" pivotButton="0" quotePrefix="0" xfId="0"/>
    <xf numFmtId="168" fontId="5" fillId="0" borderId="1" pivotButton="0" quotePrefix="0" xfId="0"/>
    <xf numFmtId="172" fontId="7" fillId="0" borderId="1" pivotButton="0" quotePrefix="0" xfId="0"/>
    <xf numFmtId="170" fontId="7" fillId="0" borderId="1" pivotButton="0" quotePrefix="0" xfId="0"/>
    <xf numFmtId="0" fontId="9" fillId="0" borderId="0" pivotButton="0" quotePrefix="0" xfId="0"/>
    <xf numFmtId="0" fontId="0" fillId="0" borderId="4" pivotButton="0" quotePrefix="0" xfId="0"/>
    <xf numFmtId="0" fontId="6" fillId="2" borderId="1" applyProtection="1" pivotButton="0" quotePrefix="0" xfId="0">
      <protection locked="0" hidden="0"/>
    </xf>
    <xf numFmtId="0" fontId="5" fillId="0" borderId="0" pivotButton="0" quotePrefix="0" xfId="0"/>
    <xf numFmtId="166" fontId="6" fillId="2" borderId="1" applyProtection="1" pivotButton="0" quotePrefix="0" xfId="0">
      <protection locked="0" hidden="0"/>
    </xf>
    <xf numFmtId="164" fontId="10" fillId="0" borderId="1" pivotButton="0" quotePrefix="0" xfId="0"/>
    <xf numFmtId="0" fontId="8" fillId="3" borderId="1" pivotButton="0" quotePrefix="0" xfId="0"/>
    <xf numFmtId="0" fontId="7" fillId="3" borderId="1" pivotButton="0" quotePrefix="0" xfId="0"/>
    <xf numFmtId="164" fontId="10" fillId="0" borderId="1" applyAlignment="1" pivotButton="0" quotePrefix="0" xfId="0">
      <alignment horizontal="right"/>
    </xf>
    <xf numFmtId="168" fontId="10" fillId="0" borderId="1" applyAlignment="1" pivotButton="0" quotePrefix="0" xfId="0">
      <alignment horizontal="right"/>
    </xf>
    <xf numFmtId="171" fontId="10" fillId="0" borderId="1" applyAlignment="1" pivotButton="0" quotePrefix="0" xfId="0">
      <alignment horizontal="right"/>
    </xf>
    <xf numFmtId="165" fontId="10" fillId="0" borderId="1" applyAlignment="1" pivotButton="0" quotePrefix="0" xfId="0">
      <alignment horizontal="right"/>
    </xf>
    <xf numFmtId="170" fontId="10" fillId="0" borderId="1" applyAlignment="1" pivotButton="0" quotePrefix="0" xfId="0">
      <alignment horizontal="right"/>
    </xf>
    <xf numFmtId="168" fontId="10" fillId="6" borderId="1" applyAlignment="1" pivotButton="0" quotePrefix="0" xfId="0">
      <alignment horizontal="right"/>
    </xf>
    <xf numFmtId="168" fontId="7" fillId="6" borderId="1" pivotButton="0" quotePrefix="0" xfId="0"/>
    <xf numFmtId="0" fontId="2" fillId="0" borderId="1" pivotButton="0" quotePrefix="0" xfId="0"/>
    <xf numFmtId="173" fontId="6" fillId="2" borderId="1" applyProtection="1" pivotButton="0" quotePrefix="0" xfId="0">
      <protection locked="0" hidden="0"/>
    </xf>
    <xf numFmtId="164" fontId="10" fillId="6" borderId="1" pivotButton="0" quotePrefix="0" xfId="0"/>
    <xf numFmtId="0" fontId="6" fillId="2" borderId="0" pivotButton="0" quotePrefix="0" xfId="0"/>
    <xf numFmtId="164" fontId="6" fillId="2" borderId="0" pivotButton="0" quotePrefix="0" xfId="0"/>
    <xf numFmtId="166" fontId="0" fillId="0" borderId="0" pivotButton="0" quotePrefix="0" xfId="0"/>
  </cellXfs>
  <cellStyles count="1">
    <cellStyle name="Normal" xfId="0" builtinId="0" hidden="0"/>
  </cellStyles>
  <dxfs count="10">
    <dxf>
      <font>
        <name val="Arial"/>
        <b val="1"/>
        <color rgb="009C0006"/>
        <sz val="10"/>
      </font>
      <fill>
        <patternFill patternType="solid">
          <fgColor rgb="00F8CBAD"/>
        </patternFill>
      </fill>
    </dxf>
    <dxf>
      <font>
        <name val="Arial"/>
        <color rgb="00006100"/>
        <sz val="10"/>
      </font>
    </dxf>
    <dxf>
      <fill>
        <patternFill patternType="solid">
          <fgColor rgb="00C6EFCE"/>
        </patternFill>
      </fill>
    </dxf>
    <dxf>
      <fill>
        <patternFill patternType="solid">
          <fgColor rgb="00FFE699"/>
        </patternFill>
      </fill>
    </dxf>
    <dxf>
      <fill>
        <patternFill patternType="solid">
          <fgColor rgb="00D9D9D9"/>
        </patternFill>
      </fill>
    </dxf>
    <dxf>
      <fill>
        <patternFill patternType="solid">
          <fgColor rgb="00F8CBAD"/>
        </patternFill>
      </fill>
    </dxf>
    <dxf>
      <font>
        <name val="Arial"/>
        <b val="1"/>
        <color rgb="009C0006"/>
      </font>
      <fill>
        <patternFill patternType="solid">
          <fgColor rgb="00F8CBAD"/>
        </patternFill>
      </fill>
    </dxf>
    <dxf>
      <font>
        <name val="Arial"/>
        <b val="1"/>
        <color rgb="009C5700"/>
      </font>
      <fill>
        <patternFill patternType="solid">
          <fgColor rgb="00FFE699"/>
        </patternFill>
      </fill>
    </dxf>
    <dxf>
      <font>
        <name val="Arial"/>
        <color rgb="00006100"/>
      </font>
    </dxf>
    <dxf>
      <font>
        <name val="Arial"/>
        <b val="1"/>
        <color rgb="009C0006"/>
        <sz val="12"/>
      </font>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p>
            <a:pPr>
              <a:defRPr/>
            </a:pPr>
            <a:r>
              <a:t>Revenue vs total cost (last 12 months)</a:t>
            </a:r>
          </a:p>
        </rich>
      </tx>
    </title>
    <plotArea>
      <barChart>
        <barDir val="col"/>
        <grouping val="clustered"/>
        <ser>
          <idx val="0"/>
          <order val="0"/>
          <tx>
            <strRef>
              <f>'TRENDS'!I6</f>
            </strRef>
          </tx>
          <spPr>
            <a:ln>
              <a:prstDash val="solid"/>
            </a:ln>
          </spPr>
          <cat>
            <numRef>
              <f>'TRENDS'!$A$7:$A$18</f>
            </numRef>
          </cat>
          <val>
            <numRef>
              <f>'TRENDS'!$I$7:$I$18</f>
            </numRef>
          </val>
        </ser>
        <ser>
          <idx val="1"/>
          <order val="1"/>
          <tx>
            <strRef>
              <f>'TRENDS'!H6</f>
            </strRef>
          </tx>
          <spPr>
            <a:ln>
              <a:prstDash val="solid"/>
            </a:ln>
          </spPr>
          <cat>
            <numRef>
              <f>'TRENDS'!$A$7:$A$18</f>
            </numRef>
          </cat>
          <val>
            <numRef>
              <f>'TRENDS'!$H$7:$H$18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Feed consumption (kg per month)</a:t>
            </a:r>
          </a:p>
        </rich>
      </tx>
    </title>
    <plotArea>
      <lineChart>
        <grouping val="standard"/>
        <ser>
          <idx val="0"/>
          <order val="0"/>
          <tx>
            <strRef>
              <f>'TRENDS'!D6</f>
            </strRef>
          </tx>
          <spPr>
            <a:ln>
              <a:prstDash val="solid"/>
            </a:ln>
          </spPr>
          <marker>
            <symbol val="none"/>
            <spPr>
              <a:ln>
                <a:prstDash val="solid"/>
              </a:ln>
            </spPr>
          </marker>
          <cat>
            <numRef>
              <f>'TRENDS'!$A$7:$A$18</f>
            </numRef>
          </cat>
          <val>
            <numRef>
              <f>'TRENDS'!$D$7:$D$18</f>
            </numRef>
          </val>
          <smooth val="0"/>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kg</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Mortality trend (deaths per month)</a:t>
            </a:r>
          </a:p>
        </rich>
      </tx>
    </title>
    <plotArea>
      <barChart>
        <barDir val="col"/>
        <grouping val="clustered"/>
        <ser>
          <idx val="0"/>
          <order val="0"/>
          <tx>
            <strRef>
              <f>'TRENDS'!K6</f>
            </strRef>
          </tx>
          <spPr>
            <a:ln>
              <a:prstDash val="solid"/>
            </a:ln>
          </spPr>
          <cat>
            <numRef>
              <f>'TRENDS'!$A$7:$A$18</f>
            </numRef>
          </cat>
          <val>
            <numRef>
              <f>'TRENDS'!$K$7:$K$18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Deaths</a:t>
                </a:r>
              </a:p>
            </rich>
          </tx>
        </title>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Sales trend (₦ per month)</a:t>
            </a:r>
          </a:p>
        </rich>
      </tx>
    </title>
    <plotArea>
      <lineChart>
        <grouping val="standard"/>
        <ser>
          <idx val="0"/>
          <order val="0"/>
          <tx>
            <strRef>
              <f>'TRENDS'!I6</f>
            </strRef>
          </tx>
          <spPr>
            <a:ln>
              <a:prstDash val="solid"/>
            </a:ln>
          </spPr>
          <marker>
            <symbol val="none"/>
            <spPr>
              <a:ln>
                <a:prstDash val="solid"/>
              </a:ln>
            </spPr>
          </marker>
          <cat>
            <numRef>
              <f>'TRENDS'!$A$7:$A$18</f>
            </numRef>
          </cat>
          <val>
            <numRef>
              <f>'TRENDS'!$I$7:$I$18</f>
            </numRef>
          </val>
          <smooth val="0"/>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a:t>
                </a:r>
              </a:p>
            </rich>
          </tx>
        </title>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Feed in store (kg) by feed type</a:t>
            </a:r>
          </a:p>
        </rich>
      </tx>
    </title>
    <plotArea>
      <barChart>
        <barDir val="bar"/>
        <grouping val="clustered"/>
        <ser>
          <idx val="0"/>
          <order val="0"/>
          <tx>
            <strRef>
              <f>'INVENTORY'!F5</f>
            </strRef>
          </tx>
          <spPr>
            <a:ln>
              <a:prstDash val="solid"/>
            </a:ln>
          </spPr>
          <cat>
            <numRef>
              <f>'INVENTORY'!$A$6:$A$25</f>
            </numRef>
          </cat>
          <val>
            <numRef>
              <f>'INVENTORY'!$F$6:$F$25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System</author>
  </authors>
  <commentList>
    <comment ref="A4" authorId="0" shapeId="0">
      <text>
        <t>Permanent, unique ID e.g. P001. Never reuse or rename once records exist.</t>
      </text>
    </comment>
    <comment ref="J4" authorId="0" shapeId="0">
      <text>
        <t>Set to Yes only if the pen is permanently out of use.</t>
      </text>
    </comment>
  </commentList>
</comments>
</file>

<file path=xl/comments/comment2.xml><?xml version="1.0" encoding="utf-8"?>
<comments xmlns="http://schemas.openxmlformats.org/spreadsheetml/2006/main">
  <authors>
    <author>System</author>
  </authors>
  <commentList>
    <comment ref="A4" authorId="0" shapeId="0">
      <text>
        <t>Unique ID e.g. BROILER-SEP-001. Never reuse.</t>
      </text>
    </comment>
  </commentList>
</comments>
</file>

<file path=xl/comments/comment3.xml><?xml version="1.0" encoding="utf-8"?>
<comments xmlns="http://schemas.openxmlformats.org/spreadsheetml/2006/main">
  <authors>
    <author>System</author>
  </authors>
  <commentList>
    <comment ref="O4" authorId="0" shapeId="0">
      <text>
        <t>Stock of this item still in store just before this purchase (earlier purchases - issues before this date).</t>
      </text>
    </comment>
    <comment ref="P4" authorId="0" shapeId="0">
      <text>
        <t>Moving weighted-average cost after this purchase = (stock before x previous average + this purchase cost) / (stock before + this quantity). Used to cost every issue until the next purchase.</t>
      </text>
    </comment>
  </commentList>
</comments>
</file>

<file path=xl/comments/comment4.xml><?xml version="1.0" encoding="utf-8"?>
<comments xmlns="http://schemas.openxmlformats.org/spreadsheetml/2006/main">
  <authors>
    <author>System</author>
  </authors>
  <commentList>
    <comment ref="G4" authorId="0" shapeId="0">
      <text>
        <t>Moving weighted-average cost of this feed type in store on the issue date (from FEED_PURCHASES).</t>
      </text>
    </comment>
    <comment ref="L4" authorId="0" shapeId="0">
      <text>
        <t>Feed of this type left in store at the end of this date after all issues on or before it.</t>
      </text>
    </comment>
  </commentList>
</comments>
</file>

<file path=xl/comments/comment5.xml><?xml version="1.0" encoding="utf-8"?>
<comments xmlns="http://schemas.openxmlformats.org/spreadsheetml/2006/main">
  <authors>
    <author>System</author>
  </authors>
  <commentList>
    <comment ref="F4" authorId="0" shapeId="0">
      <text>
        <t>Enter in the drug's Stock Unit (see Unit column / LISTS).</t>
      </text>
    </comment>
    <comment ref="K4" authorId="0" shapeId="0">
      <text>
        <t>Manufacturer lot/batch number. Quote it on DRUG_USAGE to track the lot.</t>
      </text>
    </comment>
    <comment ref="P4" authorId="0" shapeId="0">
      <text>
        <t>Stock of this item still in store just before this purchase (earlier purchases - issues before this date).</t>
      </text>
    </comment>
    <comment ref="Q4" authorId="0" shapeId="0">
      <text>
        <t>Moving weighted-average cost after this purchase = (stock before x previous average + this purchase cost) / (stock before + this quantity). Used to cost every issue until the next purchase.</t>
      </text>
    </comment>
  </commentList>
</comments>
</file>

<file path=xl/comments/comment6.xml><?xml version="1.0" encoding="utf-8"?>
<comments xmlns="http://schemas.openxmlformats.org/spreadsheetml/2006/main">
  <authors>
    <author>System</author>
  </authors>
  <commentList>
    <comment ref="G4" authorId="0" shapeId="0">
      <text>
        <t>Free text, e.g. 10 ml per 20 litres</t>
      </text>
    </comment>
    <comment ref="H4" authorId="0" shapeId="0">
      <text>
        <t>Total quantity taken from stock, in the drug's Stock Unit.</t>
      </text>
    </comment>
    <comment ref="J4" authorId="0" shapeId="0">
      <text>
        <t>Moving weighted-average cost of this drug in store on the usage date (from DRUG_PURCHASES).</t>
      </text>
    </comment>
  </commentList>
</comments>
</file>

<file path=xl/comments/comment7.xml><?xml version="1.0" encoding="utf-8"?>
<comments xmlns="http://schemas.openxmlformats.org/spreadsheetml/2006/main">
  <authors>
    <author>System</author>
  </authors>
  <commentList>
    <comment ref="F4" authorId="0" shapeId="0">
      <text>
        <t>Record only what was observed/diagnosed. Use Unknown when unsure.</t>
      </text>
    </comment>
  </commentList>
</comments>
</file>

<file path=xl/comments/comment8.xml><?xml version="1.0" encoding="utf-8"?>
<comments xmlns="http://schemas.openxmlformats.org/spreadsheetml/2006/main">
  <authors>
    <author>System</author>
  </authors>
  <commentList>
    <comment ref="F4" authorId="0" shapeId="0">
      <text>
        <t>Output quantity, e.g. crates of eggs collected. Leave blank for weighing.</t>
      </text>
    </comment>
    <comment ref="H4" authorId="0" shapeId="0">
      <text>
        <t>Average live weight per animal (kg) for Weighing records.</t>
      </text>
    </comment>
  </commentList>
</comments>
</file>

<file path=xl/comments/comment9.xml><?xml version="1.0" encoding="utf-8"?>
<comments xmlns="http://schemas.openxmlformats.org/spreadsheetml/2006/main">
  <authors>
    <author>System</author>
  </authors>
  <commentList>
    <comment ref="C4" authorId="0" shapeId="0">
      <text>
        <t>Pen the product came from, or GENERAL for farm-wide products.</t>
      </text>
    </comment>
    <comment ref="N4" authorId="0" shapeId="0">
      <text>
        <t>Animals leaving the batch because of this sale (only for products marked 'Reduces Head Count').</t>
      </text>
    </comment>
  </commentList>
</comments>
</file>

<file path=xl/comments/comment10.xml><?xml version="1.0" encoding="utf-8"?>
<comments xmlns="http://schemas.openxmlformats.org/spreadsheetml/2006/main">
  <authors>
    <author>System</author>
  </authors>
  <commentList>
    <comment ref="E4" authorId="0" shapeId="0">
      <text>
        <t>Pen ID for a pen-specific cost, GENERAL for farm-wide.</t>
      </text>
    </comment>
    <comment ref="F4" authorId="0" shapeId="0">
      <text>
        <t>Fill in to include this cost in the batch's profitability (e.g. chicks, litter).</t>
      </text>
    </comment>
    <comment ref="K4" authorId="0" shapeId="0">
      <text>
        <t>Batch direct = in BATCH_PROFITABILITY. Pen-level = in pen totals only. General = farm totals only.</t>
      </text>
    </comment>
  </commentList>
</comments>
</file>

<file path=xl/comments/comment11.xml><?xml version="1.0" encoding="utf-8"?>
<comments xmlns="http://schemas.openxmlformats.org/spreadsheetml/2006/main">
  <authors>
    <author>System</author>
  </authors>
  <commentList>
    <comment ref="I4" authorId="0" shapeId="0">
      <text>
        <t>Cumulative balance in row order - enter cash movements in date order.</t>
      </text>
    </comment>
  </commentList>
</comments>
</file>

<file path=xl/comments/comment12.xml><?xml version="1.0" encoding="utf-8"?>
<comments xmlns="http://schemas.openxmlformats.org/spreadsheetml/2006/main">
  <authors>
    <author>System</author>
  </authors>
  <commentList>
    <comment ref="H4" authorId="0" shapeId="0">
      <text>
        <t>For transfers: the other batch involved.</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24</row>
      <rowOff>0</rowOff>
    </from>
    <ext cx="6120000" cy="27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6120000" cy="27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5</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21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14</col>
      <colOff>0</colOff>
      <row>37</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tPens" displayName="tPens" ref="A4:L10" headerRowCount="1">
  <autoFilter ref="A4:L10"/>
  <tableColumns count="12">
    <tableColumn id="1" name="Pen ID"/>
    <tableColumn id="2" name="Pen Name"/>
    <tableColumn id="3" name="Farm/Location"/>
    <tableColumn id="4" name="Animal Type"/>
    <tableColumn id="5" name="Current Batch ID">
      <calculatedColumnFormula>IF(COUNTIFS(tBatches[[Pen ID]],tPens[[#This Row],[Pen ID]],tBatches[[Status]],"Active")=0,"",IF(COUNTIFS(tBatches[[Pen ID]],tPens[[#This Row],[Pen ID]],tBatches[[Status]],"Active")=1,INDEX(tBatches[[Batch ID]],MATCH(tPens[[#This Row],[Pen ID]],tBatches[[Active Pen Key]],0)),INDEX(tBatches[[Batch ID]],MATCH(tPens[[#This Row],[Pen ID]],tBatches[[Active Pen Key]],0))&amp;" +"&amp;(COUNTIFS(tBatches[[Pen ID]],tPens[[#This Row],[Pen ID]],tBatches[[Status]],"Active")-1)&amp;" more"))</calculatedColumnFormula>
    </tableColumn>
    <tableColumn id="6" name="Start Date">
      <calculatedColumnFormula>IF(COUNTIFS(tBatches[[Pen ID]],tPens[[#This Row],[Pen ID]],tBatches[[Status]],"Active")=0,"",_xlfn.MINIFS(tBatches[[Batch Start Date]],tBatches[[Pen ID]],tPens[[#This Row],[Pen ID]],tBatches[[Status]],"Active"))</calculatedColumnFormula>
    </tableColumn>
    <tableColumn id="7" name="Initial Stock">
      <calculatedColumnFormula>SUMIFS(tBatches[[Initial Quantity]],tBatches[[Pen ID]],tPens[[#This Row],[Pen ID]],tBatches[[Status]],"Active")</calculatedColumnFormula>
    </tableColumn>
    <tableColumn id="8" name="Current Stock">
      <calculatedColumnFormula>SUMIFS(tBatches[[Current Quantity]],tBatches[[Pen ID]],tPens[[#This Row],[Pen ID]],tBatches[[Status]],"Active")</calculatedColumnFormula>
    </tableColumn>
    <tableColumn id="9" name="Status">
      <calculatedColumnFormula>IF(tPens[[#This Row],[Pen ID]]="","",IF(tPens[[#This Row],[Pen Closed]]="Yes","Closed",IF(COUNTIFS(tBatches[[Pen ID]],tPens[[#This Row],[Pen ID]],tBatches[[Status]],"Active")&gt;0,"Active","Empty")))</calculatedColumnFormula>
    </tableColumn>
    <tableColumn id="10" name="Pen Closed"/>
    <tableColumn id="11" name="Notes"/>
    <tableColumn id="12" name="Check">
      <calculatedColumnFormula>IF(AND(tPens[[#This Row],[Pen ID]]=""),"",IF(COUNTIF(tPens[[Pen ID]],tPens[[#This Row],[Pen ID]])&gt;1,"Duplicate Pen ID",IF(tPens[[#This Row],[Pen ID]]="GENERAL","GENERAL is reserved - use another ID",IF(AND(tPens[[#This Row],[Pen Closed]]="Yes",COUNTIFS(tBatches[[Pen ID]],tPens[[#This Row],[Pen ID]],tBatches[[Status]],"Active")&gt;0),"Pen marked closed but has an active batch","OK"))))</calculatedColumnFormula>
    </tableColumn>
  </tableColumns>
  <tableStyleInfo name="TableStyleLight1" showRowStripes="1"/>
</table>
</file>

<file path=xl/tables/table2.xml><?xml version="1.0" encoding="utf-8"?>
<table xmlns="http://schemas.openxmlformats.org/spreadsheetml/2006/main" id="2" name="tBatches" displayName="tBatches" ref="A4:S10" headerRowCount="1">
  <autoFilter ref="A4:S10"/>
  <tableColumns count="19">
    <tableColumn id="1" name="Batch ID"/>
    <tableColumn id="2" name="Pen ID"/>
    <tableColumn id="3" name="Animal Type"/>
    <tableColumn id="4" name="Batch Start Date"/>
    <tableColumn id="5" name="Initial Quantity"/>
    <tableColumn id="6" name="Source/Supplier"/>
    <tableColumn id="7" name="Breed/Type"/>
    <tableColumn id="8" name="Current Quantity">
      <calculatedColumnFormula>tBatches[[#This Row],[Total Placed]]-tBatches[[#This Row],[Deaths]]-tBatches[[#This Row],[Heads Sold]]-tBatches[[#This Row],[Transfers Out]]</calculatedColumnFormula>
    </tableColumn>
    <tableColumn id="9" name="Closing Date"/>
    <tableColumn id="10" name="Status"/>
    <tableColumn id="11" name="Notes"/>
    <tableColumn id="12" name="Transfers In / Added">
      <calculatedColumnFormula>SUMIFS(tMoves[[Quantity In]],tMoves[[Batch ID]],tBatches[[#This Row],[Batch ID]])</calculatedColumnFormula>
    </tableColumn>
    <tableColumn id="13" name="Deaths">
      <calculatedColumnFormula>SUMIFS(tMort[[Number of Deaths]],tMort[[Batch ID]],tBatches[[#This Row],[Batch ID]])</calculatedColumnFormula>
    </tableColumn>
    <tableColumn id="14" name="Heads Sold">
      <calculatedColumnFormula>SUMIFS(tSales[[Heads Removed]],tSales[[Batch ID]],tBatches[[#This Row],[Batch ID]])</calculatedColumnFormula>
    </tableColumn>
    <tableColumn id="15" name="Transfers Out">
      <calculatedColumnFormula>SUMIFS(tMoves[[Quantity Out]],tMoves[[Batch ID]],tBatches[[#This Row],[Batch ID]])</calculatedColumnFormula>
    </tableColumn>
    <tableColumn id="16" name="Total Placed">
      <calculatedColumnFormula>N(tBatches[[#This Row],[Initial Quantity]])+tBatches[[#This Row],[Transfers In / Added]]</calculatedColumnFormula>
    </tableColumn>
    <tableColumn id="17" name="Age (days)">
      <calculatedColumnFormula>IF(NOT(ISNUMBER(tBatches[[#This Row],[Batch Start Date]])),"",IF(N(tBatches[[#This Row],[Closing Date]])&gt;0,tBatches[[#This Row],[Closing Date]],TODAY())-tBatches[[#This Row],[Batch Start Date]]+1)</calculatedColumnFormula>
    </tableColumn>
    <tableColumn id="18" name="Active Pen Key">
      <calculatedColumnFormula>IF(tBatches[[#This Row],[Status]]="Active",tBatches[[#This Row],[Pen ID]],"")</calculatedColumnFormula>
    </tableColumn>
    <tableColumn id="19" name="Check">
      <calculatedColumnFormula>IF(AND(tBatches[[#This Row],[Batch ID]]="",tBatches[[#This Row],[Pen ID]]=""),"",IF(tBatches[[#This Row],[Batch ID]]="","Missing Batch ID",IF(COUNTIF(tBatches[[Batch ID]],tBatches[[#This Row],[Batch ID]])&gt;1,"Duplicate Batch ID",IF(COUNTIF(tPens[[Pen ID]],tBatches[[#This Row],[Pen ID]])=0,"Pen is not in PEN_REGISTER",IF(NOT(ISNUMBER(tBatches[[#This Row],[Batch Start Date]])),"Missing start date",IF(N(tBatches[[#This Row],[Initial Quantity]])&lt;=0,"Initial quantity must be &gt; 0",IF(tBatches[[#This Row],[Status]]="","Missing status",IF(tBatches[[#This Row],[Current Quantity]]&lt;0,"Negative stock - more deaths/sales than animals",IF(AND(tBatches[[#This Row],[Status]]="Closed",N(tBatches[[#This Row],[Closing Date]])=0),"Closed batch needs a closing date",IF(AND(tBatches[[#This Row],[Status]]="Closed",tBatches[[#This Row],[Current Quantity]]&gt;0),"Closed with "&amp;tBatches[[#This Row],[Current Quantity]]&amp;" animals unaccounted for",IF(AND(N(tBatches[[#This Row],[Closing Date]])&gt;0,N(tBatches[[#This Row],[Closing Date]])&lt;tBatches[[#This Row],[Batch Start Date]]),"Closing date is before start date","OK")))))))))))</calculatedColumnFormula>
    </tableColumn>
  </tableColumns>
  <tableStyleInfo name="TableStyleLight1" showRowStripes="1"/>
</table>
</file>

<file path=xl/tables/table3.xml><?xml version="1.0" encoding="utf-8"?>
<table xmlns="http://schemas.openxmlformats.org/spreadsheetml/2006/main" id="3" name="tFeedPur" displayName="tFeedPur" ref="A4:Q10" headerRowCount="1">
  <autoFilter ref="A4:Q10"/>
  <tableColumns count="17">
    <tableColumn id="1" name="Date"/>
    <tableColumn id="2" name="Purchase ID">
      <calculatedColumnFormula>"FP-"&amp;TEXT(ROW()-ROW(tFeedPur[[#Headers],[Date]]),"00000")</calculatedColumnFormula>
    </tableColumn>
    <tableColumn id="3" name="Feed Type"/>
    <tableColumn id="4" name="Supplier"/>
    <tableColumn id="5" name="Quantity in Bags"/>
    <tableColumn id="6" name="Bag Size in kg"/>
    <tableColumn id="7" name="Total Quantity in kg">
      <calculatedColumnFormula>N(tFeedPur[[#This Row],[Quantity in Bags]])*N(tFeedPur[[#This Row],[Bag Size in kg]])</calculatedColumnFormula>
    </tableColumn>
    <tableColumn id="8" name="Price per Bag"/>
    <tableColumn id="9" name="Total Cost">
      <calculatedColumnFormula>N(tFeedPur[[#This Row],[Quantity in Bags]])*N(tFeedPur[[#This Row],[Price per Bag]])</calculatedColumnFormula>
    </tableColumn>
    <tableColumn id="10" name="Cost per kg">
      <calculatedColumnFormula>IFERROR(tFeedPur[[#This Row],[Total Cost]]/tFeedPur[[#This Row],[Total Quantity in kg]],0)</calculatedColumnFormula>
    </tableColumn>
    <tableColumn id="11" name="Payment Method"/>
    <tableColumn id="12" name="Reference"/>
    <tableColumn id="13" name="Notes"/>
    <tableColumn id="14" name="Purchase No. of Type">
      <calculatedColumnFormula>COUNTIF(INDEX(tFeedPur[[Feed Type]],1):tFeedPur[[#This Row],[Feed Type]],tFeedPur[[#This Row],[Feed Type]])</calculatedColumnFormula>
    </tableColumn>
    <tableColumn id="15" name="Stock Before Purchase kg">
      <calculatedColumnFormula>MAX(0,IF((ROW()-ROW(tFeedPur[[#Headers],[Date]]))=1,0,SUMIFS(INDEX(tFeedPur[[Total Quantity in kg]],1):INDEX(tFeedPur[[Total Quantity in kg]],(ROW()-ROW(tFeedPur[[#Headers],[Date]]))-1),INDEX(tFeedPur[[Feed Type]],1):INDEX(tFeedPur[[Feed Type]],(ROW()-ROW(tFeedPur[[#Headers],[Date]]))-1),tFeedPur[[#This Row],[Feed Type]]))-SUMIFS(tFeedIss[[Quantity Issued in kg]],tFeedIss[[Feed Type]],tFeedPur[[#This Row],[Feed Type]],tFeedIss[[Date]],"&lt;"&amp;tFeedPur[[#This Row],[Date]]))</calculatedColumnFormula>
    </tableColumn>
    <tableColumn id="16" name="Avg Cost per kg After Purchase">
      <calculatedColumnFormula>IFERROR((tFeedPur[[#This Row],[Stock Before Purchase kg]]*IF(tFeedPur[[#This Row],[Purchase No. of Type]]=1,0,LOOKUP(2,1/(INDEX(tFeedPur[[Feed Type]],1):INDEX(tFeedPur[[Feed Type]],(ROW()-ROW(tFeedPur[[#Headers],[Date]]))-1)=tFeedPur[[#This Row],[Feed Type]]),INDEX(tFeedPur[[Avg Cost per kg After Purchase]],1):INDEX(tFeedPur[[Avg Cost per kg After Purchase]],(ROW()-ROW(tFeedPur[[#Headers],[Date]]))-1)))+N(tFeedPur[[#This Row],[Total Cost]]))/(tFeedPur[[#This Row],[Stock Before Purchase kg]]+N(tFeedPur[[#This Row],[Total Quantity in kg]])),IF(tFeedPur[[#This Row],[Purchase No. of Type]]=1,0,LOOKUP(2,1/(INDEX(tFeedPur[[Feed Type]],1):INDEX(tFeedPur[[Feed Type]],(ROW()-ROW(tFeedPur[[#Headers],[Date]]))-1)=tFeedPur[[#This Row],[Feed Type]]),INDEX(tFeedPur[[Avg Cost per kg After Purchase]],1):INDEX(tFeedPur[[Avg Cost per kg After Purchase]],(ROW()-ROW(tFeedPur[[#Headers],[Date]]))-1))))</calculatedColumnFormula>
    </tableColumn>
    <tableColumn id="17" name="Check">
      <calculatedColumnFormula>IF(AND(tFeedPur[[#This Row],[Date]]="",tFeedPur[[#This Row],[Feed Type]]="",tFeedPur[[#This Row],[Quantity in Bags]]=""),"",IF(tFeedPur[[#This Row],[Date]]="","Missing date",IF(NOT(ISNUMBER(tFeedPur[[#This Row],[Date]])),"Date is not a valid date",IF(AND((ROW()-ROW(tFeedPur[[#Headers],[Date]]))&gt;1,tFeedPur[[#This Row],[Date]]&lt;INDEX(tFeedPur[[Date]],MAX(1,(ROW()-ROW(tFeedPur[[#Headers],[Date]]))-1))),"Out of date order - insert this row after earlier purchases",IF(tFeedPur[[#This Row],[Feed Type]]="","Missing feed type",IF(COUNTIF(tFeedTypes[[Feed Type]],tFeedPur[[#This Row],[Feed Type]])=0,"Feed type not in LISTS",IF(N(tFeedPur[[#This Row],[Quantity in Bags]])&lt;=0,"Bags must be greater than 0",IF(N(tFeedPur[[#This Row],[Bag Size in kg]])&lt;=0,"Missing bag size",IF(tFeedPur[[#This Row],[Price per Bag]]="","Missing price",IF(tFeedPur[[#This Row],[Payment Method]]="","Missing payment method","OK"))))))))))</calculatedColumnFormula>
    </tableColumn>
  </tableColumns>
  <tableStyleInfo name="TableStyleLight1" showRowStripes="1"/>
</table>
</file>

<file path=xl/tables/table4.xml><?xml version="1.0" encoding="utf-8"?>
<table xmlns="http://schemas.openxmlformats.org/spreadsheetml/2006/main" id="4" name="tFeedIss" displayName="tFeedIss" ref="A4:M28" headerRowCount="1">
  <autoFilter ref="A4:M28"/>
  <tableColumns count="13">
    <tableColumn id="1" name="Date"/>
    <tableColumn id="2" name="Issue ID">
      <calculatedColumnFormula>"FI-"&amp;TEXT(ROW()-ROW(tFeedIss[[#Headers],[Date]]),"00000")</calculatedColumnFormula>
    </tableColumn>
    <tableColumn id="3" name="Feed Type"/>
    <tableColumn id="4" name="Pen ID"/>
    <tableColumn id="5" name="Batch ID"/>
    <tableColumn id="6" name="Quantity Issued in kg"/>
    <tableColumn id="7" name="Cost per kg">
      <calculatedColumnFormula>IFERROR(LOOKUP(2,1/((tFeedPur[[Feed Type]]=tFeedIss[[#This Row],[Feed Type]])*(tFeedPur[[Date]]&lt;=tFeedIss[[#This Row],[Date]])),tFeedPur[[Avg Cost per kg After Purchase]]),0)</calculatedColumnFormula>
    </tableColumn>
    <tableColumn id="8" name="Total Cost">
      <calculatedColumnFormula>N(tFeedIss[[#This Row],[Quantity Issued in kg]])*tFeedIss[[#This Row],[Cost per kg]]</calculatedColumnFormula>
    </tableColumn>
    <tableColumn id="9" name="Issued By"/>
    <tableColumn id="10" name="Notes"/>
    <tableColumn id="11" name="Animal Type">
      <calculatedColumnFormula>IFERROR(INDEX(tBatches[[Animal Type]],MATCH(tFeedIss[[#This Row],[Batch ID]],tBatches[[Batch ID]],0)),"")</calculatedColumnFormula>
    </tableColumn>
    <tableColumn id="12" name="Store Balance on Date kg">
      <calculatedColumnFormula>SUMIFS(tFeedPur[[Total Quantity in kg]],tFeedPur[[Feed Type]],tFeedIss[[#This Row],[Feed Type]],tFeedPur[[Date]],"&lt;="&amp;tFeedIss[[#This Row],[Date]])-SUMIFS(tFeedIss[[Quantity Issued in kg]],tFeedIss[[Feed Type]],tFeedIss[[#This Row],[Feed Type]],tFeedIss[[Date]],"&lt;="&amp;tFeedIss[[#This Row],[Date]])</calculatedColumnFormula>
    </tableColumn>
    <tableColumn id="13" name="Check">
      <calculatedColumnFormula>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calculatedColumnFormula>
    </tableColumn>
  </tableColumns>
  <tableStyleInfo name="TableStyleLight1" showRowStripes="1"/>
</table>
</file>

<file path=xl/tables/table5.xml><?xml version="1.0" encoding="utf-8"?>
<table xmlns="http://schemas.openxmlformats.org/spreadsheetml/2006/main" id="5" name="tDrugPur" displayName="tDrugPur" ref="A4:S9" headerRowCount="1">
  <autoFilter ref="A4:S9"/>
  <tableColumns count="19">
    <tableColumn id="1" name="Date"/>
    <tableColumn id="2" name="Purchase ID">
      <calculatedColumnFormula>"DP-"&amp;TEXT(ROW()-ROW(tDrugPur[[#Headers],[Date]]),"00000")</calculatedColumnFormula>
    </tableColumn>
    <tableColumn id="3" name="Drug Name"/>
    <tableColumn id="4" name="Form/Concentration">
      <calculatedColumnFormula>IFERROR(INDEX(tDrugs[[Form/Concentration]],MATCH(tDrugPur[[#This Row],[Drug Name]],tDrugs[[Drug Name]],0))&amp;"","")</calculatedColumnFormula>
    </tableColumn>
    <tableColumn id="5" name="Supplier"/>
    <tableColumn id="6" name="Quantity Purchased"/>
    <tableColumn id="7" name="Unit">
      <calculatedColumnFormula>IFERROR(INDEX(tDrugs[[Stock Unit]],MATCH(tDrugPur[[#This Row],[Drug Name]],tDrugs[[Drug Name]],0))&amp;"","")</calculatedColumnFormula>
    </tableColumn>
    <tableColumn id="8" name="Unit Cost"/>
    <tableColumn id="9" name="Total Cost">
      <calculatedColumnFormula>N(tDrugPur[[#This Row],[Quantity Purchased]])*N(tDrugPur[[#This Row],[Unit Cost]])</calculatedColumnFormula>
    </tableColumn>
    <tableColumn id="10" name="Expiry Date"/>
    <tableColumn id="11" name="Batch Number"/>
    <tableColumn id="12" name="Payment Method"/>
    <tableColumn id="13" name="Notes"/>
    <tableColumn id="14" name="Remaining in Lot">
      <calculatedColumnFormula>IF(tDrugPur[[#This Row],[Batch Number]]="","",N(tDrugPur[[#This Row],[Quantity Purchased]])-SUMIFS(tDrugUse[[Quantity Used]],tDrugUse[[Drug Name]],tDrugPur[[#This Row],[Drug Name]],tDrugUse[[Drug Batch Number]],tDrugPur[[#This Row],[Batch Number]]))</calculatedColumnFormula>
    </tableColumn>
    <tableColumn id="15" name="Purchase No. of Drug">
      <calculatedColumnFormula>COUNTIF(INDEX(tDrugPur[[Drug Name]],1):tDrugPur[[#This Row],[Drug Name]],tDrugPur[[#This Row],[Drug Name]])</calculatedColumnFormula>
    </tableColumn>
    <tableColumn id="16" name="Stock Before Purchase">
      <calculatedColumnFormula>MAX(0,IF((ROW()-ROW(tDrugPur[[#Headers],[Date]]))=1,0,SUMIFS(INDEX(tDrugPur[[Quantity Purchased]],1):INDEX(tDrugPur[[Quantity Purchased]],(ROW()-ROW(tDrugPur[[#Headers],[Date]]))-1),INDEX(tDrugPur[[Drug Name]],1):INDEX(tDrugPur[[Drug Name]],(ROW()-ROW(tDrugPur[[#Headers],[Date]]))-1),tDrugPur[[#This Row],[Drug Name]]))-SUMIFS(tDrugUse[[Quantity Used]],tDrugUse[[Drug Name]],tDrugPur[[#This Row],[Drug Name]],tDrugUse[[Date]],"&lt;"&amp;tDrugPur[[#This Row],[Date]]))</calculatedColumnFormula>
    </tableColumn>
    <tableColumn id="17" name="Avg Cost per Unit After Purchase">
      <calculatedColumnFormula>IFERROR((tDrugPur[[#This Row],[Stock Before Purchase]]*IF(tDrugPur[[#This Row],[Purchase No. of Drug]]=1,0,LOOKUP(2,1/(INDEX(tDrugPur[[Drug Name]],1):INDEX(tDrugPur[[Drug Name]],(ROW()-ROW(tDrugPur[[#Headers],[Date]]))-1)=tDrugPur[[#This Row],[Drug Name]]),INDEX(tDrugPur[[Avg Cost per Unit After Purchase]],1):INDEX(tDrugPur[[Avg Cost per Unit After Purchase]],(ROW()-ROW(tDrugPur[[#Headers],[Date]]))-1)))+N(tDrugPur[[#This Row],[Total Cost]]))/(tDrugPur[[#This Row],[Stock Before Purchase]]+N(tDrugPur[[#This Row],[Quantity Purchased]])),IF(tDrugPur[[#This Row],[Purchase No. of Drug]]=1,0,LOOKUP(2,1/(INDEX(tDrugPur[[Drug Name]],1):INDEX(tDrugPur[[Drug Name]],(ROW()-ROW(tDrugPur[[#Headers],[Date]]))-1)=tDrugPur[[#This Row],[Drug Name]]),INDEX(tDrugPur[[Avg Cost per Unit After Purchase]],1):INDEX(tDrugPur[[Avg Cost per Unit After Purchase]],(ROW()-ROW(tDrugPur[[#Headers],[Date]]))-1))))</calculatedColumnFormula>
    </tableColumn>
    <tableColumn id="18" name="Expiry Status">
      <calculatedColumnFormula>IF(N(tDrugPur[[#This Row],[Expiry Date]])=0,"",IF(AND(tDrugPur[[#This Row],[Remaining in Lot]]&lt;&gt;"",N(tDrugPur[[#This Row],[Remaining in Lot]])&lt;=0),"Used up",IF(tDrugPur[[#This Row],[Expiry Date]]&lt;TODAY(),"EXPIRED",IF(tDrugPur[[#This Row],[Expiry Date]]-TODAY()&lt;=ExpiryWarnDays,"Expires in "&amp;(tDrugPur[[#This Row],[Expiry Date]]-TODAY())&amp;" days","OK"))))</calculatedColumnFormula>
    </tableColumn>
    <tableColumn id="19" name="Check">
      <calculatedColumnFormula>IF(AND(tDrugPur[[#This Row],[Date]]="",tDrugPur[[#This Row],[Drug Name]]="",tDrugPur[[#This Row],[Quantity Purchased]]=""),"",IF(tDrugPur[[#This Row],[Date]]="","Missing date",IF(NOT(ISNUMBER(tDrugPur[[#This Row],[Date]])),"Date is not a valid date",IF(AND((ROW()-ROW(tDrugPur[[#Headers],[Date]]))&gt;1,tDrugPur[[#This Row],[Date]]&lt;INDEX(tDrugPur[[Date]],MAX(1,(ROW()-ROW(tDrugPur[[#Headers],[Date]]))-1))),"Out of date order - insert this row after earlier purchases",IF(tDrugPur[[#This Row],[Drug Name]]="","Missing drug name",IF(COUNTIF(tDrugs[[Drug Name]],tDrugPur[[#This Row],[Drug Name]])=0,"Drug not in LISTS",IF(N(tDrugPur[[#This Row],[Quantity Purchased]])&lt;=0,"Quantity must be greater than 0",IF(tDrugPur[[#This Row],[Unit Cost]]="","Missing unit cost",IF(N(tDrugPur[[#This Row],[Expiry Date]])=0,"Missing expiry date",IF(tDrugPur[[#This Row],[Payment Method]]="","Missing payment method","OK"))))))))))</calculatedColumnFormula>
    </tableColumn>
  </tableColumns>
  <tableStyleInfo name="TableStyleLight1" showRowStripes="1"/>
</table>
</file>

<file path=xl/tables/table6.xml><?xml version="1.0" encoding="utf-8"?>
<table xmlns="http://schemas.openxmlformats.org/spreadsheetml/2006/main" id="6" name="tDrugUse" displayName="tDrugUse" ref="A4:Q14" headerRowCount="1">
  <autoFilter ref="A4:Q14"/>
  <tableColumns count="17">
    <tableColumn id="1" name="Date"/>
    <tableColumn id="2" name="Usage ID">
      <calculatedColumnFormula>"DU-"&amp;TEXT(ROW()-ROW(tDrugUse[[#Headers],[Date]]),"00000")</calculatedColumnFormula>
    </tableColumn>
    <tableColumn id="3" name="Drug Name"/>
    <tableColumn id="4" name="Pen ID"/>
    <tableColumn id="5" name="Batch ID"/>
    <tableColumn id="6" name="Reason"/>
    <tableColumn id="7" name="Dosage"/>
    <tableColumn id="8" name="Quantity Used"/>
    <tableColumn id="9" name="Unit">
      <calculatedColumnFormula>IFERROR(INDEX(tDrugs[[Stock Unit]],MATCH(tDrugUse[[#This Row],[Drug Name]],tDrugs[[Drug Name]],0))&amp;"","")</calculatedColumnFormula>
    </tableColumn>
    <tableColumn id="10" name="Cost per Unit">
      <calculatedColumnFormula>IFERROR(LOOKUP(2,1/((tDrugPur[[Drug Name]]=tDrugUse[[#This Row],[Drug Name]])*(tDrugPur[[Date]]&lt;=tDrugUse[[#This Row],[Date]])),tDrugPur[[Avg Cost per Unit After Purchase]]),0)</calculatedColumnFormula>
    </tableColumn>
    <tableColumn id="11" name="Total Cost">
      <calculatedColumnFormula>N(tDrugUse[[#This Row],[Quantity Used]])*tDrugUse[[#This Row],[Cost per Unit]]</calculatedColumnFormula>
    </tableColumn>
    <tableColumn id="12" name="Drug Batch Number"/>
    <tableColumn id="13" name="Administered By"/>
    <tableColumn id="14" name="Notes"/>
    <tableColumn id="15" name="Animal Type">
      <calculatedColumnFormula>IFERROR(INDEX(tBatches[[Animal Type]],MATCH(tDrugUse[[#This Row],[Batch ID]],tBatches[[Batch ID]],0)),"")</calculatedColumnFormula>
    </tableColumn>
    <tableColumn id="16" name="Store Balance on Date">
      <calculatedColumnFormula>SUMIFS(tDrugPur[[Quantity Purchased]],tDrugPur[[Drug Name]],tDrugUse[[#This Row],[Drug Name]],tDrugPur[[Date]],"&lt;="&amp;tDrugUse[[#This Row],[Date]])-SUMIFS(tDrugUse[[Quantity Used]],tDrugUse[[Drug Name]],tDrugUse[[#This Row],[Drug Name]],tDrugUse[[Date]],"&lt;="&amp;tDrugUse[[#This Row],[Date]])</calculatedColumnFormula>
    </tableColumn>
    <tableColumn id="17" name="Check">
      <calculatedColumnFormula>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calculatedColumnFormula>
    </tableColumn>
  </tableColumns>
  <tableStyleInfo name="TableStyleLight1" showRowStripes="1"/>
</table>
</file>

<file path=xl/tables/table7.xml><?xml version="1.0" encoding="utf-8"?>
<table xmlns="http://schemas.openxmlformats.org/spreadsheetml/2006/main" id="7" name="tMort" displayName="tMort" ref="A4:J14" headerRowCount="1">
  <autoFilter ref="A4:J14"/>
  <tableColumns count="10">
    <tableColumn id="1" name="Date"/>
    <tableColumn id="2" name="Mortality ID">
      <calculatedColumnFormula>"MO-"&amp;TEXT(ROW()-ROW(tMort[[#Headers],[Date]]),"00000")</calculatedColumnFormula>
    </tableColumn>
    <tableColumn id="3" name="Pen ID"/>
    <tableColumn id="4" name="Batch ID"/>
    <tableColumn id="5" name="Number of Deaths"/>
    <tableColumn id="6" name="Suspected/Recorded Cause"/>
    <tableColumn id="7" name="Age/Day of Batch">
      <calculatedColumnFormula>IFERROR(tMort[[#This Row],[Date]]-INDEX(tBatches[[Batch Start Date]],MATCH(tMort[[#This Row],[Batch ID]],tBatches[[Batch ID]],0))+1,"")</calculatedColumnFormula>
    </tableColumn>
    <tableColumn id="8" name="Notes"/>
    <tableColumn id="9" name="Animal Type">
      <calculatedColumnFormula>IFERROR(INDEX(tBatches[[Animal Type]],MATCH(tMort[[#This Row],[Batch ID]],tBatches[[Batch ID]],0)),"")</calculatedColumnFormula>
    </tableColumn>
    <tableColumn id="10" name="Check">
      <calculatedColumnFormula>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calculatedColumnFormula>
    </tableColumn>
  </tableColumns>
  <tableStyleInfo name="TableStyleLight1" showRowStripes="1"/>
</table>
</file>

<file path=xl/tables/table8.xml><?xml version="1.0" encoding="utf-8"?>
<table xmlns="http://schemas.openxmlformats.org/spreadsheetml/2006/main" id="8" name="tProd" displayName="tProd" ref="A4:M12" headerRowCount="1">
  <autoFilter ref="A4:M12"/>
  <tableColumns count="13">
    <tableColumn id="1" name="Date"/>
    <tableColumn id="2" name="Record ID">
      <calculatedColumnFormula>"PR-"&amp;TEXT(ROW()-ROW(tProd[[#Headers],[Date]]),"00000")</calculatedColumnFormula>
    </tableColumn>
    <tableColumn id="3" name="Pen ID"/>
    <tableColumn id="4" name="Batch ID"/>
    <tableColumn id="5" name="Measurement Type"/>
    <tableColumn id="6" name="Quantity"/>
    <tableColumn id="7" name="Unit"/>
    <tableColumn id="8" name="Average Weight kg"/>
    <tableColumn id="9" name="Number Sampled"/>
    <tableColumn id="10" name="Notes"/>
    <tableColumn id="11" name="Animal Type">
      <calculatedColumnFormula>IFERROR(INDEX(tBatches[[Animal Type]],MATCH(tProd[[#This Row],[Batch ID]],tBatches[[Batch ID]],0)),"")</calculatedColumnFormula>
    </tableColumn>
    <tableColumn id="12" name="Age/Day of Batch">
      <calculatedColumnFormula>IFERROR(tProd[[#This Row],[Date]]-INDEX(tBatches[[Batch Start Date]],MATCH(tProd[[#This Row],[Batch ID]],tBatches[[Batch ID]],0))+1,"")</calculatedColumnFormula>
    </tableColumn>
    <tableColumn id="13" name="Check">
      <calculatedColumnFormula>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calculatedColumnFormula>
    </tableColumn>
  </tableColumns>
  <tableStyleInfo name="TableStyleLight1" showRowStripes="1"/>
</table>
</file>

<file path=xl/tables/table9.xml><?xml version="1.0" encoding="utf-8"?>
<table xmlns="http://schemas.openxmlformats.org/spreadsheetml/2006/main" id="9" name="tSales" displayName="tSales" ref="A4:P8" headerRowCount="1">
  <autoFilter ref="A4:P8"/>
  <tableColumns count="16">
    <tableColumn id="1" name="Date"/>
    <tableColumn id="2" name="Sale ID">
      <calculatedColumnFormula>"SA-"&amp;TEXT(ROW()-ROW(tSales[[#Headers],[Date]]),"00000")</calculatedColumnFormula>
    </tableColumn>
    <tableColumn id="3" name="Pen ID"/>
    <tableColumn id="4" name="Batch ID"/>
    <tableColumn id="5" name="Product"/>
    <tableColumn id="6" name="Quantity Sold"/>
    <tableColumn id="7" name="Unit Price"/>
    <tableColumn id="8" name="Total Revenue">
      <calculatedColumnFormula>N(tSales[[#This Row],[Quantity Sold]])*N(tSales[[#This Row],[Unit Price]])</calculatedColumnFormula>
    </tableColumn>
    <tableColumn id="9" name="Customer"/>
    <tableColumn id="10" name="Payment Method"/>
    <tableColumn id="11" name="Reference"/>
    <tableColumn id="12" name="Notes"/>
    <tableColumn id="13" name="Sale Unit">
      <calculatedColumnFormula>IFERROR(INDEX(tProducts[[Sale Unit]],MATCH(tSales[[#This Row],[Product]],tProducts[[Product]],0))&amp;"","")</calculatedColumnFormula>
    </tableColumn>
    <tableColumn id="14" name="Heads Removed">
      <calculatedColumnFormula>IF(IFERROR(INDEX(tProducts[[Reduces Head Count]],MATCH(tSales[[#This Row],[Product]],tProducts[[Product]],0)),"No")="Yes",N(tSales[[#This Row],[Quantity Sold]]),0)</calculatedColumnFormula>
    </tableColumn>
    <tableColumn id="15" name="Animal Type">
      <calculatedColumnFormula>IFERROR(INDEX(tBatches[[Animal Type]],MATCH(tSales[[#This Row],[Batch ID]],tBatches[[Batch ID]],0)),"")</calculatedColumnFormula>
    </tableColumn>
    <tableColumn id="16" name="Check">
      <calculatedColumnFormula>IF(AND(tSales[[#This Row],[Date]]="",tSales[[#This Row],[Pen ID]]="",tSales[[#This Row],[Batch ID]]="",tSales[[#This Row],[Product]]="",tSales[[#This Row],[Quantity Sold]]=""),"",IF(tSales[[#This Row],[Date]]="","Missing date",IF(NOT(ISNUMBER(tSales[[#This Row],[Date]])),"Date is not a valid date",IF(tSales[[#This Row],[Product]]="","Missing product",IF(COUNTIF(tProducts[[Product]],tSales[[#This Row],[Product]])=0,"Product not in LISTS",IF(N(tSales[[#This Row],[Quantity Sold]])&lt;=0,"Quantity must be greater than 0",IF(tSales[[#This Row],[Unit Price]]="","Missing unit price",IF(tSales[[#This Row],[Pen ID]]="","Missing Pen ID (or GENERAL)",IF(AND(tSales[[#This Row],[Pen ID]]="GENERAL",tSales[[#This Row],[Batch ID]]&lt;&gt;""),"GENERAL sales cannot carry a batch",IF(AND(tSales[[#This Row],[Pen ID]]="GENERAL",IFERROR(INDEX(tProducts[[Reduces Head Count]],MATCH(tSales[[#This Row],[Product]],tProducts[[Product]],0)),"No")="Yes"),"Animal sales must name the pen &amp; batch",IF(AND(tSales[[#This Row],[Pen ID]]&lt;&gt;"GENERAL",COUNTIF(tPens[[Pen ID]],tSales[[#This Row],[Pen ID]])=0),"Pen "&amp;tSales[[#This Row],[Pen ID]]&amp;" is not in PEN_REGISTER",IF(AND(tSales[[#This Row],[Batch ID]]="",IFERROR(INDEX(tProducts[[Reduces Head Count]],MATCH(tSales[[#This Row],[Product]],tProducts[[Product]],0)),"No")="Yes"),"Missing Batch ID",IF(AND(tSales[[#This Row],[Batch ID]]&lt;&gt;"",COUNTIF(tBatches[[Batch ID]],tSales[[#This Row],[Batch ID]])=0),"Batch is not in BATCH_REGISTER",IF(AND(tSales[[#This Row],[Batch ID]]&lt;&gt;"",COUNTIFS(tBatches[[Batch ID]],tSales[[#This Row],[Batch ID]],tBatches[[Pen ID]],tSales[[#This Row],[Pen ID]])=0),"Batch "&amp;tSales[[#This Row],[Batch ID]]&amp;" belongs to pen "&amp;INDEX(tBatches[[Pen ID]],MATCH(tSales[[#This Row],[Batch ID]],tBatches[[Batch ID]],0)),IF(IFERROR(AND(tSales[[#This Row],[Batch ID]]&lt;&gt;"",tSales[[#This Row],[Date]]&lt;INDEX(tBatches[[Batch Start Date]],MATCH(tSales[[#This Row],[Batch ID]],tBatches[[Batch ID]],0))),FALSE),"Date is before the batch start date",IF(IFERROR(AND(tSales[[#This Row],[Batch ID]]&lt;&gt;"",INDEX(tBatches[[Current Quantity]],MATCH(tSales[[#This Row],[Batch ID]],tBatches[[Batch ID]],0))&lt;0),FALSE),"Sold more animals than the batch holds",IF(tSales[[#This Row],[Payment Method]]="","Missing payment method","OK")))))))))))))))))</calculatedColumnFormula>
    </tableColumn>
  </tableColumns>
  <tableStyleInfo name="TableStyleLight1" showRowStripes="1"/>
</table>
</file>

<file path=xl/tables/table10.xml><?xml version="1.0" encoding="utf-8"?>
<table xmlns="http://schemas.openxmlformats.org/spreadsheetml/2006/main" id="10" name="tExp" displayName="tExp" ref="A4:M17" headerRowCount="1">
  <autoFilter ref="A4:M17"/>
  <tableColumns count="13">
    <tableColumn id="1" name="Date"/>
    <tableColumn id="2" name="Expense ID">
      <calculatedColumnFormula>"EX-"&amp;TEXT(ROW()-ROW(tExp[[#Headers],[Date]]),"00000")</calculatedColumnFormula>
    </tableColumn>
    <tableColumn id="3" name="Category"/>
    <tableColumn id="4" name="Description"/>
    <tableColumn id="5" name="Pen ID / General"/>
    <tableColumn id="6" name="Batch ID (if applicable)"/>
    <tableColumn id="7" name="Amount"/>
    <tableColumn id="8" name="Payment Method"/>
    <tableColumn id="9" name="Reference"/>
    <tableColumn id="10" name="Notes"/>
    <tableColumn id="11" name="Cost Level">
      <calculatedColumnFormula>IF(tExp[[#This Row],[Pen ID / General]]="","",IF(tExp[[#This Row],[Pen ID / General]]="GENERAL","General overhead",IF(tExp[[#This Row],[Batch ID (if applicable)]]="","Pen-level","Batch direct")))</calculatedColumnFormula>
    </tableColumn>
    <tableColumn id="12" name="Animal Type">
      <calculatedColumnFormula>IF(tExp[[#This Row],[Batch ID (if applicable)]]&lt;&gt;"",IFERROR(INDEX(tBatches[[Animal Type]],MATCH(tExp[[#This Row],[Batch ID (if applicable)]],tBatches[[Batch ID]],0)),""),IFERROR(INDEX(tPens[[Animal Type]],MATCH(tExp[[#This Row],[Pen ID / General]],tPens[[Pen ID]],0))&amp;"",""))</calculatedColumnFormula>
    </tableColumn>
    <tableColumn id="13" name="Check">
      <calculatedColumnFormula>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calculatedColumnFormula>
    </tableColumn>
  </tableColumns>
  <tableStyleInfo name="TableStyleLight1" showRowStripes="1"/>
</table>
</file>

<file path=xl/tables/table11.xml><?xml version="1.0" encoding="utf-8"?>
<table xmlns="http://schemas.openxmlformats.org/spreadsheetml/2006/main" id="11" name="tCash" displayName="tCash" ref="A4:L32" headerRowCount="1">
  <autoFilter ref="A4:L32"/>
  <tableColumns count="12">
    <tableColumn id="1" name="Date"/>
    <tableColumn id="2" name="Entry ID">
      <calculatedColumnFormula>"CB-"&amp;TEXT(ROW()-ROW(tCash[[#Headers],[Date]]),"00000")</calculatedColumnFormula>
    </tableColumn>
    <tableColumn id="3" name="Type"/>
    <tableColumn id="4" name="Category"/>
    <tableColumn id="5" name="Description"/>
    <tableColumn id="6" name="Pen ID / General"/>
    <tableColumn id="7" name="Money In"/>
    <tableColumn id="8" name="Money Out"/>
    <tableColumn id="9" name="Running Balance">
      <calculatedColumnFormula>SUM(INDEX(tCash[[Money In]],1):tCash[[#This Row],[Money In]])-SUM(INDEX(tCash[[Money Out]],1):tCash[[#This Row],[Money Out]])</calculatedColumnFormula>
    </tableColumn>
    <tableColumn id="10" name="Payment Method"/>
    <tableColumn id="11" name="Reference"/>
    <tableColumn id="12" name="Check">
      <calculatedColumnFormula>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calculatedColumnFormula>
    </tableColumn>
  </tableColumns>
  <tableStyleInfo name="TableStyleLight1" showRowStripes="1"/>
</table>
</file>

<file path=xl/tables/table12.xml><?xml version="1.0" encoding="utf-8"?>
<table xmlns="http://schemas.openxmlformats.org/spreadsheetml/2006/main" id="12" name="tMoves" displayName="tMoves" ref="A4:J6" headerRowCount="1">
  <autoFilter ref="A4:J6"/>
  <tableColumns count="10">
    <tableColumn id="1" name="Date"/>
    <tableColumn id="2" name="Movement ID">
      <calculatedColumnFormula>"SM-"&amp;TEXT(ROW()-ROW(tMoves[[#Headers],[Date]]),"00000")</calculatedColumnFormula>
    </tableColumn>
    <tableColumn id="3" name="Pen ID"/>
    <tableColumn id="4" name="Batch ID"/>
    <tableColumn id="5" name="Movement Type"/>
    <tableColumn id="6" name="Quantity In"/>
    <tableColumn id="7" name="Quantity Out"/>
    <tableColumn id="8" name="Related Batch ID"/>
    <tableColumn id="9" name="Notes"/>
    <tableColumn id="10" name="Check">
      <calculatedColumnFormula>IF(AND(tMoves[[#This Row],[Date]]="",tMoves[[#This Row],[Pen ID]]="",tMoves[[#This Row],[Batch ID]]="",tMoves[[#This Row],[Quantity In]]="",tMoves[[#This Row],[Quantity Out]]=""),"",IF(tMoves[[#This Row],[Date]]="","Missing date",IF(NOT(ISNUMBER(tMoves[[#This Row],[Date]])),"Date is not a valid date",IF(tMoves[[#This Row],[Pen ID]]="","Missing Pen ID",IF(COUNTIF(tPens[[Pen ID]],tMoves[[#This Row],[Pen ID]])=0,"Pen "&amp;tMoves[[#This Row],[Pen ID]]&amp;" is not in PEN_REGISTER",IF(tMoves[[#This Row],[Batch ID]]="","Missing Batch ID",IF(COUNTIF(tBatches[[Batch ID]],tMoves[[#This Row],[Batch ID]])=0,"Batch "&amp;tMoves[[#This Row],[Batch ID]]&amp;" is not in BATCH_REGISTER",IF(COUNTIFS(tBatches[[Batch ID]],tMoves[[#This Row],[Batch ID]],tBatches[[Pen ID]],tMoves[[#This Row],[Pen ID]])=0,"Batch "&amp;tMoves[[#This Row],[Batch ID]]&amp;" belongs to pen "&amp;INDEX(tBatches[[Pen ID]],MATCH(tMoves[[#This Row],[Batch ID]],tBatches[[Batch ID]],0)),IF(tMoves[[#This Row],[Date]]&lt;INDEX(tBatches[[Batch Start Date]],MATCH(tMoves[[#This Row],[Batch ID]],tBatches[[Batch ID]],0)),"Date is before the batch start date",IF(AND(N(INDEX(tBatches[[Closing Date]],MATCH(tMoves[[#This Row],[Batch ID]],tBatches[[Batch ID]],0)))&gt;0,tMoves[[#This Row],[Date]]&gt;INDEX(tBatches[[Closing Date]],MATCH(tMoves[[#This Row],[Batch ID]],tBatches[[Batch ID]],0))),"Date is after the batch closing date",IF(tMoves[[#This Row],[Movement Type]]="","Missing movement type",IF(AND(N(tMoves[[#This Row],[Quantity In]])&gt;0,N(tMoves[[#This Row],[Quantity Out]])&gt;0),"Use separate rows for In and Out",IF(N(tMoves[[#This Row],[Quantity In]])+N(tMoves[[#This Row],[Quantity Out]])=0,"Enter a quantity",IF(AND(tMoves[[#This Row],[Related Batch ID]]&lt;&gt;"",COUNTIF(tBatches[[Batch ID]],tMoves[[#This Row],[Related Batch ID]])=0),"Related batch not found","OK"))))))))))))))</calculatedColumnFormula>
    </tableColumn>
  </tableColumns>
  <tableStyleInfo name="TableStyleLight1" showRowStripes="1"/>
</table>
</file>

<file path=xl/tables/table13.xml><?xml version="1.0" encoding="utf-8"?>
<table xmlns="http://schemas.openxmlformats.org/spreadsheetml/2006/main" id="13" name="tFeedTypes" displayName="tFeedTypes" ref="D4:F10" headerRowCount="1">
  <autoFilter ref="D4:F10"/>
  <tableColumns count="3">
    <tableColumn id="4" name="Feed Type"/>
    <tableColumn id="5" name="Default Bag Size kg"/>
    <tableColumn id="6" name="Reorder Level kg"/>
  </tableColumns>
  <tableStyleInfo name="TableStyleLight1" showRowStripes="1"/>
</table>
</file>

<file path=xl/tables/table14.xml><?xml version="1.0" encoding="utf-8"?>
<table xmlns="http://schemas.openxmlformats.org/spreadsheetml/2006/main" id="14" name="tDrugs" displayName="tDrugs" ref="H4:K10" headerRowCount="1">
  <autoFilter ref="H4:K10"/>
  <tableColumns count="4">
    <tableColumn id="8" name="Drug Name"/>
    <tableColumn id="9" name="Form/Concentration"/>
    <tableColumn id="10" name="Stock Unit"/>
    <tableColumn id="11" name="Reorder Level"/>
  </tableColumns>
  <tableStyleInfo name="TableStyleLight1" showRowStripes="1"/>
</table>
</file>

<file path=xl/tables/table15.xml><?xml version="1.0" encoding="utf-8"?>
<table xmlns="http://schemas.openxmlformats.org/spreadsheetml/2006/main" id="15" name="tUnits" displayName="tUnits" ref="M4:M14" headerRowCount="1">
  <autoFilter ref="M4:M14"/>
  <tableColumns count="1">
    <tableColumn id="13" name="Unit"/>
  </tableColumns>
  <tableStyleInfo name="TableStyleLight1" showRowStripes="1"/>
</table>
</file>

<file path=xl/tables/table16.xml><?xml version="1.0" encoding="utf-8"?>
<table xmlns="http://schemas.openxmlformats.org/spreadsheetml/2006/main" id="16" name="tAnimalTypes" displayName="tAnimalTypes" ref="O4:O13" headerRowCount="1">
  <autoFilter ref="O4:O13"/>
  <tableColumns count="1">
    <tableColumn id="15" name="Animal Type"/>
  </tableColumns>
  <tableStyleInfo name="TableStyleLight1" showRowStripes="1"/>
</table>
</file>

<file path=xl/tables/table17.xml><?xml version="1.0" encoding="utf-8"?>
<table xmlns="http://schemas.openxmlformats.org/spreadsheetml/2006/main" id="17" name="tProducts" displayName="tProducts" ref="Q4:S11" headerRowCount="1">
  <autoFilter ref="Q4:S11"/>
  <tableColumns count="3">
    <tableColumn id="17" name="Product"/>
    <tableColumn id="18" name="Sale Unit"/>
    <tableColumn id="19" name="Reduces Head Count"/>
  </tableColumns>
  <tableStyleInfo name="TableStyleLight1" showRowStripes="1"/>
</table>
</file>

<file path=xl/tables/table18.xml><?xml version="1.0" encoding="utf-8"?>
<table xmlns="http://schemas.openxmlformats.org/spreadsheetml/2006/main" id="18" name="tExpCat" displayName="tExpCat" ref="U4:U17" headerRowCount="1">
  <autoFilter ref="U4:U17"/>
  <tableColumns count="1">
    <tableColumn id="21" name="Expense Category"/>
  </tableColumns>
  <tableStyleInfo name="TableStyleLight1" showRowStripes="1"/>
</table>
</file>

<file path=xl/tables/table19.xml><?xml version="1.0" encoding="utf-8"?>
<table xmlns="http://schemas.openxmlformats.org/spreadsheetml/2006/main" id="19" name="tPayMethods" displayName="tPayMethods" ref="W4:W9" headerRowCount="1">
  <autoFilter ref="W4:W9"/>
  <tableColumns count="1">
    <tableColumn id="23" name="Payment Method"/>
  </tableColumns>
  <tableStyleInfo name="TableStyleLight1" showRowStripes="1"/>
</table>
</file>

<file path=xl/tables/table20.xml><?xml version="1.0" encoding="utf-8"?>
<table xmlns="http://schemas.openxmlformats.org/spreadsheetml/2006/main" id="20" name="tCauses" displayName="tCauses" ref="Y4:Y13" headerRowCount="1">
  <autoFilter ref="Y4:Y13"/>
  <tableColumns count="1">
    <tableColumn id="25" name="Mortality Cause"/>
  </tableColumns>
  <tableStyleInfo name="TableStyleLight1" showRowStripes="1"/>
</table>
</file>

<file path=xl/tables/table21.xml><?xml version="1.0" encoding="utf-8"?>
<table xmlns="http://schemas.openxmlformats.org/spreadsheetml/2006/main" id="21" name="tMeasTypes" displayName="tMeasTypes" ref="AA4:AA7" headerRowCount="1">
  <autoFilter ref="AA4:AA7"/>
  <tableColumns count="1">
    <tableColumn id="27" name="Measurement Type"/>
  </tableColumns>
  <tableStyleInfo name="TableStyleLight1" showRowStripes="1"/>
</table>
</file>

<file path=xl/tables/table22.xml><?xml version="1.0" encoding="utf-8"?>
<table xmlns="http://schemas.openxmlformats.org/spreadsheetml/2006/main" id="22" name="tDrugReasons" displayName="tDrugReasons" ref="AC4:AC11" headerRowCount="1">
  <autoFilter ref="AC4:AC11"/>
  <tableColumns count="1">
    <tableColumn id="29" name="Drug Reason"/>
  </tableColumns>
  <tableStyleInfo name="TableStyleLight1" showRowStripes="1"/>
</table>
</file>

<file path=xl/tables/table23.xml><?xml version="1.0" encoding="utf-8"?>
<table xmlns="http://schemas.openxmlformats.org/spreadsheetml/2006/main" id="23" name="tMoveTypes" displayName="tMoveTypes" ref="AE4:AE9" headerRowCount="1">
  <autoFilter ref="AE4:AE9"/>
  <tableColumns count="1">
    <tableColumn id="31" name="Movement Type"/>
  </tableColumns>
  <tableStyleInfo name="TableStyleLight1" showRowStripes="1"/>
</table>
</file>

<file path=xl/tables/table24.xml><?xml version="1.0" encoding="utf-8"?>
<table xmlns="http://schemas.openxmlformats.org/spreadsheetml/2006/main" id="24" name="tCashTypes" displayName="tCashTypes" ref="AG4:AH17" headerRowCount="1">
  <autoFilter ref="AG4:AH17"/>
  <tableColumns count="2">
    <tableColumn id="33" name="Cash Type"/>
    <tableColumn id="34" name="Direction"/>
  </tableColumns>
  <tableStyleInfo name="TableStyleLight1" showRowStripes="1"/>
</table>
</file>

<file path=xl/tables/table25.xml><?xml version="1.0" encoding="utf-8"?>
<table xmlns="http://schemas.openxmlformats.org/spreadsheetml/2006/main" id="25" name="tStaff" displayName="tStaff" ref="AJ4:AJ8" headerRowCount="1">
  <autoFilter ref="AJ4:AJ8"/>
  <tableColumns count="1">
    <tableColumn id="36" name="Staff"/>
  </tableColumns>
  <tableStyleInfo name="TableStyleLight1" showRowStripes="1"/>
</table>
</file>

<file path=xl/tables/table26.xml><?xml version="1.0" encoding="utf-8"?>
<table xmlns="http://schemas.openxmlformats.org/spreadsheetml/2006/main" id="26" name="tCustomers" displayName="tCustomers" ref="AL4:AL8" headerRowCount="1">
  <autoFilter ref="AL4:AL8"/>
  <tableColumns count="1">
    <tableColumn id="38" name="Customer"/>
  </tableColumns>
  <tableStyleInfo name="TableStyleLight1" showRowStripes="1"/>
</table>
</file>

<file path=xl/tables/table27.xml><?xml version="1.0" encoding="utf-8"?>
<table xmlns="http://schemas.openxmlformats.org/spreadsheetml/2006/main" id="27" name="tSuppliers" displayName="tSuppliers" ref="AN4:AN8" headerRowCount="1">
  <autoFilter ref="AN4:AN8"/>
  <tableColumns count="1">
    <tableColumn id="40" name="Supplier"/>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table" Target="/xl/tables/table5.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table" Target="/xl/tables/table7.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table" Target="/xl/tables/table8.xml" Id="rId1"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table" Target="/xl/tables/table10.xm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table" Target="/xl/tables/table11.xml" Id="rId1"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drawing" Target="/xl/drawings/drawing1.xml" Id="rId1" /></Relationships>
</file>

<file path=xl/worksheets/_rels/sheet16.xml.rels><Relationships xmlns="http://schemas.openxmlformats.org/package/2006/relationships"><Relationship Type="http://schemas.openxmlformats.org/officeDocument/2006/relationships/table" Target="/xl/tables/table12.xml" Id="rId1" /><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drawing" Target="/xl/drawings/drawing2.xml" Id="rId1" /></Relationships>
</file>

<file path=xl/worksheets/_rels/sheet20.xml.rels><Relationships xmlns="http://schemas.openxmlformats.org/package/2006/relationships"><Relationship Type="http://schemas.openxmlformats.org/officeDocument/2006/relationships/table" Target="/xl/tables/table13.xml" Id="rId1" /><Relationship Type="http://schemas.openxmlformats.org/officeDocument/2006/relationships/table" Target="/xl/tables/table14.xml" Id="rId2" /><Relationship Type="http://schemas.openxmlformats.org/officeDocument/2006/relationships/table" Target="/xl/tables/table15.xml" Id="rId3" /><Relationship Type="http://schemas.openxmlformats.org/officeDocument/2006/relationships/table" Target="/xl/tables/table16.xml" Id="rId4" /><Relationship Type="http://schemas.openxmlformats.org/officeDocument/2006/relationships/table" Target="/xl/tables/table17.xml" Id="rId5" /><Relationship Type="http://schemas.openxmlformats.org/officeDocument/2006/relationships/table" Target="/xl/tables/table18.xml" Id="rId6" /><Relationship Type="http://schemas.openxmlformats.org/officeDocument/2006/relationships/table" Target="/xl/tables/table19.xml" Id="rId7" /><Relationship Type="http://schemas.openxmlformats.org/officeDocument/2006/relationships/table" Target="/xl/tables/table20.xml" Id="rId8" /><Relationship Type="http://schemas.openxmlformats.org/officeDocument/2006/relationships/table" Target="/xl/tables/table21.xml" Id="rId9" /><Relationship Type="http://schemas.openxmlformats.org/officeDocument/2006/relationships/table" Target="/xl/tables/table22.xml" Id="rId10" /><Relationship Type="http://schemas.openxmlformats.org/officeDocument/2006/relationships/table" Target="/xl/tables/table23.xml" Id="rId11" /><Relationship Type="http://schemas.openxmlformats.org/officeDocument/2006/relationships/table" Target="/xl/tables/table24.xml" Id="rId12" /><Relationship Type="http://schemas.openxmlformats.org/officeDocument/2006/relationships/table" Target="/xl/tables/table25.xml" Id="rId13" /><Relationship Type="http://schemas.openxmlformats.org/officeDocument/2006/relationships/table" Target="/xl/tables/table26.xml" Id="rId14" /><Relationship Type="http://schemas.openxmlformats.org/officeDocument/2006/relationships/table" Target="/xl/tables/table27.xml" Id="rId15" /></Relationships>
</file>

<file path=xl/worksheets/sheet1.xml><?xml version="1.0" encoding="utf-8"?>
<worksheet xmlns="http://schemas.openxmlformats.org/spreadsheetml/2006/main">
  <sheetPr>
    <tabColor rgb="007F7F7F"/>
    <outlinePr summaryBelow="1" summaryRight="1"/>
    <pageSetUpPr/>
  </sheetPr>
  <dimension ref="B1:C74"/>
  <sheetViews>
    <sheetView showGridLines="0" tabSelected="0" zoomScale="90" workbookViewId="0">
      <selection activeCell="A1" sqref="A1"/>
    </sheetView>
  </sheetViews>
  <sheetFormatPr baseColWidth="8" defaultRowHeight="15"/>
  <cols>
    <col width="3" customWidth="1" min="1" max="1"/>
    <col width="28" customWidth="1" min="2" max="2"/>
    <col width="110" customWidth="1" min="3" max="3"/>
  </cols>
  <sheetData>
    <row r="1">
      <c r="B1" s="1" t="inlineStr">
        <is>
          <t>FARM ACCOUNTING &amp; INVENTORY MANAGEMENT SYSTEM</t>
        </is>
      </c>
    </row>
    <row r="2">
      <c r="B2" s="2" t="inlineStr">
        <is>
          <t>Enter transactions once. Everything else is calculated automatically.</t>
        </is>
      </c>
    </row>
    <row r="5">
      <c r="B5" s="3" t="inlineStr">
        <is>
          <t>WHAT THIS WORKBOOK DOES</t>
        </is>
      </c>
      <c r="C5" s="4" t="n"/>
    </row>
    <row r="6" ht="15" customHeight="1">
      <c r="B6" s="5" t="inlineStr">
        <is>
          <t>Flow</t>
        </is>
      </c>
      <c r="C6" s="6" t="inlineStr">
        <is>
          <t>Purchase  -&gt;  Inventory (store)  -&gt;  Issue / Usage  -&gt;  Pen &amp; Batch  -&gt;  Production  -&gt;  Sale  -&gt;  Profitability</t>
        </is>
      </c>
    </row>
    <row r="7" ht="30" customHeight="1">
      <c r="B7" s="5" t="inlineStr">
        <is>
          <t>Hierarchy</t>
        </is>
      </c>
      <c r="C7" s="6" t="inlineStr">
        <is>
          <t>Farm -&gt; Pen (permanent physical house, e.g. P001) -&gt; Batch (one production cycle in a pen, e.g. BROILER-SEP-001) -&gt; Transactions. A pen keeps its ID for life; batches come and go.</t>
        </is>
      </c>
    </row>
    <row r="8" ht="30" customHeight="1">
      <c r="B8" s="5" t="inlineStr">
        <is>
          <t>Key idea</t>
        </is>
      </c>
      <c r="C8" s="6" t="inlineStr">
        <is>
          <t>Purchases are NOT charged to a pen. They go into the store. Cost reaches a pen/batch only when you record an ISSUE (feed) or USAGE (drug). One purchase can therefore be shared by any number of pens.</t>
        </is>
      </c>
    </row>
    <row r="9" ht="15" customHeight="1">
      <c r="B9" s="5" t="inlineStr">
        <is>
          <t>No daily rows</t>
        </is>
      </c>
      <c r="C9" s="6" t="inlineStr">
        <is>
          <t>Record only what happened. If nothing happened in a pen today, enter nothing for it.</t>
        </is>
      </c>
    </row>
    <row r="11">
      <c r="B11" s="3" t="inlineStr">
        <is>
          <t>COLOURS &amp; CELLS</t>
        </is>
      </c>
      <c r="C11" s="4" t="n"/>
    </row>
    <row r="12" ht="15" customHeight="1">
      <c r="B12" s="5" t="inlineStr">
        <is>
          <t>Green header</t>
        </is>
      </c>
      <c r="C12" s="6" t="inlineStr">
        <is>
          <t>Input column - type or pick from the dropdown.</t>
        </is>
      </c>
    </row>
    <row r="13" ht="15" customHeight="1">
      <c r="B13" s="5" t="inlineStr">
        <is>
          <t>Grey header / grey cell</t>
        </is>
      </c>
      <c r="C13" s="6" t="inlineStr">
        <is>
          <t>Automatic formula - do not type. New rows fill these in by themselves.</t>
        </is>
      </c>
    </row>
    <row r="14" ht="15" customHeight="1">
      <c r="B14" s="5" t="inlineStr">
        <is>
          <t>Yellow cell</t>
        </is>
      </c>
      <c r="C14" s="6" t="inlineStr">
        <is>
          <t>A setting or filter you may change (DASHBOARD filters, LISTS settings, TRENDS first month).</t>
        </is>
      </c>
    </row>
    <row r="15" ht="15" customHeight="1">
      <c r="B15" s="5" t="inlineStr">
        <is>
          <t>Check column</t>
        </is>
      </c>
      <c r="C15" s="6" t="inlineStr">
        <is>
          <t>Every log ends with a Check column: OK or a plain-English warning (red). CHECKS sheet counts them.</t>
        </is>
      </c>
    </row>
    <row r="16" ht="30" customHeight="1">
      <c r="B16" s="5" t="inlineStr">
        <is>
          <t>Protected sheets</t>
        </is>
      </c>
      <c r="C16" s="6" t="inlineStr">
        <is>
          <t>DASHBOARD, INVENTORY, BATCH_PROFITABILITY, REPORTS, TRENDS and CHECKS are protected (no password) so formulas are not overwritten. Review &gt; Unprotect Sheet if you must edit.</t>
        </is>
      </c>
    </row>
    <row r="18">
      <c r="B18" s="3" t="inlineStr">
        <is>
          <t>SHEETS</t>
        </is>
      </c>
      <c r="C18" s="4" t="n"/>
    </row>
    <row r="19" ht="30" customHeight="1">
      <c r="B19" s="5" t="inlineStr">
        <is>
          <t>DASHBOARD</t>
        </is>
      </c>
      <c r="C19" s="6" t="inlineStr">
        <is>
          <t>Main page. Farm status, financial &amp; production summary, mortality, charts and pen comparison. Filter by period (Today / This Week / This Month / This Year / All Time / Custom), pen, batch, animal.</t>
        </is>
      </c>
    </row>
    <row r="20" ht="15" customHeight="1">
      <c r="B20" s="5" t="inlineStr">
        <is>
          <t>PEN_REGISTER</t>
        </is>
      </c>
      <c r="C20" s="6" t="inlineStr">
        <is>
          <t>List of pens. You enter ID, name, location, animal type. Current batch, stock and status are automatic.</t>
        </is>
      </c>
    </row>
    <row r="21" ht="30" customHeight="1">
      <c r="B21" s="5" t="inlineStr">
        <is>
          <t>BATCH_REGISTER</t>
        </is>
      </c>
      <c r="C21" s="6" t="inlineStr">
        <is>
          <t>One row per batch/cycle. You enter ID, pen, start date, initial quantity, status (&amp; closing date). Current quantity = initial + transfers in - deaths - animals sold - transfers out.</t>
        </is>
      </c>
    </row>
    <row r="22" ht="15" customHeight="1">
      <c r="B22" s="5" t="inlineStr">
        <is>
          <t>FEED_PURCHASES</t>
        </is>
      </c>
      <c r="C22" s="6" t="inlineStr">
        <is>
          <t>Every feed purchase (bags x bag size = kg; bags x price = cost).</t>
        </is>
      </c>
    </row>
    <row r="23" ht="15" customHeight="1">
      <c r="B23" s="5" t="inlineStr">
        <is>
          <t>FEED_ISSUES</t>
        </is>
      </c>
      <c r="C23" s="6" t="inlineStr">
        <is>
          <t>Feed taken from the store to a pen/batch. Cost per kg is automatic (weighted average).</t>
        </is>
      </c>
    </row>
    <row r="24" ht="15" customHeight="1">
      <c r="B24" s="5" t="inlineStr">
        <is>
          <t>DRUG_PURCHASES</t>
        </is>
      </c>
      <c r="C24" s="6" t="inlineStr">
        <is>
          <t>Every drug/vaccine purchase, with expiry date and lot number. Expiry warnings are automatic.</t>
        </is>
      </c>
    </row>
    <row r="25" ht="15" customHeight="1">
      <c r="B25" s="5" t="inlineStr">
        <is>
          <t>DRUG_USAGE</t>
        </is>
      </c>
      <c r="C25" s="6" t="inlineStr">
        <is>
          <t>Each administration per pen/batch with dosage and quantity. Cost is automatic.</t>
        </is>
      </c>
    </row>
    <row r="26" ht="15" customHeight="1">
      <c r="B26" s="5" t="inlineStr">
        <is>
          <t>MORTALITY_LOG</t>
        </is>
      </c>
      <c r="C26" s="6" t="inlineStr">
        <is>
          <t>Deaths - only on days they happen. Record the observed/recorded cause (use Unknown if unsure).</t>
        </is>
      </c>
    </row>
    <row r="27" ht="15" customHeight="1">
      <c r="B27" s="5" t="inlineStr">
        <is>
          <t>PRODUCTION_LOG</t>
        </is>
      </c>
      <c r="C27" s="6" t="inlineStr">
        <is>
          <t>Weighings (average weight, number sampled) and output such as egg collection.</t>
        </is>
      </c>
    </row>
    <row r="28" ht="15" customHeight="1">
      <c r="B28" s="5" t="inlineStr">
        <is>
          <t>SALES</t>
        </is>
      </c>
      <c r="C28" s="6" t="inlineStr">
        <is>
          <t>Sales linked to pen &amp; batch (or GENERAL for farm-wide items like manure).</t>
        </is>
      </c>
    </row>
    <row r="29" ht="15" customHeight="1">
      <c r="B29" s="5" t="inlineStr">
        <is>
          <t>OTHER_EXPENSES</t>
        </is>
      </c>
      <c r="C29" s="6" t="inlineStr">
        <is>
          <t>Chicks/stock purchase, labour, electricity, repairs ... Pen ID or GENERAL; add Batch ID to charge a batch.</t>
        </is>
      </c>
    </row>
    <row r="30" ht="15" customHeight="1">
      <c r="B30" s="5" t="inlineStr">
        <is>
          <t>CASHBOOK</t>
        </is>
      </c>
      <c r="C30" s="6" t="inlineStr">
        <is>
          <t>Actual money in/out with running balance. Cash is not the same as profit (see below).</t>
        </is>
      </c>
    </row>
    <row r="31" ht="15" customHeight="1">
      <c r="B31" s="5" t="inlineStr">
        <is>
          <t>INVENTORY</t>
        </is>
      </c>
      <c r="C31" s="6" t="inlineStr">
        <is>
          <t>Automatic store balances for feed and drugs, value, reorder and expiry status.</t>
        </is>
      </c>
    </row>
    <row r="32" ht="15" customHeight="1">
      <c r="B32" s="5" t="inlineStr">
        <is>
          <t>BATCH_PROFITABILITY</t>
        </is>
      </c>
      <c r="C32" s="6" t="inlineStr">
        <is>
          <t>Automatic full-cycle results for every batch ever recorded, active or closed.</t>
        </is>
      </c>
    </row>
    <row r="33" ht="15" customHeight="1">
      <c r="B33" s="5" t="inlineStr">
        <is>
          <t>STOCK_MOVEMENTS</t>
        </is>
      </c>
      <c r="C33" s="6" t="inlineStr">
        <is>
          <t>Transfers between batches, extra stock added, count corrections.</t>
        </is>
      </c>
    </row>
    <row r="34" ht="15" customHeight="1">
      <c r="B34" s="5" t="inlineStr">
        <is>
          <t>REPORTS</t>
        </is>
      </c>
      <c r="C34" s="6" t="inlineStr">
        <is>
          <t>Feed by type, drugs by drug, mortality by cause, sales by product &amp; customer, expenses by category.</t>
        </is>
      </c>
    </row>
    <row r="35" ht="15" customHeight="1">
      <c r="B35" s="5" t="inlineStr">
        <is>
          <t>TRENDS</t>
        </is>
      </c>
      <c r="C35" s="6" t="inlineStr">
        <is>
          <t>Monthly and daily totals with charts (feed, revenue vs cost, mortality, sales, stock levels).</t>
        </is>
      </c>
    </row>
    <row r="36" ht="15" customHeight="1">
      <c r="B36" s="5" t="inlineStr">
        <is>
          <t>CHECKS</t>
        </is>
      </c>
      <c r="C36" s="6" t="inlineStr">
        <is>
          <t>Data-quality counters and cash reconciliation. Aim for all zeros.</t>
        </is>
      </c>
    </row>
    <row r="37" ht="15" customHeight="1">
      <c r="B37" s="5" t="inlineStr">
        <is>
          <t>LISTS</t>
        </is>
      </c>
      <c r="C37" s="6" t="inlineStr">
        <is>
          <t>Master lists for all dropdowns (feed types + reorder levels, drugs + units, products, categories ...) and settings.</t>
        </is>
      </c>
    </row>
    <row r="39">
      <c r="B39" s="3" t="inlineStr">
        <is>
          <t>HOW TO ...</t>
        </is>
      </c>
      <c r="C39" s="4" t="n"/>
    </row>
    <row r="40" ht="30" customHeight="1">
      <c r="B40" s="5" t="inlineStr">
        <is>
          <t>Add a new pen</t>
        </is>
      </c>
      <c r="C40" s="6" t="inlineStr">
        <is>
          <t>PEN_REGISTER: type the new Pen ID (e.g. P007) in the first empty row under the table, then name, location, animal type. Never reuse or rename an ID that already has records.</t>
        </is>
      </c>
    </row>
    <row r="41" ht="30" customHeight="1">
      <c r="B41" s="5" t="inlineStr">
        <is>
          <t>Start a new batch</t>
        </is>
      </c>
      <c r="C41" s="6" t="inlineStr">
        <is>
          <t>BATCH_REGISTER: new row with a unique Batch ID (e.g. BROILER-OCT-001), Pen ID, animal type, start date, initial quantity, Status = Active. Record the chick cost on OTHER_EXPENSES with the Batch ID.</t>
        </is>
      </c>
    </row>
    <row r="42" ht="30" customHeight="1">
      <c r="B42" s="5" t="inlineStr">
        <is>
          <t>Close a batch</t>
        </is>
      </c>
      <c r="C42" s="6" t="inlineStr">
        <is>
          <t>Set Status = Closed and enter the Closing Date. Do NOT delete anything - the batch's history stays in every report and the pen shows Empty, ready for the next batch.</t>
        </is>
      </c>
    </row>
    <row r="43" ht="30" customHeight="1">
      <c r="B43" s="5" t="inlineStr">
        <is>
          <t>Record a purchase</t>
        </is>
      </c>
      <c r="C43" s="6" t="inlineStr">
        <is>
          <t>FEED_PURCHASES (feed type, bags, bag size, price per bag) or DRUG_PURCHASES (drug, quantity in its stock unit, unit cost, expiry, lot no.). Also enter the payment in CASHBOOK unless bought on Credit.</t>
        </is>
      </c>
    </row>
    <row r="44" ht="30" customHeight="1">
      <c r="B44" s="5" t="inlineStr">
        <is>
          <t>Issue feed</t>
        </is>
      </c>
      <c r="C44" s="6" t="inlineStr">
        <is>
          <t>FEED_ISSUES: date, feed type, pen, batch, kg. Example: 500 kg bought once, then P001 40 kg, P002 60 kg, P003 35 kg, P004 50 kg = four issue rows. If an issue exceeds the store, the Check column warns you.</t>
        </is>
      </c>
    </row>
    <row r="45" ht="15" customHeight="1">
      <c r="B45" s="5" t="inlineStr">
        <is>
          <t>Record drug usage</t>
        </is>
      </c>
      <c r="C45" s="6" t="inlineStr">
        <is>
          <t>DRUG_USAGE: date, drug, pen, batch, reason, dosage text, total quantity used. Same drug in 3 pens = 3 rows.</t>
        </is>
      </c>
    </row>
    <row r="46" ht="15" customHeight="1">
      <c r="B46" s="5" t="inlineStr">
        <is>
          <t>Record mortality</t>
        </is>
      </c>
      <c r="C46" s="6" t="inlineStr">
        <is>
          <t>MORTALITY_LOG: date, pen, batch, number of deaths, cause. Stock updates automatically.</t>
        </is>
      </c>
    </row>
    <row r="47" ht="30" customHeight="1">
      <c r="B47" s="5" t="inlineStr">
        <is>
          <t>Record a sale</t>
        </is>
      </c>
      <c r="C47" s="6" t="inlineStr">
        <is>
          <t>SALES: date, pen, batch, product, quantity, unit price, customer, payment method. Live-animal products reduce batch stock automatically (set per product on LISTS). Add receipt to CASHBOOK.</t>
        </is>
      </c>
    </row>
    <row r="48" ht="15" customHeight="1">
      <c r="B48" s="5" t="inlineStr">
        <is>
          <t>Record an expense</t>
        </is>
      </c>
      <c r="C48" s="6" t="inlineStr">
        <is>
          <t>OTHER_EXPENSES: category, description, Pen ID or GENERAL, Batch ID if it belongs to one batch, amount.</t>
        </is>
      </c>
    </row>
    <row r="49" ht="15" customHeight="1">
      <c r="B49" s="5" t="inlineStr">
        <is>
          <t>Add a dropdown item</t>
        </is>
      </c>
      <c r="C49" s="6" t="inlineStr">
        <is>
          <t>LISTS: type the new item directly under the relevant list - dropdowns grow automatically.</t>
        </is>
      </c>
    </row>
    <row r="51">
      <c r="B51" s="3" t="inlineStr">
        <is>
          <t>READING THE DASHBOARD</t>
        </is>
      </c>
      <c r="C51" s="4" t="n"/>
    </row>
    <row r="52" ht="30" customHeight="1">
      <c r="B52" s="5" t="inlineStr">
        <is>
          <t>Filters</t>
        </is>
      </c>
      <c r="C52" s="6" t="inlineStr">
        <is>
          <t>Choose Period, Pen, Batch and Animal Type in the yellow cells. All cards, the pen comparison, TRENDS and REPORTS follow them.</t>
        </is>
      </c>
    </row>
    <row r="53" ht="15" customHeight="1">
      <c r="B53" s="5" t="inlineStr">
        <is>
          <t>Current status</t>
        </is>
      </c>
      <c r="C53" s="6" t="inlineStr">
        <is>
          <t>Live stock, active pens/batches and store value as of today.</t>
        </is>
      </c>
    </row>
    <row r="54" ht="30" customHeight="1">
      <c r="B54" s="5" t="inlineStr">
        <is>
          <t>Financial</t>
        </is>
      </c>
      <c r="C54" s="6" t="inlineStr">
        <is>
          <t>Purchases (cash spent on stock) are shown separately from COST (what was consumed). Profit/Loss = Sales - (feed issued + drugs used + other expenses) for the filter.</t>
        </is>
      </c>
    </row>
    <row r="55" ht="15" customHeight="1">
      <c r="B55" s="5" t="inlineStr">
        <is>
          <t>Pen comparison</t>
        </is>
      </c>
      <c r="C55" s="6" t="inlineStr">
        <is>
          <t>Factual figures per pen for the period. No ranking - interpret them yourself. GENERAL = farm-wide costs.</t>
        </is>
      </c>
    </row>
    <row r="57">
      <c r="B57" s="3" t="inlineStr">
        <is>
          <t>COSTING &amp; ACCOUNTING RULES</t>
        </is>
      </c>
      <c r="C57" s="4" t="n"/>
    </row>
    <row r="58" ht="60" customHeight="1">
      <c r="B58" s="5" t="inlineStr">
        <is>
          <t>Costing method</t>
        </is>
      </c>
      <c r="C58" s="6" t="inlineStr">
        <is>
          <t>Moving weighted average (fixed - never changes silently). Each purchase re-averages the stock in store: (stock on hand x old average + purchase cost) / (stock on hand + quantity bought). Example: 100 kg in store @ ₦500 and 200 kg bought @ ₦600 -&gt; (100x500 + 200x600) / 300 = ₦566.67 per kg. Every issue is costed at the average in force on its date; later purchases never change earlier issues.</t>
        </is>
      </c>
    </row>
    <row r="59" ht="30" customHeight="1">
      <c r="B59" s="5" t="inlineStr">
        <is>
          <t>Purchase order</t>
        </is>
      </c>
      <c r="C59" s="6" t="inlineStr">
        <is>
          <t>Keep FEED_PURCHASES and DRUG_PURCHASES in date order (the average is built row by row). A late-entered old invoice must be inserted in its date position (right-click &gt; Insert &gt; Table Rows Above); the Check column flags rows out of order.</t>
        </is>
      </c>
    </row>
    <row r="60" ht="15" customHeight="1">
      <c r="B60" s="5" t="inlineStr">
        <is>
          <t>Inventory value</t>
        </is>
      </c>
      <c r="C60" s="6" t="inlineStr">
        <is>
          <t>Purchased cost - cost already charged to pens. Purchases therefore always equal consumption + stock in store.</t>
        </is>
      </c>
    </row>
    <row r="61" ht="30" customHeight="1">
      <c r="B61" s="5" t="inlineStr">
        <is>
          <t>Purchase vs consumption</t>
        </is>
      </c>
      <c r="C61" s="6" t="inlineStr">
        <is>
          <t>Buying ₦500,000 of feed is NOT a ₦500,000 batch cost. It becomes cost only as it is issued. Unused drugs stay in inventory.</t>
        </is>
      </c>
    </row>
    <row r="62" ht="30" customHeight="1">
      <c r="B62" s="5" t="inlineStr">
        <is>
          <t>Cash vs profit</t>
        </is>
      </c>
      <c r="C62" s="6" t="inlineStr">
        <is>
          <t>CASHBOOK shows money actually received/paid (incl. credit settlements, capital, loans). Profit uses consumption. CHECKS reconciles the cashbook with the logs.</t>
        </is>
      </c>
    </row>
    <row r="63" ht="30" customHeight="1">
      <c r="B63" s="5" t="inlineStr">
        <is>
          <t>Overheads</t>
        </is>
      </c>
      <c r="C63" s="6" t="inlineStr">
        <is>
          <t>GENERAL expenses (e.g. farm electricity) are in farm totals, not allocated to batches. Pen-level costs without a batch are in pen totals only. Add a Batch ID to include a cost in batch profitability.</t>
        </is>
      </c>
    </row>
    <row r="64" ht="15" customHeight="1">
      <c r="B64" s="5" t="inlineStr">
        <is>
          <t>Units</t>
        </is>
      </c>
      <c r="C64" s="6" t="inlineStr">
        <is>
          <t>Feed is always stored in kg. Each drug has one Stock Unit (LISTS) - enter purchase and usage quantities in that unit.</t>
        </is>
      </c>
    </row>
    <row r="66">
      <c r="B66" s="3" t="inlineStr">
        <is>
          <t>HISTORY, SCALE &amp; GOOD PRACTICE</t>
        </is>
      </c>
      <c r="C66" s="4" t="n"/>
    </row>
    <row r="67" ht="15" customHeight="1">
      <c r="B67" s="5" t="inlineStr">
        <is>
          <t>History</t>
        </is>
      </c>
      <c r="C67" s="6" t="inlineStr">
        <is>
          <t>Never delete or overwrite old records when a batch closes. Closed batches stay in BATCH_PROFITABILITY for comparison.</t>
        </is>
      </c>
    </row>
    <row r="68" ht="45" customHeight="1">
      <c r="B68" s="5" t="inlineStr">
        <is>
          <t>Growth</t>
        </is>
      </c>
      <c r="C68" s="6" t="inlineStr">
        <is>
          <t>Logs are Excel Tables: they grow automatically and every formula uses whole-table references, so 5 or 50 pens and tens of thousands of rows need no formula changes. Report sheets show up to 60 pens, 300 batches, 20 feed types and 50 drugs (extend with the generator script if ever needed).</t>
        </is>
      </c>
    </row>
    <row r="69" ht="15" customHeight="1">
      <c r="B69" s="5" t="inlineStr">
        <is>
          <t>IDs</t>
        </is>
      </c>
      <c r="C69" s="6" t="inlineStr">
        <is>
          <t>Record IDs (FP-00001 ...) are numbered by row. Do not sort the logs - use the filter arrows to view subsets.</t>
        </is>
      </c>
    </row>
    <row r="70" ht="15" customHeight="1">
      <c r="B70" s="5" t="inlineStr">
        <is>
          <t>Dates</t>
        </is>
      </c>
      <c r="C70" s="6" t="inlineStr">
        <is>
          <t>Enter dates as DD/MM/YYYY. Invalid dates, text in number fields and negative amounts are rejected.</t>
        </is>
      </c>
    </row>
    <row r="72">
      <c r="B72" s="3" t="inlineStr">
        <is>
          <t>SAMPLE DATA</t>
        </is>
      </c>
      <c r="C72" s="4" t="n"/>
    </row>
    <row r="73" ht="30" customHeight="1">
      <c r="B73" s="5" t="inlineStr">
        <is>
          <t>What it is</t>
        </is>
      </c>
      <c r="C73" s="6" t="inlineStr">
        <is>
          <t>All example rows are marked 'SAMPLE DATA' in Notes (pens P001-P006, six batches incl. one closed batch in P006, a 20-bag x 25 kg Starter purchase shared across P001-P004, one drug used in three pens at different dosages).</t>
        </is>
      </c>
    </row>
    <row r="74" ht="30" customHeight="1">
      <c r="B74" s="5" t="inlineStr">
        <is>
          <t>Remove it</t>
        </is>
      </c>
      <c r="C74" s="6" t="inlineStr">
        <is>
          <t>Delete the sample rows in each log (select rows inside the table &gt; right-click &gt; Delete &gt; Table Rows), then PEN_REGISTER / BATCH_REGISTER rows, then edit LISTS. Keep at least the table headers.</t>
        </is>
      </c>
    </row>
  </sheetData>
  <pageMargins left="0.75" right="0.75" top="1" bottom="1" header="0.5" footer="0.5"/>
</worksheet>
</file>

<file path=xl/worksheets/sheet2.xml><?xml version="1.0" encoding="utf-8"?>
<worksheet xmlns="http://schemas.openxmlformats.org/spreadsheetml/2006/main">
  <sheetPr>
    <tabColor rgb="00BF8F00"/>
    <outlinePr summaryBelow="1" summaryRight="1"/>
    <pageSetUpPr/>
  </sheetPr>
  <dimension ref="A1:L10"/>
  <sheetViews>
    <sheetView showGridLines="0" tabSelected="0" zoomScale="90" workbookViewId="0">
      <pane ySplit="4" topLeftCell="A5" activePane="bottomLeft" state="frozen"/>
      <selection pane="bottomLeft" activeCell="A1" sqref="A1"/>
    </sheetView>
  </sheetViews>
  <sheetFormatPr baseColWidth="8" defaultRowHeight="15"/>
  <cols>
    <col width="10" customWidth="1" min="1" max="1"/>
    <col width="18" customWidth="1" min="2" max="2"/>
    <col width="14" customWidth="1" min="3" max="3"/>
    <col width="12" customWidth="1" min="4" max="4"/>
    <col width="20" customWidth="1" min="5" max="5"/>
    <col width="12" customWidth="1" min="6" max="6"/>
    <col width="11" customWidth="1" min="7" max="7"/>
    <col width="11" customWidth="1" min="8" max="8"/>
    <col width="10" customWidth="1" min="9" max="9"/>
    <col width="10" customWidth="1" min="10" max="10"/>
    <col width="40" customWidth="1" min="11" max="11"/>
    <col width="30" customWidth="1" min="12" max="12"/>
  </cols>
  <sheetData>
    <row r="1">
      <c r="A1" s="1" t="inlineStr">
        <is>
          <t>PEN REGISTER</t>
        </is>
      </c>
    </row>
    <row r="2">
      <c r="A2" s="7" t="inlineStr">
        <is>
          <t>Physical pens (permanent). Current batch, stock and status are calculated from BATCH_REGISTER. A pen keeps its ID for life; batches come and go.</t>
        </is>
      </c>
    </row>
    <row r="3">
      <c r="A3" s="8" t="inlineStr">
        <is>
          <t>■ GREEN header = you enter / select      ■ GREY header = automatic (do not type)      Add a new record by typing in the first empty row directly under the table.</t>
        </is>
      </c>
    </row>
    <row r="4" ht="32" customHeight="1">
      <c r="A4" s="9" t="inlineStr">
        <is>
          <t>Pen ID</t>
        </is>
      </c>
      <c r="B4" s="9" t="inlineStr">
        <is>
          <t>Pen Name</t>
        </is>
      </c>
      <c r="C4" s="9" t="inlineStr">
        <is>
          <t>Farm/Location</t>
        </is>
      </c>
      <c r="D4" s="9" t="inlineStr">
        <is>
          <t>Animal Type</t>
        </is>
      </c>
      <c r="E4" s="10" t="inlineStr">
        <is>
          <t>Current Batch ID</t>
        </is>
      </c>
      <c r="F4" s="10" t="inlineStr">
        <is>
          <t>Start Date</t>
        </is>
      </c>
      <c r="G4" s="10" t="inlineStr">
        <is>
          <t>Initial Stock</t>
        </is>
      </c>
      <c r="H4" s="10" t="inlineStr">
        <is>
          <t>Current Stock</t>
        </is>
      </c>
      <c r="I4" s="10" t="inlineStr">
        <is>
          <t>Status</t>
        </is>
      </c>
      <c r="J4" s="9" t="inlineStr">
        <is>
          <t>Pen Closed</t>
        </is>
      </c>
      <c r="K4" s="9" t="inlineStr">
        <is>
          <t>Notes</t>
        </is>
      </c>
      <c r="L4" s="10" t="inlineStr">
        <is>
          <t>Check</t>
        </is>
      </c>
    </row>
    <row r="5">
      <c r="A5" s="11" t="inlineStr">
        <is>
          <t>P001</t>
        </is>
      </c>
      <c r="B5" s="12" t="inlineStr">
        <is>
          <t>Broiler House 1</t>
        </is>
      </c>
      <c r="C5" s="12" t="inlineStr">
        <is>
          <t>Main Farm</t>
        </is>
      </c>
      <c r="D5" s="12" t="inlineStr">
        <is>
          <t>Broiler</t>
        </is>
      </c>
      <c r="E5" s="13">
        <f>IF(COUNTIFS(tBatches[[Pen ID]],tPens[[#This Row],[Pen ID]],tBatches[[Status]],"Active")=0,"",IF(COUNTIFS(tBatches[[Pen ID]],tPens[[#This Row],[Pen ID]],tBatches[[Status]],"Active")=1,INDEX(tBatches[[Batch ID]],MATCH(tPens[[#This Row],[Pen ID]],tBatches[[Active Pen Key]],0)),INDEX(tBatches[[Batch ID]],MATCH(tPens[[#This Row],[Pen ID]],tBatches[[Active Pen Key]],0))&amp;" +"&amp;(COUNTIFS(tBatches[[Pen ID]],tPens[[#This Row],[Pen ID]],tBatches[[Status]],"Active")-1)&amp;" more"))</f>
        <v/>
      </c>
      <c r="F5" s="14">
        <f>IF(COUNTIFS(tBatches[[Pen ID]],tPens[[#This Row],[Pen ID]],tBatches[[Status]],"Active")=0,"",_xlfn.MINIFS(tBatches[[Batch Start Date]],tBatches[[Pen ID]],tPens[[#This Row],[Pen ID]],tBatches[[Status]],"Active"))</f>
        <v/>
      </c>
      <c r="G5" s="15">
        <f>SUMIFS(tBatches[[Initial Quantity]],tBatches[[Pen ID]],tPens[[#This Row],[Pen ID]],tBatches[[Status]],"Active")</f>
        <v/>
      </c>
      <c r="H5" s="15">
        <f>SUMIFS(tBatches[[Current Quantity]],tBatches[[Pen ID]],tPens[[#This Row],[Pen ID]],tBatches[[Status]],"Active")</f>
        <v/>
      </c>
      <c r="I5" s="13">
        <f>IF(tPens[[#This Row],[Pen ID]]="","",IF(tPens[[#This Row],[Pen Closed]]="Yes","Closed",IF(COUNTIFS(tBatches[[Pen ID]],tPens[[#This Row],[Pen ID]],tBatches[[Status]],"Active")&gt;0,"Active","Empty")))</f>
        <v/>
      </c>
      <c r="J5" s="12" t="inlineStr">
        <is>
          <t>No</t>
        </is>
      </c>
      <c r="K5" s="12" t="inlineStr">
        <is>
          <t>SAMPLE DATA - delete or replace</t>
        </is>
      </c>
      <c r="L5" s="13">
        <f>IF(AND(tPens[[#This Row],[Pen ID]]=""),"",IF(COUNTIF(tPens[[Pen ID]],tPens[[#This Row],[Pen ID]])&gt;1,"Duplicate Pen ID",IF(tPens[[#This Row],[Pen ID]]="GENERAL","GENERAL is reserved - use another ID",IF(AND(tPens[[#This Row],[Pen Closed]]="Yes",COUNTIFS(tBatches[[Pen ID]],tPens[[#This Row],[Pen ID]],tBatches[[Status]],"Active")&gt;0),"Pen marked closed but has an active batch","OK"))))</f>
        <v/>
      </c>
    </row>
    <row r="6">
      <c r="A6" s="11" t="inlineStr">
        <is>
          <t>P002</t>
        </is>
      </c>
      <c r="B6" s="12" t="inlineStr">
        <is>
          <t>Broiler House 2</t>
        </is>
      </c>
      <c r="C6" s="12" t="inlineStr">
        <is>
          <t>Main Farm</t>
        </is>
      </c>
      <c r="D6" s="12" t="inlineStr">
        <is>
          <t>Broiler</t>
        </is>
      </c>
      <c r="E6" s="13">
        <f>IF(COUNTIFS(tBatches[[Pen ID]],tPens[[#This Row],[Pen ID]],tBatches[[Status]],"Active")=0,"",IF(COUNTIFS(tBatches[[Pen ID]],tPens[[#This Row],[Pen ID]],tBatches[[Status]],"Active")=1,INDEX(tBatches[[Batch ID]],MATCH(tPens[[#This Row],[Pen ID]],tBatches[[Active Pen Key]],0)),INDEX(tBatches[[Batch ID]],MATCH(tPens[[#This Row],[Pen ID]],tBatches[[Active Pen Key]],0))&amp;" +"&amp;(COUNTIFS(tBatches[[Pen ID]],tPens[[#This Row],[Pen ID]],tBatches[[Status]],"Active")-1)&amp;" more"))</f>
        <v/>
      </c>
      <c r="F6" s="14">
        <f>IF(COUNTIFS(tBatches[[Pen ID]],tPens[[#This Row],[Pen ID]],tBatches[[Status]],"Active")=0,"",_xlfn.MINIFS(tBatches[[Batch Start Date]],tBatches[[Pen ID]],tPens[[#This Row],[Pen ID]],tBatches[[Status]],"Active"))</f>
        <v/>
      </c>
      <c r="G6" s="15">
        <f>SUMIFS(tBatches[[Initial Quantity]],tBatches[[Pen ID]],tPens[[#This Row],[Pen ID]],tBatches[[Status]],"Active")</f>
        <v/>
      </c>
      <c r="H6" s="15">
        <f>SUMIFS(tBatches[[Current Quantity]],tBatches[[Pen ID]],tPens[[#This Row],[Pen ID]],tBatches[[Status]],"Active")</f>
        <v/>
      </c>
      <c r="I6" s="13">
        <f>IF(tPens[[#This Row],[Pen ID]]="","",IF(tPens[[#This Row],[Pen Closed]]="Yes","Closed",IF(COUNTIFS(tBatches[[Pen ID]],tPens[[#This Row],[Pen ID]],tBatches[[Status]],"Active")&gt;0,"Active","Empty")))</f>
        <v/>
      </c>
      <c r="J6" s="12" t="inlineStr">
        <is>
          <t>No</t>
        </is>
      </c>
      <c r="K6" s="12" t="inlineStr">
        <is>
          <t>SAMPLE DATA - delete or replace</t>
        </is>
      </c>
      <c r="L6" s="13">
        <f>IF(AND(tPens[[#This Row],[Pen ID]]=""),"",IF(COUNTIF(tPens[[Pen ID]],tPens[[#This Row],[Pen ID]])&gt;1,"Duplicate Pen ID",IF(tPens[[#This Row],[Pen ID]]="GENERAL","GENERAL is reserved - use another ID",IF(AND(tPens[[#This Row],[Pen Closed]]="Yes",COUNTIFS(tBatches[[Pen ID]],tPens[[#This Row],[Pen ID]],tBatches[[Status]],"Active")&gt;0),"Pen marked closed but has an active batch","OK"))))</f>
        <v/>
      </c>
    </row>
    <row r="7">
      <c r="A7" s="11" t="inlineStr">
        <is>
          <t>P003</t>
        </is>
      </c>
      <c r="B7" s="12" t="inlineStr">
        <is>
          <t>Broiler House 3</t>
        </is>
      </c>
      <c r="C7" s="12" t="inlineStr">
        <is>
          <t>Main Farm</t>
        </is>
      </c>
      <c r="D7" s="12" t="inlineStr">
        <is>
          <t>Broiler</t>
        </is>
      </c>
      <c r="E7" s="13">
        <f>IF(COUNTIFS(tBatches[[Pen ID]],tPens[[#This Row],[Pen ID]],tBatches[[Status]],"Active")=0,"",IF(COUNTIFS(tBatches[[Pen ID]],tPens[[#This Row],[Pen ID]],tBatches[[Status]],"Active")=1,INDEX(tBatches[[Batch ID]],MATCH(tPens[[#This Row],[Pen ID]],tBatches[[Active Pen Key]],0)),INDEX(tBatches[[Batch ID]],MATCH(tPens[[#This Row],[Pen ID]],tBatches[[Active Pen Key]],0))&amp;" +"&amp;(COUNTIFS(tBatches[[Pen ID]],tPens[[#This Row],[Pen ID]],tBatches[[Status]],"Active")-1)&amp;" more"))</f>
        <v/>
      </c>
      <c r="F7" s="14">
        <f>IF(COUNTIFS(tBatches[[Pen ID]],tPens[[#This Row],[Pen ID]],tBatches[[Status]],"Active")=0,"",_xlfn.MINIFS(tBatches[[Batch Start Date]],tBatches[[Pen ID]],tPens[[#This Row],[Pen ID]],tBatches[[Status]],"Active"))</f>
        <v/>
      </c>
      <c r="G7" s="15">
        <f>SUMIFS(tBatches[[Initial Quantity]],tBatches[[Pen ID]],tPens[[#This Row],[Pen ID]],tBatches[[Status]],"Active")</f>
        <v/>
      </c>
      <c r="H7" s="15">
        <f>SUMIFS(tBatches[[Current Quantity]],tBatches[[Pen ID]],tPens[[#This Row],[Pen ID]],tBatches[[Status]],"Active")</f>
        <v/>
      </c>
      <c r="I7" s="13">
        <f>IF(tPens[[#This Row],[Pen ID]]="","",IF(tPens[[#This Row],[Pen Closed]]="Yes","Closed",IF(COUNTIFS(tBatches[[Pen ID]],tPens[[#This Row],[Pen ID]],tBatches[[Status]],"Active")&gt;0,"Active","Empty")))</f>
        <v/>
      </c>
      <c r="J7" s="12" t="inlineStr">
        <is>
          <t>No</t>
        </is>
      </c>
      <c r="K7" s="12" t="inlineStr">
        <is>
          <t>SAMPLE DATA - delete or replace</t>
        </is>
      </c>
      <c r="L7" s="13">
        <f>IF(AND(tPens[[#This Row],[Pen ID]]=""),"",IF(COUNTIF(tPens[[Pen ID]],tPens[[#This Row],[Pen ID]])&gt;1,"Duplicate Pen ID",IF(tPens[[#This Row],[Pen ID]]="GENERAL","GENERAL is reserved - use another ID",IF(AND(tPens[[#This Row],[Pen Closed]]="Yes",COUNTIFS(tBatches[[Pen ID]],tPens[[#This Row],[Pen ID]],tBatches[[Status]],"Active")&gt;0),"Pen marked closed but has an active batch","OK"))))</f>
        <v/>
      </c>
    </row>
    <row r="8">
      <c r="A8" s="11" t="inlineStr">
        <is>
          <t>P004</t>
        </is>
      </c>
      <c r="B8" s="12" t="inlineStr">
        <is>
          <t>Broiler House 4</t>
        </is>
      </c>
      <c r="C8" s="12" t="inlineStr">
        <is>
          <t>Main Farm</t>
        </is>
      </c>
      <c r="D8" s="12" t="inlineStr">
        <is>
          <t>Broiler</t>
        </is>
      </c>
      <c r="E8" s="13">
        <f>IF(COUNTIFS(tBatches[[Pen ID]],tPens[[#This Row],[Pen ID]],tBatches[[Status]],"Active")=0,"",IF(COUNTIFS(tBatches[[Pen ID]],tPens[[#This Row],[Pen ID]],tBatches[[Status]],"Active")=1,INDEX(tBatches[[Batch ID]],MATCH(tPens[[#This Row],[Pen ID]],tBatches[[Active Pen Key]],0)),INDEX(tBatches[[Batch ID]],MATCH(tPens[[#This Row],[Pen ID]],tBatches[[Active Pen Key]],0))&amp;" +"&amp;(COUNTIFS(tBatches[[Pen ID]],tPens[[#This Row],[Pen ID]],tBatches[[Status]],"Active")-1)&amp;" more"))</f>
        <v/>
      </c>
      <c r="F8" s="14">
        <f>IF(COUNTIFS(tBatches[[Pen ID]],tPens[[#This Row],[Pen ID]],tBatches[[Status]],"Active")=0,"",_xlfn.MINIFS(tBatches[[Batch Start Date]],tBatches[[Pen ID]],tPens[[#This Row],[Pen ID]],tBatches[[Status]],"Active"))</f>
        <v/>
      </c>
      <c r="G8" s="15">
        <f>SUMIFS(tBatches[[Initial Quantity]],tBatches[[Pen ID]],tPens[[#This Row],[Pen ID]],tBatches[[Status]],"Active")</f>
        <v/>
      </c>
      <c r="H8" s="15">
        <f>SUMIFS(tBatches[[Current Quantity]],tBatches[[Pen ID]],tPens[[#This Row],[Pen ID]],tBatches[[Status]],"Active")</f>
        <v/>
      </c>
      <c r="I8" s="13">
        <f>IF(tPens[[#This Row],[Pen ID]]="","",IF(tPens[[#This Row],[Pen Closed]]="Yes","Closed",IF(COUNTIFS(tBatches[[Pen ID]],tPens[[#This Row],[Pen ID]],tBatches[[Status]],"Active")&gt;0,"Active","Empty")))</f>
        <v/>
      </c>
      <c r="J8" s="12" t="inlineStr">
        <is>
          <t>No</t>
        </is>
      </c>
      <c r="K8" s="12" t="inlineStr">
        <is>
          <t>SAMPLE DATA - delete or replace</t>
        </is>
      </c>
      <c r="L8" s="13">
        <f>IF(AND(tPens[[#This Row],[Pen ID]]=""),"",IF(COUNTIF(tPens[[Pen ID]],tPens[[#This Row],[Pen ID]])&gt;1,"Duplicate Pen ID",IF(tPens[[#This Row],[Pen ID]]="GENERAL","GENERAL is reserved - use another ID",IF(AND(tPens[[#This Row],[Pen Closed]]="Yes",COUNTIFS(tBatches[[Pen ID]],tPens[[#This Row],[Pen ID]],tBatches[[Status]],"Active")&gt;0),"Pen marked closed but has an active batch","OK"))))</f>
        <v/>
      </c>
    </row>
    <row r="9">
      <c r="A9" s="11" t="inlineStr">
        <is>
          <t>P005</t>
        </is>
      </c>
      <c r="B9" s="12" t="inlineStr">
        <is>
          <t>Layer House 1</t>
        </is>
      </c>
      <c r="C9" s="12" t="inlineStr">
        <is>
          <t>Main Farm</t>
        </is>
      </c>
      <c r="D9" s="12" t="inlineStr">
        <is>
          <t>Layer</t>
        </is>
      </c>
      <c r="E9" s="13">
        <f>IF(COUNTIFS(tBatches[[Pen ID]],tPens[[#This Row],[Pen ID]],tBatches[[Status]],"Active")=0,"",IF(COUNTIFS(tBatches[[Pen ID]],tPens[[#This Row],[Pen ID]],tBatches[[Status]],"Active")=1,INDEX(tBatches[[Batch ID]],MATCH(tPens[[#This Row],[Pen ID]],tBatches[[Active Pen Key]],0)),INDEX(tBatches[[Batch ID]],MATCH(tPens[[#This Row],[Pen ID]],tBatches[[Active Pen Key]],0))&amp;" +"&amp;(COUNTIFS(tBatches[[Pen ID]],tPens[[#This Row],[Pen ID]],tBatches[[Status]],"Active")-1)&amp;" more"))</f>
        <v/>
      </c>
      <c r="F9" s="14">
        <f>IF(COUNTIFS(tBatches[[Pen ID]],tPens[[#This Row],[Pen ID]],tBatches[[Status]],"Active")=0,"",_xlfn.MINIFS(tBatches[[Batch Start Date]],tBatches[[Pen ID]],tPens[[#This Row],[Pen ID]],tBatches[[Status]],"Active"))</f>
        <v/>
      </c>
      <c r="G9" s="15">
        <f>SUMIFS(tBatches[[Initial Quantity]],tBatches[[Pen ID]],tPens[[#This Row],[Pen ID]],tBatches[[Status]],"Active")</f>
        <v/>
      </c>
      <c r="H9" s="15">
        <f>SUMIFS(tBatches[[Current Quantity]],tBatches[[Pen ID]],tPens[[#This Row],[Pen ID]],tBatches[[Status]],"Active")</f>
        <v/>
      </c>
      <c r="I9" s="13">
        <f>IF(tPens[[#This Row],[Pen ID]]="","",IF(tPens[[#This Row],[Pen Closed]]="Yes","Closed",IF(COUNTIFS(tBatches[[Pen ID]],tPens[[#This Row],[Pen ID]],tBatches[[Status]],"Active")&gt;0,"Active","Empty")))</f>
        <v/>
      </c>
      <c r="J9" s="12" t="inlineStr">
        <is>
          <t>No</t>
        </is>
      </c>
      <c r="K9" s="12" t="inlineStr">
        <is>
          <t>SAMPLE DATA - delete or replace</t>
        </is>
      </c>
      <c r="L9" s="13">
        <f>IF(AND(tPens[[#This Row],[Pen ID]]=""),"",IF(COUNTIF(tPens[[Pen ID]],tPens[[#This Row],[Pen ID]])&gt;1,"Duplicate Pen ID",IF(tPens[[#This Row],[Pen ID]]="GENERAL","GENERAL is reserved - use another ID",IF(AND(tPens[[#This Row],[Pen Closed]]="Yes",COUNTIFS(tBatches[[Pen ID]],tPens[[#This Row],[Pen ID]],tBatches[[Status]],"Active")&gt;0),"Pen marked closed but has an active batch","OK"))))</f>
        <v/>
      </c>
    </row>
    <row r="10">
      <c r="A10" s="11" t="inlineStr">
        <is>
          <t>P006</t>
        </is>
      </c>
      <c r="B10" s="12" t="inlineStr">
        <is>
          <t>Broiler House 5</t>
        </is>
      </c>
      <c r="C10" s="12" t="inlineStr">
        <is>
          <t>Annex</t>
        </is>
      </c>
      <c r="D10" s="12" t="inlineStr">
        <is>
          <t>Broiler</t>
        </is>
      </c>
      <c r="E10" s="13">
        <f>IF(COUNTIFS(tBatches[[Pen ID]],tPens[[#This Row],[Pen ID]],tBatches[[Status]],"Active")=0,"",IF(COUNTIFS(tBatches[[Pen ID]],tPens[[#This Row],[Pen ID]],tBatches[[Status]],"Active")=1,INDEX(tBatches[[Batch ID]],MATCH(tPens[[#This Row],[Pen ID]],tBatches[[Active Pen Key]],0)),INDEX(tBatches[[Batch ID]],MATCH(tPens[[#This Row],[Pen ID]],tBatches[[Active Pen Key]],0))&amp;" +"&amp;(COUNTIFS(tBatches[[Pen ID]],tPens[[#This Row],[Pen ID]],tBatches[[Status]],"Active")-1)&amp;" more"))</f>
        <v/>
      </c>
      <c r="F10" s="14">
        <f>IF(COUNTIFS(tBatches[[Pen ID]],tPens[[#This Row],[Pen ID]],tBatches[[Status]],"Active")=0,"",_xlfn.MINIFS(tBatches[[Batch Start Date]],tBatches[[Pen ID]],tPens[[#This Row],[Pen ID]],tBatches[[Status]],"Active"))</f>
        <v/>
      </c>
      <c r="G10" s="15">
        <f>SUMIFS(tBatches[[Initial Quantity]],tBatches[[Pen ID]],tPens[[#This Row],[Pen ID]],tBatches[[Status]],"Active")</f>
        <v/>
      </c>
      <c r="H10" s="15">
        <f>SUMIFS(tBatches[[Current Quantity]],tBatches[[Pen ID]],tPens[[#This Row],[Pen ID]],tBatches[[Status]],"Active")</f>
        <v/>
      </c>
      <c r="I10" s="13">
        <f>IF(tPens[[#This Row],[Pen ID]]="","",IF(tPens[[#This Row],[Pen Closed]]="Yes","Closed",IF(COUNTIFS(tBatches[[Pen ID]],tPens[[#This Row],[Pen ID]],tBatches[[Status]],"Active")&gt;0,"Active","Empty")))</f>
        <v/>
      </c>
      <c r="J10" s="12" t="inlineStr">
        <is>
          <t>No</t>
        </is>
      </c>
      <c r="K10" s="12" t="inlineStr">
        <is>
          <t>SAMPLE DATA - delete or replace</t>
        </is>
      </c>
      <c r="L10" s="13">
        <f>IF(AND(tPens[[#This Row],[Pen ID]]=""),"",IF(COUNTIF(tPens[[Pen ID]],tPens[[#This Row],[Pen ID]])&gt;1,"Duplicate Pen ID",IF(tPens[[#This Row],[Pen ID]]="GENERAL","GENERAL is reserved - use another ID",IF(AND(tPens[[#This Row],[Pen Closed]]="Yes",COUNTIFS(tBatches[[Pen ID]],tPens[[#This Row],[Pen ID]],tBatches[[Status]],"Active")&gt;0),"Pen marked closed but has an active batch","OK"))))</f>
        <v/>
      </c>
    </row>
  </sheetData>
  <conditionalFormatting sqref="L5:L5000">
    <cfRule type="expression" priority="1" dxfId="0">
      <formula>AND(L5&lt;&gt;"",L5&lt;&gt;"OK")</formula>
    </cfRule>
    <cfRule type="expression" priority="2" dxfId="1">
      <formula>L5="OK"</formula>
    </cfRule>
  </conditionalFormatting>
  <conditionalFormatting sqref="I5:I5000">
    <cfRule type="expression" priority="3" dxfId="2">
      <formula>I5="Active"</formula>
    </cfRule>
    <cfRule type="expression" priority="4" dxfId="3">
      <formula>I5="Empty"</formula>
    </cfRule>
    <cfRule type="expression" priority="5" dxfId="4">
      <formula>I5="Closed"</formula>
    </cfRule>
  </conditionalFormatting>
  <dataValidations count="2">
    <dataValidation sqref="D5:D5000" showDropDown="0" showInputMessage="0" showErrorMessage="1" allowBlank="1" errorTitle="Not in list" error="Choose a value from the dropdown list (lists are maintained on the LISTS / register sheets)." type="list">
      <formula1>L_Animals</formula1>
    </dataValidation>
    <dataValidation sqref="J5:J5000" showDropDown="0" showInputMessage="0" showErrorMessage="1" allowBlank="1" errorTitle="Not in list" error="Choose a value from the dropdown list (lists are maintained on the LISTS / register sheets)." type="list">
      <formula1>"No,Yes"</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BF8F00"/>
    <outlinePr summaryBelow="1" summaryRight="1"/>
    <pageSetUpPr/>
  </sheetPr>
  <dimension ref="A1:S10"/>
  <sheetViews>
    <sheetView showGridLines="0" tabSelected="0" zoomScale="90" workbookViewId="0">
      <pane ySplit="4" topLeftCell="A5" activePane="bottomLeft" state="frozen"/>
      <selection pane="bottomLeft" activeCell="A1" sqref="A1"/>
    </sheetView>
  </sheetViews>
  <sheetFormatPr baseColWidth="8" defaultRowHeight="15"/>
  <cols>
    <col width="18" customWidth="1" min="1" max="1"/>
    <col width="9" customWidth="1" min="2" max="2"/>
    <col width="11" customWidth="1" min="3" max="3"/>
    <col width="12" customWidth="1" min="4" max="4"/>
    <col width="10" customWidth="1" min="5" max="5"/>
    <col width="18" customWidth="1" min="6" max="6"/>
    <col width="16" customWidth="1" min="7" max="7"/>
    <col width="10" customWidth="1" min="8" max="8"/>
    <col width="12" customWidth="1" min="9" max="9"/>
    <col width="9" customWidth="1" min="10" max="10"/>
    <col width="34" customWidth="1" min="11" max="11"/>
    <col width="11" customWidth="1" min="12" max="12"/>
    <col width="9" customWidth="1" min="13" max="13"/>
    <col width="9" customWidth="1" min="14" max="14"/>
    <col width="10" customWidth="1" min="15" max="15"/>
    <col width="10" customWidth="1" min="16" max="16"/>
    <col width="8" customWidth="1" min="17" max="17"/>
    <col width="9" customWidth="1" min="18" max="18"/>
    <col width="34" customWidth="1" min="19" max="19"/>
  </cols>
  <sheetData>
    <row r="1">
      <c r="A1" s="1" t="inlineStr">
        <is>
          <t>BATCH REGISTER</t>
        </is>
      </c>
    </row>
    <row r="2">
      <c r="A2" s="7" t="inlineStr">
        <is>
          <t>One row per production cycle. A batch lives in one pen. When finished set Status = Closed and enter the Closing Date - its history is kept for ever and the pen becomes free for a new batch.</t>
        </is>
      </c>
    </row>
    <row r="3">
      <c r="A3" s="8" t="inlineStr">
        <is>
          <t>■ GREEN header = you enter / select      ■ GREY header = automatic (do not type)      Add a new record by typing in the first empty row directly under the table.</t>
        </is>
      </c>
    </row>
    <row r="4" ht="32" customHeight="1">
      <c r="A4" s="9" t="inlineStr">
        <is>
          <t>Batch ID</t>
        </is>
      </c>
      <c r="B4" s="9" t="inlineStr">
        <is>
          <t>Pen ID</t>
        </is>
      </c>
      <c r="C4" s="9" t="inlineStr">
        <is>
          <t>Animal Type</t>
        </is>
      </c>
      <c r="D4" s="9" t="inlineStr">
        <is>
          <t>Batch Start Date</t>
        </is>
      </c>
      <c r="E4" s="9" t="inlineStr">
        <is>
          <t>Initial Quantity</t>
        </is>
      </c>
      <c r="F4" s="9" t="inlineStr">
        <is>
          <t>Source/Supplier</t>
        </is>
      </c>
      <c r="G4" s="9" t="inlineStr">
        <is>
          <t>Breed/Type</t>
        </is>
      </c>
      <c r="H4" s="10" t="inlineStr">
        <is>
          <t>Current Quantity</t>
        </is>
      </c>
      <c r="I4" s="9" t="inlineStr">
        <is>
          <t>Closing Date</t>
        </is>
      </c>
      <c r="J4" s="9" t="inlineStr">
        <is>
          <t>Status</t>
        </is>
      </c>
      <c r="K4" s="9" t="inlineStr">
        <is>
          <t>Notes</t>
        </is>
      </c>
      <c r="L4" s="10" t="inlineStr">
        <is>
          <t>Transfers In / Added</t>
        </is>
      </c>
      <c r="M4" s="10" t="inlineStr">
        <is>
          <t>Deaths</t>
        </is>
      </c>
      <c r="N4" s="10" t="inlineStr">
        <is>
          <t>Heads Sold</t>
        </is>
      </c>
      <c r="O4" s="10" t="inlineStr">
        <is>
          <t>Transfers Out</t>
        </is>
      </c>
      <c r="P4" s="10" t="inlineStr">
        <is>
          <t>Total Placed</t>
        </is>
      </c>
      <c r="Q4" s="10" t="inlineStr">
        <is>
          <t>Age (days)</t>
        </is>
      </c>
      <c r="R4" s="10" t="inlineStr">
        <is>
          <t>Active Pen Key</t>
        </is>
      </c>
      <c r="S4" s="10" t="inlineStr">
        <is>
          <t>Check</t>
        </is>
      </c>
    </row>
    <row r="5">
      <c r="A5" s="11" t="inlineStr">
        <is>
          <t>BROILER-SEP-001</t>
        </is>
      </c>
      <c r="B5" s="12" t="inlineStr">
        <is>
          <t>P001</t>
        </is>
      </c>
      <c r="C5" s="12" t="inlineStr">
        <is>
          <t>Broiler</t>
        </is>
      </c>
      <c r="D5" s="16" t="n">
        <v>46266</v>
      </c>
      <c r="E5" s="17" t="n">
        <v>500</v>
      </c>
      <c r="F5" s="12" t="inlineStr">
        <is>
          <t>Hatchery (sample)</t>
        </is>
      </c>
      <c r="G5" s="12" t="inlineStr">
        <is>
          <t>Cobb 500</t>
        </is>
      </c>
      <c r="H5" s="15">
        <f>tBatches[[#This Row],[Total Placed]]-tBatches[[#This Row],[Deaths]]-tBatches[[#This Row],[Heads Sold]]-tBatches[[#This Row],[Transfers Out]]</f>
        <v/>
      </c>
      <c r="I5" s="16" t="n"/>
      <c r="J5" s="12" t="inlineStr">
        <is>
          <t>Active</t>
        </is>
      </c>
      <c r="K5" s="12" t="inlineStr">
        <is>
          <t>SAMPLE DATA - delete or replace</t>
        </is>
      </c>
      <c r="L5" s="15">
        <f>SUMIFS(tMoves[[Quantity In]],tMoves[[Batch ID]],tBatches[[#This Row],[Batch ID]])</f>
        <v/>
      </c>
      <c r="M5" s="15">
        <f>SUMIFS(tMort[[Number of Deaths]],tMort[[Batch ID]],tBatches[[#This Row],[Batch ID]])</f>
        <v/>
      </c>
      <c r="N5" s="15">
        <f>SUMIFS(tSales[[Heads Removed]],tSales[[Batch ID]],tBatches[[#This Row],[Batch ID]])</f>
        <v/>
      </c>
      <c r="O5" s="15">
        <f>SUMIFS(tMoves[[Quantity Out]],tMoves[[Batch ID]],tBatches[[#This Row],[Batch ID]])</f>
        <v/>
      </c>
      <c r="P5" s="15">
        <f>N(tBatches[[#This Row],[Initial Quantity]])+tBatches[[#This Row],[Transfers In / Added]]</f>
        <v/>
      </c>
      <c r="Q5" s="15">
        <f>IF(NOT(ISNUMBER(tBatches[[#This Row],[Batch Start Date]])),"",IF(N(tBatches[[#This Row],[Closing Date]])&gt;0,tBatches[[#This Row],[Closing Date]],TODAY())-tBatches[[#This Row],[Batch Start Date]]+1)</f>
        <v/>
      </c>
      <c r="R5" s="13">
        <f>IF(tBatches[[#This Row],[Status]]="Active",tBatches[[#This Row],[Pen ID]],"")</f>
        <v/>
      </c>
      <c r="S5" s="13">
        <f>IF(AND(tBatches[[#This Row],[Batch ID]]="",tBatches[[#This Row],[Pen ID]]=""),"",IF(tBatches[[#This Row],[Batch ID]]="","Missing Batch ID",IF(COUNTIF(tBatches[[Batch ID]],tBatches[[#This Row],[Batch ID]])&gt;1,"Duplicate Batch ID",IF(COUNTIF(tPens[[Pen ID]],tBatches[[#This Row],[Pen ID]])=0,"Pen is not in PEN_REGISTER",IF(NOT(ISNUMBER(tBatches[[#This Row],[Batch Start Date]])),"Missing start date",IF(N(tBatches[[#This Row],[Initial Quantity]])&lt;=0,"Initial quantity must be &gt; 0",IF(tBatches[[#This Row],[Status]]="","Missing status",IF(tBatches[[#This Row],[Current Quantity]]&lt;0,"Negative stock - more deaths/sales than animals",IF(AND(tBatches[[#This Row],[Status]]="Closed",N(tBatches[[#This Row],[Closing Date]])=0),"Closed batch needs a closing date",IF(AND(tBatches[[#This Row],[Status]]="Closed",tBatches[[#This Row],[Current Quantity]]&gt;0),"Closed with "&amp;tBatches[[#This Row],[Current Quantity]]&amp;" animals unaccounted for",IF(AND(N(tBatches[[#This Row],[Closing Date]])&gt;0,N(tBatches[[#This Row],[Closing Date]])&lt;tBatches[[#This Row],[Batch Start Date]]),"Closing date is before start date","OK")))))))))))</f>
        <v/>
      </c>
    </row>
    <row r="6">
      <c r="A6" s="11" t="inlineStr">
        <is>
          <t>BROILER-SEP-002</t>
        </is>
      </c>
      <c r="B6" s="12" t="inlineStr">
        <is>
          <t>P002</t>
        </is>
      </c>
      <c r="C6" s="12" t="inlineStr">
        <is>
          <t>Broiler</t>
        </is>
      </c>
      <c r="D6" s="16" t="n">
        <v>46266</v>
      </c>
      <c r="E6" s="17" t="n">
        <v>600</v>
      </c>
      <c r="F6" s="12" t="inlineStr">
        <is>
          <t>Hatchery (sample)</t>
        </is>
      </c>
      <c r="G6" s="12" t="inlineStr">
        <is>
          <t>Ross 308</t>
        </is>
      </c>
      <c r="H6" s="15">
        <f>tBatches[[#This Row],[Total Placed]]-tBatches[[#This Row],[Deaths]]-tBatches[[#This Row],[Heads Sold]]-tBatches[[#This Row],[Transfers Out]]</f>
        <v/>
      </c>
      <c r="I6" s="16" t="n"/>
      <c r="J6" s="12" t="inlineStr">
        <is>
          <t>Active</t>
        </is>
      </c>
      <c r="K6" s="12" t="inlineStr">
        <is>
          <t>SAMPLE DATA - delete or replace</t>
        </is>
      </c>
      <c r="L6" s="15">
        <f>SUMIFS(tMoves[[Quantity In]],tMoves[[Batch ID]],tBatches[[#This Row],[Batch ID]])</f>
        <v/>
      </c>
      <c r="M6" s="15">
        <f>SUMIFS(tMort[[Number of Deaths]],tMort[[Batch ID]],tBatches[[#This Row],[Batch ID]])</f>
        <v/>
      </c>
      <c r="N6" s="15">
        <f>SUMIFS(tSales[[Heads Removed]],tSales[[Batch ID]],tBatches[[#This Row],[Batch ID]])</f>
        <v/>
      </c>
      <c r="O6" s="15">
        <f>SUMIFS(tMoves[[Quantity Out]],tMoves[[Batch ID]],tBatches[[#This Row],[Batch ID]])</f>
        <v/>
      </c>
      <c r="P6" s="15">
        <f>N(tBatches[[#This Row],[Initial Quantity]])+tBatches[[#This Row],[Transfers In / Added]]</f>
        <v/>
      </c>
      <c r="Q6" s="15">
        <f>IF(NOT(ISNUMBER(tBatches[[#This Row],[Batch Start Date]])),"",IF(N(tBatches[[#This Row],[Closing Date]])&gt;0,tBatches[[#This Row],[Closing Date]],TODAY())-tBatches[[#This Row],[Batch Start Date]]+1)</f>
        <v/>
      </c>
      <c r="R6" s="13">
        <f>IF(tBatches[[#This Row],[Status]]="Active",tBatches[[#This Row],[Pen ID]],"")</f>
        <v/>
      </c>
      <c r="S6" s="13">
        <f>IF(AND(tBatches[[#This Row],[Batch ID]]="",tBatches[[#This Row],[Pen ID]]=""),"",IF(tBatches[[#This Row],[Batch ID]]="","Missing Batch ID",IF(COUNTIF(tBatches[[Batch ID]],tBatches[[#This Row],[Batch ID]])&gt;1,"Duplicate Batch ID",IF(COUNTIF(tPens[[Pen ID]],tBatches[[#This Row],[Pen ID]])=0,"Pen is not in PEN_REGISTER",IF(NOT(ISNUMBER(tBatches[[#This Row],[Batch Start Date]])),"Missing start date",IF(N(tBatches[[#This Row],[Initial Quantity]])&lt;=0,"Initial quantity must be &gt; 0",IF(tBatches[[#This Row],[Status]]="","Missing status",IF(tBatches[[#This Row],[Current Quantity]]&lt;0,"Negative stock - more deaths/sales than animals",IF(AND(tBatches[[#This Row],[Status]]="Closed",N(tBatches[[#This Row],[Closing Date]])=0),"Closed batch needs a closing date",IF(AND(tBatches[[#This Row],[Status]]="Closed",tBatches[[#This Row],[Current Quantity]]&gt;0),"Closed with "&amp;tBatches[[#This Row],[Current Quantity]]&amp;" animals unaccounted for",IF(AND(N(tBatches[[#This Row],[Closing Date]])&gt;0,N(tBatches[[#This Row],[Closing Date]])&lt;tBatches[[#This Row],[Batch Start Date]]),"Closing date is before start date","OK")))))))))))</f>
        <v/>
      </c>
    </row>
    <row r="7">
      <c r="A7" s="11" t="inlineStr">
        <is>
          <t>BROILER-SEP-003</t>
        </is>
      </c>
      <c r="B7" s="12" t="inlineStr">
        <is>
          <t>P003</t>
        </is>
      </c>
      <c r="C7" s="12" t="inlineStr">
        <is>
          <t>Broiler</t>
        </is>
      </c>
      <c r="D7" s="16" t="n">
        <v>46267</v>
      </c>
      <c r="E7" s="17" t="n">
        <v>450</v>
      </c>
      <c r="F7" s="12" t="inlineStr">
        <is>
          <t>Hatchery (sample)</t>
        </is>
      </c>
      <c r="G7" s="12" t="inlineStr">
        <is>
          <t>Cobb 500</t>
        </is>
      </c>
      <c r="H7" s="15">
        <f>tBatches[[#This Row],[Total Placed]]-tBatches[[#This Row],[Deaths]]-tBatches[[#This Row],[Heads Sold]]-tBatches[[#This Row],[Transfers Out]]</f>
        <v/>
      </c>
      <c r="I7" s="16" t="n"/>
      <c r="J7" s="12" t="inlineStr">
        <is>
          <t>Active</t>
        </is>
      </c>
      <c r="K7" s="12" t="inlineStr">
        <is>
          <t>SAMPLE DATA - delete or replace</t>
        </is>
      </c>
      <c r="L7" s="15">
        <f>SUMIFS(tMoves[[Quantity In]],tMoves[[Batch ID]],tBatches[[#This Row],[Batch ID]])</f>
        <v/>
      </c>
      <c r="M7" s="15">
        <f>SUMIFS(tMort[[Number of Deaths]],tMort[[Batch ID]],tBatches[[#This Row],[Batch ID]])</f>
        <v/>
      </c>
      <c r="N7" s="15">
        <f>SUMIFS(tSales[[Heads Removed]],tSales[[Batch ID]],tBatches[[#This Row],[Batch ID]])</f>
        <v/>
      </c>
      <c r="O7" s="15">
        <f>SUMIFS(tMoves[[Quantity Out]],tMoves[[Batch ID]],tBatches[[#This Row],[Batch ID]])</f>
        <v/>
      </c>
      <c r="P7" s="15">
        <f>N(tBatches[[#This Row],[Initial Quantity]])+tBatches[[#This Row],[Transfers In / Added]]</f>
        <v/>
      </c>
      <c r="Q7" s="15">
        <f>IF(NOT(ISNUMBER(tBatches[[#This Row],[Batch Start Date]])),"",IF(N(tBatches[[#This Row],[Closing Date]])&gt;0,tBatches[[#This Row],[Closing Date]],TODAY())-tBatches[[#This Row],[Batch Start Date]]+1)</f>
        <v/>
      </c>
      <c r="R7" s="13">
        <f>IF(tBatches[[#This Row],[Status]]="Active",tBatches[[#This Row],[Pen ID]],"")</f>
        <v/>
      </c>
      <c r="S7" s="13">
        <f>IF(AND(tBatches[[#This Row],[Batch ID]]="",tBatches[[#This Row],[Pen ID]]=""),"",IF(tBatches[[#This Row],[Batch ID]]="","Missing Batch ID",IF(COUNTIF(tBatches[[Batch ID]],tBatches[[#This Row],[Batch ID]])&gt;1,"Duplicate Batch ID",IF(COUNTIF(tPens[[Pen ID]],tBatches[[#This Row],[Pen ID]])=0,"Pen is not in PEN_REGISTER",IF(NOT(ISNUMBER(tBatches[[#This Row],[Batch Start Date]])),"Missing start date",IF(N(tBatches[[#This Row],[Initial Quantity]])&lt;=0,"Initial quantity must be &gt; 0",IF(tBatches[[#This Row],[Status]]="","Missing status",IF(tBatches[[#This Row],[Current Quantity]]&lt;0,"Negative stock - more deaths/sales than animals",IF(AND(tBatches[[#This Row],[Status]]="Closed",N(tBatches[[#This Row],[Closing Date]])=0),"Closed batch needs a closing date",IF(AND(tBatches[[#This Row],[Status]]="Closed",tBatches[[#This Row],[Current Quantity]]&gt;0),"Closed with "&amp;tBatches[[#This Row],[Current Quantity]]&amp;" animals unaccounted for",IF(AND(N(tBatches[[#This Row],[Closing Date]])&gt;0,N(tBatches[[#This Row],[Closing Date]])&lt;tBatches[[#This Row],[Batch Start Date]]),"Closing date is before start date","OK")))))))))))</f>
        <v/>
      </c>
    </row>
    <row r="8">
      <c r="A8" s="11" t="inlineStr">
        <is>
          <t>BROILER-SEP-004</t>
        </is>
      </c>
      <c r="B8" s="12" t="inlineStr">
        <is>
          <t>P004</t>
        </is>
      </c>
      <c r="C8" s="12" t="inlineStr">
        <is>
          <t>Broiler</t>
        </is>
      </c>
      <c r="D8" s="16" t="n">
        <v>46267</v>
      </c>
      <c r="E8" s="17" t="n">
        <v>550</v>
      </c>
      <c r="F8" s="12" t="inlineStr">
        <is>
          <t>Hatchery (sample)</t>
        </is>
      </c>
      <c r="G8" s="12" t="inlineStr">
        <is>
          <t>Arbor Acres</t>
        </is>
      </c>
      <c r="H8" s="15">
        <f>tBatches[[#This Row],[Total Placed]]-tBatches[[#This Row],[Deaths]]-tBatches[[#This Row],[Heads Sold]]-tBatches[[#This Row],[Transfers Out]]</f>
        <v/>
      </c>
      <c r="I8" s="16" t="n"/>
      <c r="J8" s="12" t="inlineStr">
        <is>
          <t>Active</t>
        </is>
      </c>
      <c r="K8" s="12" t="inlineStr">
        <is>
          <t>SAMPLE DATA - delete or replace</t>
        </is>
      </c>
      <c r="L8" s="15">
        <f>SUMIFS(tMoves[[Quantity In]],tMoves[[Batch ID]],tBatches[[#This Row],[Batch ID]])</f>
        <v/>
      </c>
      <c r="M8" s="15">
        <f>SUMIFS(tMort[[Number of Deaths]],tMort[[Batch ID]],tBatches[[#This Row],[Batch ID]])</f>
        <v/>
      </c>
      <c r="N8" s="15">
        <f>SUMIFS(tSales[[Heads Removed]],tSales[[Batch ID]],tBatches[[#This Row],[Batch ID]])</f>
        <v/>
      </c>
      <c r="O8" s="15">
        <f>SUMIFS(tMoves[[Quantity Out]],tMoves[[Batch ID]],tBatches[[#This Row],[Batch ID]])</f>
        <v/>
      </c>
      <c r="P8" s="15">
        <f>N(tBatches[[#This Row],[Initial Quantity]])+tBatches[[#This Row],[Transfers In / Added]]</f>
        <v/>
      </c>
      <c r="Q8" s="15">
        <f>IF(NOT(ISNUMBER(tBatches[[#This Row],[Batch Start Date]])),"",IF(N(tBatches[[#This Row],[Closing Date]])&gt;0,tBatches[[#This Row],[Closing Date]],TODAY())-tBatches[[#This Row],[Batch Start Date]]+1)</f>
        <v/>
      </c>
      <c r="R8" s="13">
        <f>IF(tBatches[[#This Row],[Status]]="Active",tBatches[[#This Row],[Pen ID]],"")</f>
        <v/>
      </c>
      <c r="S8" s="13">
        <f>IF(AND(tBatches[[#This Row],[Batch ID]]="",tBatches[[#This Row],[Pen ID]]=""),"",IF(tBatches[[#This Row],[Batch ID]]="","Missing Batch ID",IF(COUNTIF(tBatches[[Batch ID]],tBatches[[#This Row],[Batch ID]])&gt;1,"Duplicate Batch ID",IF(COUNTIF(tPens[[Pen ID]],tBatches[[#This Row],[Pen ID]])=0,"Pen is not in PEN_REGISTER",IF(NOT(ISNUMBER(tBatches[[#This Row],[Batch Start Date]])),"Missing start date",IF(N(tBatches[[#This Row],[Initial Quantity]])&lt;=0,"Initial quantity must be &gt; 0",IF(tBatches[[#This Row],[Status]]="","Missing status",IF(tBatches[[#This Row],[Current Quantity]]&lt;0,"Negative stock - more deaths/sales than animals",IF(AND(tBatches[[#This Row],[Status]]="Closed",N(tBatches[[#This Row],[Closing Date]])=0),"Closed batch needs a closing date",IF(AND(tBatches[[#This Row],[Status]]="Closed",tBatches[[#This Row],[Current Quantity]]&gt;0),"Closed with "&amp;tBatches[[#This Row],[Current Quantity]]&amp;" animals unaccounted for",IF(AND(N(tBatches[[#This Row],[Closing Date]])&gt;0,N(tBatches[[#This Row],[Closing Date]])&lt;tBatches[[#This Row],[Batch Start Date]]),"Closing date is before start date","OK")))))))))))</f>
        <v/>
      </c>
    </row>
    <row r="9">
      <c r="A9" s="11" t="inlineStr">
        <is>
          <t>LAYER-JUN-001</t>
        </is>
      </c>
      <c r="B9" s="12" t="inlineStr">
        <is>
          <t>P005</t>
        </is>
      </c>
      <c r="C9" s="12" t="inlineStr">
        <is>
          <t>Layer</t>
        </is>
      </c>
      <c r="D9" s="16" t="n">
        <v>46174</v>
      </c>
      <c r="E9" s="17" t="n">
        <v>400</v>
      </c>
      <c r="F9" s="12" t="inlineStr">
        <is>
          <t>Hatchery (sample)</t>
        </is>
      </c>
      <c r="G9" s="12" t="inlineStr">
        <is>
          <t>Isa Brown (point-of-lay)</t>
        </is>
      </c>
      <c r="H9" s="15">
        <f>tBatches[[#This Row],[Total Placed]]-tBatches[[#This Row],[Deaths]]-tBatches[[#This Row],[Heads Sold]]-tBatches[[#This Row],[Transfers Out]]</f>
        <v/>
      </c>
      <c r="I9" s="16" t="n"/>
      <c r="J9" s="12" t="inlineStr">
        <is>
          <t>Active</t>
        </is>
      </c>
      <c r="K9" s="12" t="inlineStr">
        <is>
          <t>SAMPLE DATA - delete or replace</t>
        </is>
      </c>
      <c r="L9" s="15">
        <f>SUMIFS(tMoves[[Quantity In]],tMoves[[Batch ID]],tBatches[[#This Row],[Batch ID]])</f>
        <v/>
      </c>
      <c r="M9" s="15">
        <f>SUMIFS(tMort[[Number of Deaths]],tMort[[Batch ID]],tBatches[[#This Row],[Batch ID]])</f>
        <v/>
      </c>
      <c r="N9" s="15">
        <f>SUMIFS(tSales[[Heads Removed]],tSales[[Batch ID]],tBatches[[#This Row],[Batch ID]])</f>
        <v/>
      </c>
      <c r="O9" s="15">
        <f>SUMIFS(tMoves[[Quantity Out]],tMoves[[Batch ID]],tBatches[[#This Row],[Batch ID]])</f>
        <v/>
      </c>
      <c r="P9" s="15">
        <f>N(tBatches[[#This Row],[Initial Quantity]])+tBatches[[#This Row],[Transfers In / Added]]</f>
        <v/>
      </c>
      <c r="Q9" s="15">
        <f>IF(NOT(ISNUMBER(tBatches[[#This Row],[Batch Start Date]])),"",IF(N(tBatches[[#This Row],[Closing Date]])&gt;0,tBatches[[#This Row],[Closing Date]],TODAY())-tBatches[[#This Row],[Batch Start Date]]+1)</f>
        <v/>
      </c>
      <c r="R9" s="13">
        <f>IF(tBatches[[#This Row],[Status]]="Active",tBatches[[#This Row],[Pen ID]],"")</f>
        <v/>
      </c>
      <c r="S9" s="13">
        <f>IF(AND(tBatches[[#This Row],[Batch ID]]="",tBatches[[#This Row],[Pen ID]]=""),"",IF(tBatches[[#This Row],[Batch ID]]="","Missing Batch ID",IF(COUNTIF(tBatches[[Batch ID]],tBatches[[#This Row],[Batch ID]])&gt;1,"Duplicate Batch ID",IF(COUNTIF(tPens[[Pen ID]],tBatches[[#This Row],[Pen ID]])=0,"Pen is not in PEN_REGISTER",IF(NOT(ISNUMBER(tBatches[[#This Row],[Batch Start Date]])),"Missing start date",IF(N(tBatches[[#This Row],[Initial Quantity]])&lt;=0,"Initial quantity must be &gt; 0",IF(tBatches[[#This Row],[Status]]="","Missing status",IF(tBatches[[#This Row],[Current Quantity]]&lt;0,"Negative stock - more deaths/sales than animals",IF(AND(tBatches[[#This Row],[Status]]="Closed",N(tBatches[[#This Row],[Closing Date]])=0),"Closed batch needs a closing date",IF(AND(tBatches[[#This Row],[Status]]="Closed",tBatches[[#This Row],[Current Quantity]]&gt;0),"Closed with "&amp;tBatches[[#This Row],[Current Quantity]]&amp;" animals unaccounted for",IF(AND(N(tBatches[[#This Row],[Closing Date]])&gt;0,N(tBatches[[#This Row],[Closing Date]])&lt;tBatches[[#This Row],[Batch Start Date]]),"Closing date is before start date","OK")))))))))))</f>
        <v/>
      </c>
    </row>
    <row r="10">
      <c r="A10" s="11" t="inlineStr">
        <is>
          <t>BROILER-JUL-001</t>
        </is>
      </c>
      <c r="B10" s="12" t="inlineStr">
        <is>
          <t>P006</t>
        </is>
      </c>
      <c r="C10" s="12" t="inlineStr">
        <is>
          <t>Broiler</t>
        </is>
      </c>
      <c r="D10" s="16" t="n">
        <v>46204</v>
      </c>
      <c r="E10" s="17" t="n">
        <v>300</v>
      </c>
      <c r="F10" s="12" t="inlineStr">
        <is>
          <t>Hatchery (sample)</t>
        </is>
      </c>
      <c r="G10" s="12" t="inlineStr">
        <is>
          <t>Cobb 500</t>
        </is>
      </c>
      <c r="H10" s="15">
        <f>tBatches[[#This Row],[Total Placed]]-tBatches[[#This Row],[Deaths]]-tBatches[[#This Row],[Heads Sold]]-tBatches[[#This Row],[Transfers Out]]</f>
        <v/>
      </c>
      <c r="I10" s="16" t="n">
        <v>46252</v>
      </c>
      <c r="J10" s="12" t="inlineStr">
        <is>
          <t>Closed</t>
        </is>
      </c>
      <c r="K10" s="12" t="inlineStr">
        <is>
          <t>SAMPLE DATA - delete or replace. Closed batch: history kept, pen P006 now Empty and can take a new batch.</t>
        </is>
      </c>
      <c r="L10" s="15">
        <f>SUMIFS(tMoves[[Quantity In]],tMoves[[Batch ID]],tBatches[[#This Row],[Batch ID]])</f>
        <v/>
      </c>
      <c r="M10" s="15">
        <f>SUMIFS(tMort[[Number of Deaths]],tMort[[Batch ID]],tBatches[[#This Row],[Batch ID]])</f>
        <v/>
      </c>
      <c r="N10" s="15">
        <f>SUMIFS(tSales[[Heads Removed]],tSales[[Batch ID]],tBatches[[#This Row],[Batch ID]])</f>
        <v/>
      </c>
      <c r="O10" s="15">
        <f>SUMIFS(tMoves[[Quantity Out]],tMoves[[Batch ID]],tBatches[[#This Row],[Batch ID]])</f>
        <v/>
      </c>
      <c r="P10" s="15">
        <f>N(tBatches[[#This Row],[Initial Quantity]])+tBatches[[#This Row],[Transfers In / Added]]</f>
        <v/>
      </c>
      <c r="Q10" s="15">
        <f>IF(NOT(ISNUMBER(tBatches[[#This Row],[Batch Start Date]])),"",IF(N(tBatches[[#This Row],[Closing Date]])&gt;0,tBatches[[#This Row],[Closing Date]],TODAY())-tBatches[[#This Row],[Batch Start Date]]+1)</f>
        <v/>
      </c>
      <c r="R10" s="13">
        <f>IF(tBatches[[#This Row],[Status]]="Active",tBatches[[#This Row],[Pen ID]],"")</f>
        <v/>
      </c>
      <c r="S10" s="13">
        <f>IF(AND(tBatches[[#This Row],[Batch ID]]="",tBatches[[#This Row],[Pen ID]]=""),"",IF(tBatches[[#This Row],[Batch ID]]="","Missing Batch ID",IF(COUNTIF(tBatches[[Batch ID]],tBatches[[#This Row],[Batch ID]])&gt;1,"Duplicate Batch ID",IF(COUNTIF(tPens[[Pen ID]],tBatches[[#This Row],[Pen ID]])=0,"Pen is not in PEN_REGISTER",IF(NOT(ISNUMBER(tBatches[[#This Row],[Batch Start Date]])),"Missing start date",IF(N(tBatches[[#This Row],[Initial Quantity]])&lt;=0,"Initial quantity must be &gt; 0",IF(tBatches[[#This Row],[Status]]="","Missing status",IF(tBatches[[#This Row],[Current Quantity]]&lt;0,"Negative stock - more deaths/sales than animals",IF(AND(tBatches[[#This Row],[Status]]="Closed",N(tBatches[[#This Row],[Closing Date]])=0),"Closed batch needs a closing date",IF(AND(tBatches[[#This Row],[Status]]="Closed",tBatches[[#This Row],[Current Quantity]]&gt;0),"Closed with "&amp;tBatches[[#This Row],[Current Quantity]]&amp;" animals unaccounted for",IF(AND(N(tBatches[[#This Row],[Closing Date]])&gt;0,N(tBatches[[#This Row],[Closing Date]])&lt;tBatches[[#This Row],[Batch Start Date]]),"Closing date is before start date","OK")))))))))))</f>
        <v/>
      </c>
    </row>
  </sheetData>
  <conditionalFormatting sqref="S5:S5000">
    <cfRule type="expression" priority="1" dxfId="0">
      <formula>AND(S5&lt;&gt;"",S5&lt;&gt;"OK")</formula>
    </cfRule>
    <cfRule type="expression" priority="2" dxfId="1">
      <formula>S5="OK"</formula>
    </cfRule>
  </conditionalFormatting>
  <conditionalFormatting sqref="H5:H5000">
    <cfRule type="cellIs" priority="3" operator="lessThan" dxfId="5">
      <formula>0</formula>
    </cfRule>
  </conditionalFormatting>
  <dataValidations count="7">
    <dataValidation sqref="B5:B5000" showDropDown="0" showInputMessage="0" showErrorMessage="1" allowBlank="1" errorTitle="Not in list" error="Choose a value from the dropdown list (lists are maintained on the LISTS / register sheets)." type="list">
      <formula1>L_Pens</formula1>
    </dataValidation>
    <dataValidation sqref="C5:C5000" showDropDown="0" showInputMessage="0" showErrorMessage="1" allowBlank="1" errorTitle="Not in list" error="Choose a value from the dropdown list (lists are maintained on the LISTS / register sheets)." type="list">
      <formula1>L_Animals</formula1>
    </dataValidation>
    <dataValidation sqref="D5:D5000" showDropDown="0" showInputMessage="0" showErrorMessage="1" allowBlank="1" errorTitle="Invalid date" error="Enter a valid date (DD/MM/YYYY) between 01/01/2000 and 31/12/2099." type="date" operator="between">
      <formula1>36526</formula1>
      <formula2>73050</formula2>
    </dataValidation>
    <dataValidation sqref="E5:E5000" showDropDown="0" showInputMessage="0" showErrorMessage="1" allowBlank="1" errorTitle="Invalid number" error="Enter a whole number that is zero or greater." type="whole" operator="greaterThanOrEqual">
      <formula1>0</formula1>
    </dataValidation>
    <dataValidation sqref="F5:F5000" showDropDown="0" showInputMessage="0" showErrorMessage="0" allowBlank="1" errorTitle="Not in list" error="Choose a value from the dropdown list (lists are maintained on the LISTS / register sheets)." type="list">
      <formula1>L_Suppliers</formula1>
    </dataValidation>
    <dataValidation sqref="I5:I5000" showDropDown="0" showInputMessage="0" showErrorMessage="1" allowBlank="1" errorTitle="Invalid date" error="Enter a valid date (DD/MM/YYYY) between 01/01/2000 and 31/12/2099." type="date" operator="between">
      <formula1>36526</formula1>
      <formula2>73050</formula2>
    </dataValidation>
    <dataValidation sqref="J5:J5000" showDropDown="0" showInputMessage="0" showErrorMessage="1" allowBlank="1" errorTitle="Not in list" error="Choose a value from the dropdown list (lists are maintained on the LISTS / register sheets)." type="list">
      <formula1>"Active,Closed"</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10"/>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13" customWidth="1" min="3" max="3"/>
    <col width="20" customWidth="1" min="4" max="4"/>
    <col width="9" customWidth="1" min="5" max="5"/>
    <col width="8" customWidth="1" min="6" max="6"/>
    <col width="10" customWidth="1" min="7" max="7"/>
    <col width="11" customWidth="1" min="8" max="8"/>
    <col width="13" customWidth="1" min="9" max="9"/>
    <col width="10" customWidth="1" min="10" max="10"/>
    <col width="10" customWidth="1" min="11" max="11"/>
    <col width="11" customWidth="1" min="12" max="12"/>
    <col width="34" customWidth="1" min="13" max="13"/>
    <col width="8" customWidth="1" min="14" max="14"/>
    <col width="10" customWidth="1" min="15" max="15"/>
    <col width="11" customWidth="1" min="16" max="16"/>
    <col width="26" customWidth="1" min="17" max="17"/>
  </cols>
  <sheetData>
    <row r="1">
      <c r="A1" s="1" t="inlineStr">
        <is>
          <t>FEED PURCHASES</t>
        </is>
      </c>
    </row>
    <row r="2">
      <c r="A2" s="7" t="inlineStr">
        <is>
          <t>Record each purchase ONCE. Feed goes into the store (INVENTORY) - it only becomes a pen/batch cost when it is issued on FEED_ISSUES. Inventory unit = kg.</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Purchase ID</t>
        </is>
      </c>
      <c r="C4" s="9" t="inlineStr">
        <is>
          <t>Feed Type</t>
        </is>
      </c>
      <c r="D4" s="9" t="inlineStr">
        <is>
          <t>Supplier</t>
        </is>
      </c>
      <c r="E4" s="9" t="inlineStr">
        <is>
          <t>Quantity in Bags</t>
        </is>
      </c>
      <c r="F4" s="9" t="inlineStr">
        <is>
          <t>Bag Size in kg</t>
        </is>
      </c>
      <c r="G4" s="10" t="inlineStr">
        <is>
          <t>Total Quantity in kg</t>
        </is>
      </c>
      <c r="H4" s="9" t="inlineStr">
        <is>
          <t>Price per Bag</t>
        </is>
      </c>
      <c r="I4" s="10" t="inlineStr">
        <is>
          <t>Total Cost</t>
        </is>
      </c>
      <c r="J4" s="10" t="inlineStr">
        <is>
          <t>Cost per kg</t>
        </is>
      </c>
      <c r="K4" s="9" t="inlineStr">
        <is>
          <t>Payment Method</t>
        </is>
      </c>
      <c r="L4" s="9" t="inlineStr">
        <is>
          <t>Reference</t>
        </is>
      </c>
      <c r="M4" s="9" t="inlineStr">
        <is>
          <t>Notes</t>
        </is>
      </c>
      <c r="N4" s="10" t="inlineStr">
        <is>
          <t>Purchase No. of Type</t>
        </is>
      </c>
      <c r="O4" s="10" t="inlineStr">
        <is>
          <t>Stock Before Purchase kg</t>
        </is>
      </c>
      <c r="P4" s="10" t="inlineStr">
        <is>
          <t>Avg Cost per kg After Purchase</t>
        </is>
      </c>
      <c r="Q4" s="10" t="inlineStr">
        <is>
          <t>Check</t>
        </is>
      </c>
    </row>
    <row r="5">
      <c r="A5" s="16" t="n">
        <v>46204</v>
      </c>
      <c r="B5" s="13">
        <f>"FP-"&amp;TEXT(ROW()-ROW(tFeedPur[[#Headers],[Date]]),"00000")</f>
        <v/>
      </c>
      <c r="C5" s="12" t="inlineStr">
        <is>
          <t>Starter</t>
        </is>
      </c>
      <c r="D5" s="12" t="inlineStr">
        <is>
          <t>Feed Supplier A (sample)</t>
        </is>
      </c>
      <c r="E5" s="18" t="n">
        <v>12</v>
      </c>
      <c r="F5" s="18" t="n">
        <v>25</v>
      </c>
      <c r="G5" s="19">
        <f>N(tFeedPur[[#This Row],[Quantity in Bags]])*N(tFeedPur[[#This Row],[Bag Size in kg]])</f>
        <v/>
      </c>
      <c r="H5" s="20" t="n">
        <v>14000</v>
      </c>
      <c r="I5" s="21">
        <f>N(tFeedPur[[#This Row],[Quantity in Bags]])*N(tFeedPur[[#This Row],[Price per Bag]])</f>
        <v/>
      </c>
      <c r="J5" s="22">
        <f>IFERROR(tFeedPur[[#This Row],[Total Cost]]/tFeedPur[[#This Row],[Total Quantity in kg]],0)</f>
        <v/>
      </c>
      <c r="K5" s="12" t="inlineStr">
        <is>
          <t>Transfer</t>
        </is>
      </c>
      <c r="L5" s="12" t="inlineStr">
        <is>
          <t>INV-1001</t>
        </is>
      </c>
      <c r="M5" s="12" t="inlineStr">
        <is>
          <t>SAMPLE DATA - delete or replace</t>
        </is>
      </c>
      <c r="N5" s="15">
        <f>COUNTIF(INDEX(tFeedPur[[Feed Type]],1):tFeedPur[[#This Row],[Feed Type]],tFeedPur[[#This Row],[Feed Type]])</f>
        <v/>
      </c>
      <c r="O5" s="19">
        <f>MAX(0,IF((ROW()-ROW(tFeedPur[[#Headers],[Date]]))=1,0,SUMIFS(INDEX(tFeedPur[[Total Quantity in kg]],1):INDEX(tFeedPur[[Total Quantity in kg]],(ROW()-ROW(tFeedPur[[#Headers],[Date]]))-1),INDEX(tFeedPur[[Feed Type]],1):INDEX(tFeedPur[[Feed Type]],(ROW()-ROW(tFeedPur[[#Headers],[Date]]))-1),tFeedPur[[#This Row],[Feed Type]]))-SUMIFS(tFeedIss[[Quantity Issued in kg]],tFeedIss[[Feed Type]],tFeedPur[[#This Row],[Feed Type]],tFeedIss[[Date]],"&lt;"&amp;tFeedPur[[#This Row],[Date]]))</f>
        <v/>
      </c>
      <c r="P5" s="22">
        <f>IFERROR((tFeedPur[[#This Row],[Stock Before Purchase kg]]*IF(tFeedPur[[#This Row],[Purchase No. of Type]]=1,0,LOOKUP(2,1/(INDEX(tFeedPur[[Feed Type]],1):INDEX(tFeedPur[[Feed Type]],(ROW()-ROW(tFeedPur[[#Headers],[Date]]))-1)=tFeedPur[[#This Row],[Feed Type]]),INDEX(tFeedPur[[Avg Cost per kg After Purchase]],1):INDEX(tFeedPur[[Avg Cost per kg After Purchase]],(ROW()-ROW(tFeedPur[[#Headers],[Date]]))-1)))+N(tFeedPur[[#This Row],[Total Cost]]))/(tFeedPur[[#This Row],[Stock Before Purchase kg]]+N(tFeedPur[[#This Row],[Total Quantity in kg]])),IF(tFeedPur[[#This Row],[Purchase No. of Type]]=1,0,LOOKUP(2,1/(INDEX(tFeedPur[[Feed Type]],1):INDEX(tFeedPur[[Feed Type]],(ROW()-ROW(tFeedPur[[#Headers],[Date]]))-1)=tFeedPur[[#This Row],[Feed Type]]),INDEX(tFeedPur[[Avg Cost per kg After Purchase]],1):INDEX(tFeedPur[[Avg Cost per kg After Purchase]],(ROW()-ROW(tFeedPur[[#Headers],[Date]]))-1))))</f>
        <v/>
      </c>
      <c r="Q5" s="13">
        <f>IF(AND(tFeedPur[[#This Row],[Date]]="",tFeedPur[[#This Row],[Feed Type]]="",tFeedPur[[#This Row],[Quantity in Bags]]=""),"",IF(tFeedPur[[#This Row],[Date]]="","Missing date",IF(NOT(ISNUMBER(tFeedPur[[#This Row],[Date]])),"Date is not a valid date",IF(AND((ROW()-ROW(tFeedPur[[#Headers],[Date]]))&gt;1,tFeedPur[[#This Row],[Date]]&lt;INDEX(tFeedPur[[Date]],MAX(1,(ROW()-ROW(tFeedPur[[#Headers],[Date]]))-1))),"Out of date order - insert this row after earlier purchases",IF(tFeedPur[[#This Row],[Feed Type]]="","Missing feed type",IF(COUNTIF(tFeedTypes[[Feed Type]],tFeedPur[[#This Row],[Feed Type]])=0,"Feed type not in LISTS",IF(N(tFeedPur[[#This Row],[Quantity in Bags]])&lt;=0,"Bags must be greater than 0",IF(N(tFeedPur[[#This Row],[Bag Size in kg]])&lt;=0,"Missing bag size",IF(tFeedPur[[#This Row],[Price per Bag]]="","Missing price",IF(tFeedPur[[#This Row],[Payment Method]]="","Missing payment method","OK"))))))))))</f>
        <v/>
      </c>
    </row>
    <row r="6">
      <c r="A6" s="16" t="n">
        <v>46204</v>
      </c>
      <c r="B6" s="13">
        <f>"FP-"&amp;TEXT(ROW()-ROW(tFeedPur[[#Headers],[Date]]),"00000")</f>
        <v/>
      </c>
      <c r="C6" s="12" t="inlineStr">
        <is>
          <t>Layer Mash</t>
        </is>
      </c>
      <c r="D6" s="12" t="inlineStr">
        <is>
          <t>Feed Supplier A (sample)</t>
        </is>
      </c>
      <c r="E6" s="18" t="n">
        <v>20</v>
      </c>
      <c r="F6" s="18" t="n">
        <v>25</v>
      </c>
      <c r="G6" s="19">
        <f>N(tFeedPur[[#This Row],[Quantity in Bags]])*N(tFeedPur[[#This Row],[Bag Size in kg]])</f>
        <v/>
      </c>
      <c r="H6" s="20" t="n">
        <v>13500</v>
      </c>
      <c r="I6" s="21">
        <f>N(tFeedPur[[#This Row],[Quantity in Bags]])*N(tFeedPur[[#This Row],[Price per Bag]])</f>
        <v/>
      </c>
      <c r="J6" s="22">
        <f>IFERROR(tFeedPur[[#This Row],[Total Cost]]/tFeedPur[[#This Row],[Total Quantity in kg]],0)</f>
        <v/>
      </c>
      <c r="K6" s="12" t="inlineStr">
        <is>
          <t>Transfer</t>
        </is>
      </c>
      <c r="L6" s="12" t="inlineStr">
        <is>
          <t>INV-1002</t>
        </is>
      </c>
      <c r="M6" s="12" t="inlineStr">
        <is>
          <t>SAMPLE DATA - delete or replace</t>
        </is>
      </c>
      <c r="N6" s="15">
        <f>COUNTIF(INDEX(tFeedPur[[Feed Type]],1):tFeedPur[[#This Row],[Feed Type]],tFeedPur[[#This Row],[Feed Type]])</f>
        <v/>
      </c>
      <c r="O6" s="19">
        <f>MAX(0,IF((ROW()-ROW(tFeedPur[[#Headers],[Date]]))=1,0,SUMIFS(INDEX(tFeedPur[[Total Quantity in kg]],1):INDEX(tFeedPur[[Total Quantity in kg]],(ROW()-ROW(tFeedPur[[#Headers],[Date]]))-1),INDEX(tFeedPur[[Feed Type]],1):INDEX(tFeedPur[[Feed Type]],(ROW()-ROW(tFeedPur[[#Headers],[Date]]))-1),tFeedPur[[#This Row],[Feed Type]]))-SUMIFS(tFeedIss[[Quantity Issued in kg]],tFeedIss[[Feed Type]],tFeedPur[[#This Row],[Feed Type]],tFeedIss[[Date]],"&lt;"&amp;tFeedPur[[#This Row],[Date]]))</f>
        <v/>
      </c>
      <c r="P6" s="22">
        <f>IFERROR((tFeedPur[[#This Row],[Stock Before Purchase kg]]*IF(tFeedPur[[#This Row],[Purchase No. of Type]]=1,0,LOOKUP(2,1/(INDEX(tFeedPur[[Feed Type]],1):INDEX(tFeedPur[[Feed Type]],(ROW()-ROW(tFeedPur[[#Headers],[Date]]))-1)=tFeedPur[[#This Row],[Feed Type]]),INDEX(tFeedPur[[Avg Cost per kg After Purchase]],1):INDEX(tFeedPur[[Avg Cost per kg After Purchase]],(ROW()-ROW(tFeedPur[[#Headers],[Date]]))-1)))+N(tFeedPur[[#This Row],[Total Cost]]))/(tFeedPur[[#This Row],[Stock Before Purchase kg]]+N(tFeedPur[[#This Row],[Total Quantity in kg]])),IF(tFeedPur[[#This Row],[Purchase No. of Type]]=1,0,LOOKUP(2,1/(INDEX(tFeedPur[[Feed Type]],1):INDEX(tFeedPur[[Feed Type]],(ROW()-ROW(tFeedPur[[#Headers],[Date]]))-1)=tFeedPur[[#This Row],[Feed Type]]),INDEX(tFeedPur[[Avg Cost per kg After Purchase]],1):INDEX(tFeedPur[[Avg Cost per kg After Purchase]],(ROW()-ROW(tFeedPur[[#Headers],[Date]]))-1))))</f>
        <v/>
      </c>
      <c r="Q6" s="13">
        <f>IF(AND(tFeedPur[[#This Row],[Date]]="",tFeedPur[[#This Row],[Feed Type]]="",tFeedPur[[#This Row],[Quantity in Bags]]=""),"",IF(tFeedPur[[#This Row],[Date]]="","Missing date",IF(NOT(ISNUMBER(tFeedPur[[#This Row],[Date]])),"Date is not a valid date",IF(AND((ROW()-ROW(tFeedPur[[#Headers],[Date]]))&gt;1,tFeedPur[[#This Row],[Date]]&lt;INDEX(tFeedPur[[Date]],MAX(1,(ROW()-ROW(tFeedPur[[#Headers],[Date]]))-1))),"Out of date order - insert this row after earlier purchases",IF(tFeedPur[[#This Row],[Feed Type]]="","Missing feed type",IF(COUNTIF(tFeedTypes[[Feed Type]],tFeedPur[[#This Row],[Feed Type]])=0,"Feed type not in LISTS",IF(N(tFeedPur[[#This Row],[Quantity in Bags]])&lt;=0,"Bags must be greater than 0",IF(N(tFeedPur[[#This Row],[Bag Size in kg]])&lt;=0,"Missing bag size",IF(tFeedPur[[#This Row],[Price per Bag]]="","Missing price",IF(tFeedPur[[#This Row],[Payment Method]]="","Missing payment method","OK"))))))))))</f>
        <v/>
      </c>
    </row>
    <row r="7">
      <c r="A7" s="16" t="n">
        <v>46223</v>
      </c>
      <c r="B7" s="13">
        <f>"FP-"&amp;TEXT(ROW()-ROW(tFeedPur[[#Headers],[Date]]),"00000")</f>
        <v/>
      </c>
      <c r="C7" s="12" t="inlineStr">
        <is>
          <t>Finisher</t>
        </is>
      </c>
      <c r="D7" s="12" t="inlineStr">
        <is>
          <t>Feed Supplier B (sample)</t>
        </is>
      </c>
      <c r="E7" s="18" t="n">
        <v>12</v>
      </c>
      <c r="F7" s="18" t="n">
        <v>25</v>
      </c>
      <c r="G7" s="19">
        <f>N(tFeedPur[[#This Row],[Quantity in Bags]])*N(tFeedPur[[#This Row],[Bag Size in kg]])</f>
        <v/>
      </c>
      <c r="H7" s="20" t="n">
        <v>14500</v>
      </c>
      <c r="I7" s="21">
        <f>N(tFeedPur[[#This Row],[Quantity in Bags]])*N(tFeedPur[[#This Row],[Price per Bag]])</f>
        <v/>
      </c>
      <c r="J7" s="22">
        <f>IFERROR(tFeedPur[[#This Row],[Total Cost]]/tFeedPur[[#This Row],[Total Quantity in kg]],0)</f>
        <v/>
      </c>
      <c r="K7" s="12" t="inlineStr">
        <is>
          <t>Cash</t>
        </is>
      </c>
      <c r="L7" s="12" t="inlineStr">
        <is>
          <t>RCPT-220</t>
        </is>
      </c>
      <c r="M7" s="12" t="inlineStr">
        <is>
          <t>SAMPLE DATA - delete or replace</t>
        </is>
      </c>
      <c r="N7" s="15">
        <f>COUNTIF(INDEX(tFeedPur[[Feed Type]],1):tFeedPur[[#This Row],[Feed Type]],tFeedPur[[#This Row],[Feed Type]])</f>
        <v/>
      </c>
      <c r="O7" s="19">
        <f>MAX(0,IF((ROW()-ROW(tFeedPur[[#Headers],[Date]]))=1,0,SUMIFS(INDEX(tFeedPur[[Total Quantity in kg]],1):INDEX(tFeedPur[[Total Quantity in kg]],(ROW()-ROW(tFeedPur[[#Headers],[Date]]))-1),INDEX(tFeedPur[[Feed Type]],1):INDEX(tFeedPur[[Feed Type]],(ROW()-ROW(tFeedPur[[#Headers],[Date]]))-1),tFeedPur[[#This Row],[Feed Type]]))-SUMIFS(tFeedIss[[Quantity Issued in kg]],tFeedIss[[Feed Type]],tFeedPur[[#This Row],[Feed Type]],tFeedIss[[Date]],"&lt;"&amp;tFeedPur[[#This Row],[Date]]))</f>
        <v/>
      </c>
      <c r="P7" s="22">
        <f>IFERROR((tFeedPur[[#This Row],[Stock Before Purchase kg]]*IF(tFeedPur[[#This Row],[Purchase No. of Type]]=1,0,LOOKUP(2,1/(INDEX(tFeedPur[[Feed Type]],1):INDEX(tFeedPur[[Feed Type]],(ROW()-ROW(tFeedPur[[#Headers],[Date]]))-1)=tFeedPur[[#This Row],[Feed Type]]),INDEX(tFeedPur[[Avg Cost per kg After Purchase]],1):INDEX(tFeedPur[[Avg Cost per kg After Purchase]],(ROW()-ROW(tFeedPur[[#Headers],[Date]]))-1)))+N(tFeedPur[[#This Row],[Total Cost]]))/(tFeedPur[[#This Row],[Stock Before Purchase kg]]+N(tFeedPur[[#This Row],[Total Quantity in kg]])),IF(tFeedPur[[#This Row],[Purchase No. of Type]]=1,0,LOOKUP(2,1/(INDEX(tFeedPur[[Feed Type]],1):INDEX(tFeedPur[[Feed Type]],(ROW()-ROW(tFeedPur[[#Headers],[Date]]))-1)=tFeedPur[[#This Row],[Feed Type]]),INDEX(tFeedPur[[Avg Cost per kg After Purchase]],1):INDEX(tFeedPur[[Avg Cost per kg After Purchase]],(ROW()-ROW(tFeedPur[[#Headers],[Date]]))-1))))</f>
        <v/>
      </c>
      <c r="Q7" s="13">
        <f>IF(AND(tFeedPur[[#This Row],[Date]]="",tFeedPur[[#This Row],[Feed Type]]="",tFeedPur[[#This Row],[Quantity in Bags]]=""),"",IF(tFeedPur[[#This Row],[Date]]="","Missing date",IF(NOT(ISNUMBER(tFeedPur[[#This Row],[Date]])),"Date is not a valid date",IF(AND((ROW()-ROW(tFeedPur[[#Headers],[Date]]))&gt;1,tFeedPur[[#This Row],[Date]]&lt;INDEX(tFeedPur[[Date]],MAX(1,(ROW()-ROW(tFeedPur[[#Headers],[Date]]))-1))),"Out of date order - insert this row after earlier purchases",IF(tFeedPur[[#This Row],[Feed Type]]="","Missing feed type",IF(COUNTIF(tFeedTypes[[Feed Type]],tFeedPur[[#This Row],[Feed Type]])=0,"Feed type not in LISTS",IF(N(tFeedPur[[#This Row],[Quantity in Bags]])&lt;=0,"Bags must be greater than 0",IF(N(tFeedPur[[#This Row],[Bag Size in kg]])&lt;=0,"Missing bag size",IF(tFeedPur[[#This Row],[Price per Bag]]="","Missing price",IF(tFeedPur[[#This Row],[Payment Method]]="","Missing payment method","OK"))))))))))</f>
        <v/>
      </c>
    </row>
    <row r="8">
      <c r="A8" s="16" t="n">
        <v>46264</v>
      </c>
      <c r="B8" s="13">
        <f>"FP-"&amp;TEXT(ROW()-ROW(tFeedPur[[#Headers],[Date]]),"00000")</f>
        <v/>
      </c>
      <c r="C8" s="12" t="inlineStr">
        <is>
          <t>Starter</t>
        </is>
      </c>
      <c r="D8" s="12" t="inlineStr">
        <is>
          <t>Feed Supplier A (sample)</t>
        </is>
      </c>
      <c r="E8" s="18" t="n">
        <v>20</v>
      </c>
      <c r="F8" s="18" t="n">
        <v>25</v>
      </c>
      <c r="G8" s="19">
        <f>N(tFeedPur[[#This Row],[Quantity in Bags]])*N(tFeedPur[[#This Row],[Bag Size in kg]])</f>
        <v/>
      </c>
      <c r="H8" s="20" t="n">
        <v>15500</v>
      </c>
      <c r="I8" s="21">
        <f>N(tFeedPur[[#This Row],[Quantity in Bags]])*N(tFeedPur[[#This Row],[Price per Bag]])</f>
        <v/>
      </c>
      <c r="J8" s="22">
        <f>IFERROR(tFeedPur[[#This Row],[Total Cost]]/tFeedPur[[#This Row],[Total Quantity in kg]],0)</f>
        <v/>
      </c>
      <c r="K8" s="12" t="inlineStr">
        <is>
          <t>Transfer</t>
        </is>
      </c>
      <c r="L8" s="12" t="inlineStr">
        <is>
          <t>INV-1088</t>
        </is>
      </c>
      <c r="M8" s="12" t="inlineStr">
        <is>
          <t>SAMPLE DATA - delete or replace. 20 bags x 25 kg = 500 kg, recorded ONCE then issued to several pens.</t>
        </is>
      </c>
      <c r="N8" s="15">
        <f>COUNTIF(INDEX(tFeedPur[[Feed Type]],1):tFeedPur[[#This Row],[Feed Type]],tFeedPur[[#This Row],[Feed Type]])</f>
        <v/>
      </c>
      <c r="O8" s="19">
        <f>MAX(0,IF((ROW()-ROW(tFeedPur[[#Headers],[Date]]))=1,0,SUMIFS(INDEX(tFeedPur[[Total Quantity in kg]],1):INDEX(tFeedPur[[Total Quantity in kg]],(ROW()-ROW(tFeedPur[[#Headers],[Date]]))-1),INDEX(tFeedPur[[Feed Type]],1):INDEX(tFeedPur[[Feed Type]],(ROW()-ROW(tFeedPur[[#Headers],[Date]]))-1),tFeedPur[[#This Row],[Feed Type]]))-SUMIFS(tFeedIss[[Quantity Issued in kg]],tFeedIss[[Feed Type]],tFeedPur[[#This Row],[Feed Type]],tFeedIss[[Date]],"&lt;"&amp;tFeedPur[[#This Row],[Date]]))</f>
        <v/>
      </c>
      <c r="P8" s="22">
        <f>IFERROR((tFeedPur[[#This Row],[Stock Before Purchase kg]]*IF(tFeedPur[[#This Row],[Purchase No. of Type]]=1,0,LOOKUP(2,1/(INDEX(tFeedPur[[Feed Type]],1):INDEX(tFeedPur[[Feed Type]],(ROW()-ROW(tFeedPur[[#Headers],[Date]]))-1)=tFeedPur[[#This Row],[Feed Type]]),INDEX(tFeedPur[[Avg Cost per kg After Purchase]],1):INDEX(tFeedPur[[Avg Cost per kg After Purchase]],(ROW()-ROW(tFeedPur[[#Headers],[Date]]))-1)))+N(tFeedPur[[#This Row],[Total Cost]]))/(tFeedPur[[#This Row],[Stock Before Purchase kg]]+N(tFeedPur[[#This Row],[Total Quantity in kg]])),IF(tFeedPur[[#This Row],[Purchase No. of Type]]=1,0,LOOKUP(2,1/(INDEX(tFeedPur[[Feed Type]],1):INDEX(tFeedPur[[Feed Type]],(ROW()-ROW(tFeedPur[[#Headers],[Date]]))-1)=tFeedPur[[#This Row],[Feed Type]]),INDEX(tFeedPur[[Avg Cost per kg After Purchase]],1):INDEX(tFeedPur[[Avg Cost per kg After Purchase]],(ROW()-ROW(tFeedPur[[#Headers],[Date]]))-1))))</f>
        <v/>
      </c>
      <c r="Q8" s="13">
        <f>IF(AND(tFeedPur[[#This Row],[Date]]="",tFeedPur[[#This Row],[Feed Type]]="",tFeedPur[[#This Row],[Quantity in Bags]]=""),"",IF(tFeedPur[[#This Row],[Date]]="","Missing date",IF(NOT(ISNUMBER(tFeedPur[[#This Row],[Date]])),"Date is not a valid date",IF(AND((ROW()-ROW(tFeedPur[[#Headers],[Date]]))&gt;1,tFeedPur[[#This Row],[Date]]&lt;INDEX(tFeedPur[[Date]],MAX(1,(ROW()-ROW(tFeedPur[[#Headers],[Date]]))-1))),"Out of date order - insert this row after earlier purchases",IF(tFeedPur[[#This Row],[Feed Type]]="","Missing feed type",IF(COUNTIF(tFeedTypes[[Feed Type]],tFeedPur[[#This Row],[Feed Type]])=0,"Feed type not in LISTS",IF(N(tFeedPur[[#This Row],[Quantity in Bags]])&lt;=0,"Bags must be greater than 0",IF(N(tFeedPur[[#This Row],[Bag Size in kg]])&lt;=0,"Missing bag size",IF(tFeedPur[[#This Row],[Price per Bag]]="","Missing price",IF(tFeedPur[[#This Row],[Payment Method]]="","Missing payment method","OK"))))))))))</f>
        <v/>
      </c>
    </row>
    <row r="9">
      <c r="A9" s="16" t="n">
        <v>46280</v>
      </c>
      <c r="B9" s="13">
        <f>"FP-"&amp;TEXT(ROW()-ROW(tFeedPur[[#Headers],[Date]]),"00000")</f>
        <v/>
      </c>
      <c r="C9" s="12" t="inlineStr">
        <is>
          <t>Starter</t>
        </is>
      </c>
      <c r="D9" s="12" t="inlineStr">
        <is>
          <t>Feed Supplier B (sample)</t>
        </is>
      </c>
      <c r="E9" s="18" t="n">
        <v>10</v>
      </c>
      <c r="F9" s="18" t="n">
        <v>25</v>
      </c>
      <c r="G9" s="19">
        <f>N(tFeedPur[[#This Row],[Quantity in Bags]])*N(tFeedPur[[#This Row],[Bag Size in kg]])</f>
        <v/>
      </c>
      <c r="H9" s="20" t="n">
        <v>16500</v>
      </c>
      <c r="I9" s="21">
        <f>N(tFeedPur[[#This Row],[Quantity in Bags]])*N(tFeedPur[[#This Row],[Price per Bag]])</f>
        <v/>
      </c>
      <c r="J9" s="22">
        <f>IFERROR(tFeedPur[[#This Row],[Total Cost]]/tFeedPur[[#This Row],[Total Quantity in kg]],0)</f>
        <v/>
      </c>
      <c r="K9" s="12" t="inlineStr">
        <is>
          <t>POS</t>
        </is>
      </c>
      <c r="L9" s="12" t="inlineStr">
        <is>
          <t>RCPT-301</t>
        </is>
      </c>
      <c r="M9" s="12" t="inlineStr">
        <is>
          <t>SAMPLE DATA - delete or replace</t>
        </is>
      </c>
      <c r="N9" s="15">
        <f>COUNTIF(INDEX(tFeedPur[[Feed Type]],1):tFeedPur[[#This Row],[Feed Type]],tFeedPur[[#This Row],[Feed Type]])</f>
        <v/>
      </c>
      <c r="O9" s="19">
        <f>MAX(0,IF((ROW()-ROW(tFeedPur[[#Headers],[Date]]))=1,0,SUMIFS(INDEX(tFeedPur[[Total Quantity in kg]],1):INDEX(tFeedPur[[Total Quantity in kg]],(ROW()-ROW(tFeedPur[[#Headers],[Date]]))-1),INDEX(tFeedPur[[Feed Type]],1):INDEX(tFeedPur[[Feed Type]],(ROW()-ROW(tFeedPur[[#Headers],[Date]]))-1),tFeedPur[[#This Row],[Feed Type]]))-SUMIFS(tFeedIss[[Quantity Issued in kg]],tFeedIss[[Feed Type]],tFeedPur[[#This Row],[Feed Type]],tFeedIss[[Date]],"&lt;"&amp;tFeedPur[[#This Row],[Date]]))</f>
        <v/>
      </c>
      <c r="P9" s="22">
        <f>IFERROR((tFeedPur[[#This Row],[Stock Before Purchase kg]]*IF(tFeedPur[[#This Row],[Purchase No. of Type]]=1,0,LOOKUP(2,1/(INDEX(tFeedPur[[Feed Type]],1):INDEX(tFeedPur[[Feed Type]],(ROW()-ROW(tFeedPur[[#Headers],[Date]]))-1)=tFeedPur[[#This Row],[Feed Type]]),INDEX(tFeedPur[[Avg Cost per kg After Purchase]],1):INDEX(tFeedPur[[Avg Cost per kg After Purchase]],(ROW()-ROW(tFeedPur[[#Headers],[Date]]))-1)))+N(tFeedPur[[#This Row],[Total Cost]]))/(tFeedPur[[#This Row],[Stock Before Purchase kg]]+N(tFeedPur[[#This Row],[Total Quantity in kg]])),IF(tFeedPur[[#This Row],[Purchase No. of Type]]=1,0,LOOKUP(2,1/(INDEX(tFeedPur[[Feed Type]],1):INDEX(tFeedPur[[Feed Type]],(ROW()-ROW(tFeedPur[[#Headers],[Date]]))-1)=tFeedPur[[#This Row],[Feed Type]]),INDEX(tFeedPur[[Avg Cost per kg After Purchase]],1):INDEX(tFeedPur[[Avg Cost per kg After Purchase]],(ROW()-ROW(tFeedPur[[#Headers],[Date]]))-1))))</f>
        <v/>
      </c>
      <c r="Q9" s="13">
        <f>IF(AND(tFeedPur[[#This Row],[Date]]="",tFeedPur[[#This Row],[Feed Type]]="",tFeedPur[[#This Row],[Quantity in Bags]]=""),"",IF(tFeedPur[[#This Row],[Date]]="","Missing date",IF(NOT(ISNUMBER(tFeedPur[[#This Row],[Date]])),"Date is not a valid date",IF(AND((ROW()-ROW(tFeedPur[[#Headers],[Date]]))&gt;1,tFeedPur[[#This Row],[Date]]&lt;INDEX(tFeedPur[[Date]],MAX(1,(ROW()-ROW(tFeedPur[[#Headers],[Date]]))-1))),"Out of date order - insert this row after earlier purchases",IF(tFeedPur[[#This Row],[Feed Type]]="","Missing feed type",IF(COUNTIF(tFeedTypes[[Feed Type]],tFeedPur[[#This Row],[Feed Type]])=0,"Feed type not in LISTS",IF(N(tFeedPur[[#This Row],[Quantity in Bags]])&lt;=0,"Bags must be greater than 0",IF(N(tFeedPur[[#This Row],[Bag Size in kg]])&lt;=0,"Missing bag size",IF(tFeedPur[[#This Row],[Price per Bag]]="","Missing price",IF(tFeedPur[[#This Row],[Payment Method]]="","Missing payment method","OK"))))))))))</f>
        <v/>
      </c>
    </row>
    <row r="10">
      <c r="A10" s="16" t="n">
        <v>46280</v>
      </c>
      <c r="B10" s="13">
        <f>"FP-"&amp;TEXT(ROW()-ROW(tFeedPur[[#Headers],[Date]]),"00000")</f>
        <v/>
      </c>
      <c r="C10" s="12" t="inlineStr">
        <is>
          <t>Grower</t>
        </is>
      </c>
      <c r="D10" s="12" t="inlineStr">
        <is>
          <t>Feed Supplier A (sample)</t>
        </is>
      </c>
      <c r="E10" s="18" t="n">
        <v>20</v>
      </c>
      <c r="F10" s="18" t="n">
        <v>25</v>
      </c>
      <c r="G10" s="19">
        <f>N(tFeedPur[[#This Row],[Quantity in Bags]])*N(tFeedPur[[#This Row],[Bag Size in kg]])</f>
        <v/>
      </c>
      <c r="H10" s="20" t="n">
        <v>16000</v>
      </c>
      <c r="I10" s="21">
        <f>N(tFeedPur[[#This Row],[Quantity in Bags]])*N(tFeedPur[[#This Row],[Price per Bag]])</f>
        <v/>
      </c>
      <c r="J10" s="22">
        <f>IFERROR(tFeedPur[[#This Row],[Total Cost]]/tFeedPur[[#This Row],[Total Quantity in kg]],0)</f>
        <v/>
      </c>
      <c r="K10" s="12" t="inlineStr">
        <is>
          <t>Credit</t>
        </is>
      </c>
      <c r="L10" s="12" t="inlineStr">
        <is>
          <t>INV-1102</t>
        </is>
      </c>
      <c r="M10" s="12" t="inlineStr">
        <is>
          <t>SAMPLE DATA - delete or replace</t>
        </is>
      </c>
      <c r="N10" s="15">
        <f>COUNTIF(INDEX(tFeedPur[[Feed Type]],1):tFeedPur[[#This Row],[Feed Type]],tFeedPur[[#This Row],[Feed Type]])</f>
        <v/>
      </c>
      <c r="O10" s="19">
        <f>MAX(0,IF((ROW()-ROW(tFeedPur[[#Headers],[Date]]))=1,0,SUMIFS(INDEX(tFeedPur[[Total Quantity in kg]],1):INDEX(tFeedPur[[Total Quantity in kg]],(ROW()-ROW(tFeedPur[[#Headers],[Date]]))-1),INDEX(tFeedPur[[Feed Type]],1):INDEX(tFeedPur[[Feed Type]],(ROW()-ROW(tFeedPur[[#Headers],[Date]]))-1),tFeedPur[[#This Row],[Feed Type]]))-SUMIFS(tFeedIss[[Quantity Issued in kg]],tFeedIss[[Feed Type]],tFeedPur[[#This Row],[Feed Type]],tFeedIss[[Date]],"&lt;"&amp;tFeedPur[[#This Row],[Date]]))</f>
        <v/>
      </c>
      <c r="P10" s="22">
        <f>IFERROR((tFeedPur[[#This Row],[Stock Before Purchase kg]]*IF(tFeedPur[[#This Row],[Purchase No. of Type]]=1,0,LOOKUP(2,1/(INDEX(tFeedPur[[Feed Type]],1):INDEX(tFeedPur[[Feed Type]],(ROW()-ROW(tFeedPur[[#Headers],[Date]]))-1)=tFeedPur[[#This Row],[Feed Type]]),INDEX(tFeedPur[[Avg Cost per kg After Purchase]],1):INDEX(tFeedPur[[Avg Cost per kg After Purchase]],(ROW()-ROW(tFeedPur[[#Headers],[Date]]))-1)))+N(tFeedPur[[#This Row],[Total Cost]]))/(tFeedPur[[#This Row],[Stock Before Purchase kg]]+N(tFeedPur[[#This Row],[Total Quantity in kg]])),IF(tFeedPur[[#This Row],[Purchase No. of Type]]=1,0,LOOKUP(2,1/(INDEX(tFeedPur[[Feed Type]],1):INDEX(tFeedPur[[Feed Type]],(ROW()-ROW(tFeedPur[[#Headers],[Date]]))-1)=tFeedPur[[#This Row],[Feed Type]]),INDEX(tFeedPur[[Avg Cost per kg After Purchase]],1):INDEX(tFeedPur[[Avg Cost per kg After Purchase]],(ROW()-ROW(tFeedPur[[#Headers],[Date]]))-1))))</f>
        <v/>
      </c>
      <c r="Q10" s="13">
        <f>IF(AND(tFeedPur[[#This Row],[Date]]="",tFeedPur[[#This Row],[Feed Type]]="",tFeedPur[[#This Row],[Quantity in Bags]]=""),"",IF(tFeedPur[[#This Row],[Date]]="","Missing date",IF(NOT(ISNUMBER(tFeedPur[[#This Row],[Date]])),"Date is not a valid date",IF(AND((ROW()-ROW(tFeedPur[[#Headers],[Date]]))&gt;1,tFeedPur[[#This Row],[Date]]&lt;INDEX(tFeedPur[[Date]],MAX(1,(ROW()-ROW(tFeedPur[[#Headers],[Date]]))-1))),"Out of date order - insert this row after earlier purchases",IF(tFeedPur[[#This Row],[Feed Type]]="","Missing feed type",IF(COUNTIF(tFeedTypes[[Feed Type]],tFeedPur[[#This Row],[Feed Type]])=0,"Feed type not in LISTS",IF(N(tFeedPur[[#This Row],[Quantity in Bags]])&lt;=0,"Bags must be greater than 0",IF(N(tFeedPur[[#This Row],[Bag Size in kg]])&lt;=0,"Missing bag size",IF(tFeedPur[[#This Row],[Price per Bag]]="","Missing price",IF(tFeedPur[[#This Row],[Payment Method]]="","Missing payment method","OK"))))))))))</f>
        <v/>
      </c>
    </row>
  </sheetData>
  <conditionalFormatting sqref="Q5:Q5000">
    <cfRule type="expression" priority="1" dxfId="0">
      <formula>AND(Q5&lt;&gt;"",Q5&lt;&gt;"OK")</formula>
    </cfRule>
    <cfRule type="expression" priority="2" dxfId="1">
      <formula>Q5="OK"</formula>
    </cfRule>
  </conditionalFormatting>
  <dataValidations count="7">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L_FeedTypes</formula1>
    </dataValidation>
    <dataValidation sqref="D5:D5000" showDropDown="0" showInputMessage="0" showErrorMessage="0" allowBlank="1" errorTitle="Not in list" error="Choose a value from the dropdown list (lists are maintained on the LISTS / register sheets)." type="list">
      <formula1>L_Suppliers</formula1>
    </dataValidation>
    <dataValidation sqref="E5:E5000" showDropDown="0" showInputMessage="0" showErrorMessage="1" allowBlank="1" errorTitle="Invalid number" error="Enter a number that is zero or greater (no text, no negative values)." type="decimal" operator="greaterThanOrEqual">
      <formula1>0</formula1>
    </dataValidation>
    <dataValidation sqref="F5:F5000" showDropDown="0" showInputMessage="0" showErrorMessage="1" allowBlank="1" errorTitle="Invalid number" error="Enter a number that is zero or greater (no text, no negative values)." type="decimal" operator="greaterThanOrEqual">
      <formula1>0</formula1>
    </dataValidation>
    <dataValidation sqref="H5:H5000" showDropDown="0" showInputMessage="0" showErrorMessage="1" allowBlank="1" errorTitle="Invalid number" error="Enter a number that is zero or greater (no text, no negative values)." type="decimal" operator="greaterThanOrEqual">
      <formula1>0</formula1>
    </dataValidation>
    <dataValidation sqref="K5:K5000" showDropDown="0" showInputMessage="0" showErrorMessage="1" allowBlank="1" errorTitle="Not in list" error="Choose a value from the dropdown list (lists are maintained on the LISTS / register sheets)." type="list">
      <formula1>L_Pay</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28"/>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13" customWidth="1" min="3" max="3"/>
    <col width="8" customWidth="1" min="4" max="4"/>
    <col width="18" customWidth="1" min="5" max="5"/>
    <col width="10" customWidth="1" min="6" max="6"/>
    <col width="10" customWidth="1" min="7" max="7"/>
    <col width="12" customWidth="1" min="8" max="8"/>
    <col width="13" customWidth="1" min="9" max="9"/>
    <col width="34" customWidth="1" min="10" max="10"/>
    <col width="10" customWidth="1" min="11" max="11"/>
    <col width="11" customWidth="1" min="12" max="12"/>
    <col width="30" customWidth="1" min="13" max="13"/>
  </cols>
  <sheetData>
    <row r="1">
      <c r="A1" s="1" t="inlineStr">
        <is>
          <t>FEED ISSUES</t>
        </is>
      </c>
    </row>
    <row r="2">
      <c r="A2" s="7" t="inlineStr">
        <is>
          <t>Each time feed leaves the store for a pen, record it here. This reduces inventory and charges the cost (weighted-average) to the pen &amp; batch. Record only what happened.</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Issue ID</t>
        </is>
      </c>
      <c r="C4" s="9" t="inlineStr">
        <is>
          <t>Feed Type</t>
        </is>
      </c>
      <c r="D4" s="9" t="inlineStr">
        <is>
          <t>Pen ID</t>
        </is>
      </c>
      <c r="E4" s="9" t="inlineStr">
        <is>
          <t>Batch ID</t>
        </is>
      </c>
      <c r="F4" s="9" t="inlineStr">
        <is>
          <t>Quantity Issued in kg</t>
        </is>
      </c>
      <c r="G4" s="10" t="inlineStr">
        <is>
          <t>Cost per kg</t>
        </is>
      </c>
      <c r="H4" s="10" t="inlineStr">
        <is>
          <t>Total Cost</t>
        </is>
      </c>
      <c r="I4" s="9" t="inlineStr">
        <is>
          <t>Issued By</t>
        </is>
      </c>
      <c r="J4" s="9" t="inlineStr">
        <is>
          <t>Notes</t>
        </is>
      </c>
      <c r="K4" s="10" t="inlineStr">
        <is>
          <t>Animal Type</t>
        </is>
      </c>
      <c r="L4" s="10" t="inlineStr">
        <is>
          <t>Store Balance on Date kg</t>
        </is>
      </c>
      <c r="M4" s="10" t="inlineStr">
        <is>
          <t>Check</t>
        </is>
      </c>
    </row>
    <row r="5">
      <c r="A5" s="16" t="n">
        <v>46205</v>
      </c>
      <c r="B5" s="13">
        <f>"FI-"&amp;TEXT(ROW()-ROW(tFeedIss[[#Headers],[Date]]),"00000")</f>
        <v/>
      </c>
      <c r="C5" s="12" t="inlineStr">
        <is>
          <t>Starter</t>
        </is>
      </c>
      <c r="D5" s="12" t="inlineStr">
        <is>
          <t>P006</t>
        </is>
      </c>
      <c r="E5" s="12" t="inlineStr">
        <is>
          <t>BROILER-JUL-001</t>
        </is>
      </c>
      <c r="F5" s="18" t="n">
        <v>150</v>
      </c>
      <c r="G5" s="22">
        <f>IFERROR(LOOKUP(2,1/((tFeedPur[[Feed Type]]=tFeedIss[[#This Row],[Feed Type]])*(tFeedPur[[Date]]&lt;=tFeedIss[[#This Row],[Date]])),tFeedPur[[Avg Cost per kg After Purchase]]),0)</f>
        <v/>
      </c>
      <c r="H5" s="21">
        <f>N(tFeedIss[[#This Row],[Quantity Issued in kg]])*tFeedIss[[#This Row],[Cost per kg]]</f>
        <v/>
      </c>
      <c r="I5" s="12" t="inlineStr">
        <is>
          <t>Attendant 1</t>
        </is>
      </c>
      <c r="J5" s="12" t="inlineStr">
        <is>
          <t>SAMPLE DATA - delete or replace</t>
        </is>
      </c>
      <c r="K5" s="13">
        <f>IFERROR(INDEX(tBatches[[Animal Type]],MATCH(tFeedIss[[#This Row],[Batch ID]],tBatches[[Batch ID]],0)),"")</f>
        <v/>
      </c>
      <c r="L5" s="19">
        <f>SUMIFS(tFeedPur[[Total Quantity in kg]],tFeedPur[[Feed Type]],tFeedIss[[#This Row],[Feed Type]],tFeedPur[[Date]],"&lt;="&amp;tFeedIss[[#This Row],[Date]])-SUMIFS(tFeedIss[[Quantity Issued in kg]],tFeedIss[[Feed Type]],tFeedIss[[#This Row],[Feed Type]],tFeedIss[[Date]],"&lt;="&amp;tFeedIss[[#This Row],[Date]])</f>
        <v/>
      </c>
      <c r="M5"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6">
      <c r="A6" s="16" t="n">
        <v>46223</v>
      </c>
      <c r="B6" s="13">
        <f>"FI-"&amp;TEXT(ROW()-ROW(tFeedIss[[#Headers],[Date]]),"00000")</f>
        <v/>
      </c>
      <c r="C6" s="12" t="inlineStr">
        <is>
          <t>Starter</t>
        </is>
      </c>
      <c r="D6" s="12" t="inlineStr">
        <is>
          <t>P006</t>
        </is>
      </c>
      <c r="E6" s="12" t="inlineStr">
        <is>
          <t>BROILER-JUL-001</t>
        </is>
      </c>
      <c r="F6" s="18" t="n">
        <v>150</v>
      </c>
      <c r="G6" s="22">
        <f>IFERROR(LOOKUP(2,1/((tFeedPur[[Feed Type]]=tFeedIss[[#This Row],[Feed Type]])*(tFeedPur[[Date]]&lt;=tFeedIss[[#This Row],[Date]])),tFeedPur[[Avg Cost per kg After Purchase]]),0)</f>
        <v/>
      </c>
      <c r="H6" s="21">
        <f>N(tFeedIss[[#This Row],[Quantity Issued in kg]])*tFeedIss[[#This Row],[Cost per kg]]</f>
        <v/>
      </c>
      <c r="I6" s="12" t="inlineStr">
        <is>
          <t>Attendant 1</t>
        </is>
      </c>
      <c r="J6" s="12" t="inlineStr">
        <is>
          <t>SAMPLE DATA - delete or replace</t>
        </is>
      </c>
      <c r="K6" s="13">
        <f>IFERROR(INDEX(tBatches[[Animal Type]],MATCH(tFeedIss[[#This Row],[Batch ID]],tBatches[[Batch ID]],0)),"")</f>
        <v/>
      </c>
      <c r="L6" s="19">
        <f>SUMIFS(tFeedPur[[Total Quantity in kg]],tFeedPur[[Feed Type]],tFeedIss[[#This Row],[Feed Type]],tFeedPur[[Date]],"&lt;="&amp;tFeedIss[[#This Row],[Date]])-SUMIFS(tFeedIss[[Quantity Issued in kg]],tFeedIss[[Feed Type]],tFeedIss[[#This Row],[Feed Type]],tFeedIss[[Date]],"&lt;="&amp;tFeedIss[[#This Row],[Date]])</f>
        <v/>
      </c>
      <c r="M6"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7">
      <c r="A7" s="16" t="n">
        <v>46228</v>
      </c>
      <c r="B7" s="13">
        <f>"FI-"&amp;TEXT(ROW()-ROW(tFeedIss[[#Headers],[Date]]),"00000")</f>
        <v/>
      </c>
      <c r="C7" s="12" t="inlineStr">
        <is>
          <t>Finisher</t>
        </is>
      </c>
      <c r="D7" s="12" t="inlineStr">
        <is>
          <t>P006</t>
        </is>
      </c>
      <c r="E7" s="12" t="inlineStr">
        <is>
          <t>BROILER-JUL-001</t>
        </is>
      </c>
      <c r="F7" s="18" t="n">
        <v>150</v>
      </c>
      <c r="G7" s="22">
        <f>IFERROR(LOOKUP(2,1/((tFeedPur[[Feed Type]]=tFeedIss[[#This Row],[Feed Type]])*(tFeedPur[[Date]]&lt;=tFeedIss[[#This Row],[Date]])),tFeedPur[[Avg Cost per kg After Purchase]]),0)</f>
        <v/>
      </c>
      <c r="H7" s="21">
        <f>N(tFeedIss[[#This Row],[Quantity Issued in kg]])*tFeedIss[[#This Row],[Cost per kg]]</f>
        <v/>
      </c>
      <c r="I7" s="12" t="inlineStr">
        <is>
          <t>Attendant 1</t>
        </is>
      </c>
      <c r="J7" s="12" t="inlineStr">
        <is>
          <t>SAMPLE DATA - delete or replace</t>
        </is>
      </c>
      <c r="K7" s="13">
        <f>IFERROR(INDEX(tBatches[[Animal Type]],MATCH(tFeedIss[[#This Row],[Batch ID]],tBatches[[Batch ID]],0)),"")</f>
        <v/>
      </c>
      <c r="L7" s="19">
        <f>SUMIFS(tFeedPur[[Total Quantity in kg]],tFeedPur[[Feed Type]],tFeedIss[[#This Row],[Feed Type]],tFeedPur[[Date]],"&lt;="&amp;tFeedIss[[#This Row],[Date]])-SUMIFS(tFeedIss[[Quantity Issued in kg]],tFeedIss[[Feed Type]],tFeedIss[[#This Row],[Feed Type]],tFeedIss[[Date]],"&lt;="&amp;tFeedIss[[#This Row],[Date]])</f>
        <v/>
      </c>
      <c r="M7"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8">
      <c r="A8" s="16" t="n">
        <v>46244</v>
      </c>
      <c r="B8" s="13">
        <f>"FI-"&amp;TEXT(ROW()-ROW(tFeedIss[[#Headers],[Date]]),"00000")</f>
        <v/>
      </c>
      <c r="C8" s="12" t="inlineStr">
        <is>
          <t>Finisher</t>
        </is>
      </c>
      <c r="D8" s="12" t="inlineStr">
        <is>
          <t>P006</t>
        </is>
      </c>
      <c r="E8" s="12" t="inlineStr">
        <is>
          <t>BROILER-JUL-001</t>
        </is>
      </c>
      <c r="F8" s="18" t="n">
        <v>140</v>
      </c>
      <c r="G8" s="22">
        <f>IFERROR(LOOKUP(2,1/((tFeedPur[[Feed Type]]=tFeedIss[[#This Row],[Feed Type]])*(tFeedPur[[Date]]&lt;=tFeedIss[[#This Row],[Date]])),tFeedPur[[Avg Cost per kg After Purchase]]),0)</f>
        <v/>
      </c>
      <c r="H8" s="21">
        <f>N(tFeedIss[[#This Row],[Quantity Issued in kg]])*tFeedIss[[#This Row],[Cost per kg]]</f>
        <v/>
      </c>
      <c r="I8" s="12" t="inlineStr">
        <is>
          <t>Attendant 1</t>
        </is>
      </c>
      <c r="J8" s="12" t="inlineStr">
        <is>
          <t>SAMPLE DATA - delete or replace</t>
        </is>
      </c>
      <c r="K8" s="13">
        <f>IFERROR(INDEX(tBatches[[Animal Type]],MATCH(tFeedIss[[#This Row],[Batch ID]],tBatches[[Batch ID]],0)),"")</f>
        <v/>
      </c>
      <c r="L8" s="19">
        <f>SUMIFS(tFeedPur[[Total Quantity in kg]],tFeedPur[[Feed Type]],tFeedIss[[#This Row],[Feed Type]],tFeedPur[[Date]],"&lt;="&amp;tFeedIss[[#This Row],[Date]])-SUMIFS(tFeedIss[[Quantity Issued in kg]],tFeedIss[[Feed Type]],tFeedIss[[#This Row],[Feed Type]],tFeedIss[[Date]],"&lt;="&amp;tFeedIss[[#This Row],[Date]])</f>
        <v/>
      </c>
      <c r="M8"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9">
      <c r="A9" s="16" t="n">
        <v>46205</v>
      </c>
      <c r="B9" s="13">
        <f>"FI-"&amp;TEXT(ROW()-ROW(tFeedIss[[#Headers],[Date]]),"00000")</f>
        <v/>
      </c>
      <c r="C9" s="12" t="inlineStr">
        <is>
          <t>Layer Mash</t>
        </is>
      </c>
      <c r="D9" s="12" t="inlineStr">
        <is>
          <t>P005</t>
        </is>
      </c>
      <c r="E9" s="12" t="inlineStr">
        <is>
          <t>LAYER-JUN-001</t>
        </is>
      </c>
      <c r="F9" s="18" t="n">
        <v>200</v>
      </c>
      <c r="G9" s="22">
        <f>IFERROR(LOOKUP(2,1/((tFeedPur[[Feed Type]]=tFeedIss[[#This Row],[Feed Type]])*(tFeedPur[[Date]]&lt;=tFeedIss[[#This Row],[Date]])),tFeedPur[[Avg Cost per kg After Purchase]]),0)</f>
        <v/>
      </c>
      <c r="H9" s="21">
        <f>N(tFeedIss[[#This Row],[Quantity Issued in kg]])*tFeedIss[[#This Row],[Cost per kg]]</f>
        <v/>
      </c>
      <c r="I9" s="12" t="inlineStr">
        <is>
          <t>Attendant 1</t>
        </is>
      </c>
      <c r="J9" s="12" t="inlineStr">
        <is>
          <t>SAMPLE DATA - delete or replace</t>
        </is>
      </c>
      <c r="K9" s="13">
        <f>IFERROR(INDEX(tBatches[[Animal Type]],MATCH(tFeedIss[[#This Row],[Batch ID]],tBatches[[Batch ID]],0)),"")</f>
        <v/>
      </c>
      <c r="L9" s="19">
        <f>SUMIFS(tFeedPur[[Total Quantity in kg]],tFeedPur[[Feed Type]],tFeedIss[[#This Row],[Feed Type]],tFeedPur[[Date]],"&lt;="&amp;tFeedIss[[#This Row],[Date]])-SUMIFS(tFeedIss[[Quantity Issued in kg]],tFeedIss[[Feed Type]],tFeedIss[[#This Row],[Feed Type]],tFeedIss[[Date]],"&lt;="&amp;tFeedIss[[#This Row],[Date]])</f>
        <v/>
      </c>
      <c r="M9"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0">
      <c r="A10" s="16" t="n">
        <v>46235</v>
      </c>
      <c r="B10" s="13">
        <f>"FI-"&amp;TEXT(ROW()-ROW(tFeedIss[[#Headers],[Date]]),"00000")</f>
        <v/>
      </c>
      <c r="C10" s="12" t="inlineStr">
        <is>
          <t>Layer Mash</t>
        </is>
      </c>
      <c r="D10" s="12" t="inlineStr">
        <is>
          <t>P005</t>
        </is>
      </c>
      <c r="E10" s="12" t="inlineStr">
        <is>
          <t>LAYER-JUN-001</t>
        </is>
      </c>
      <c r="F10" s="18" t="n">
        <v>200</v>
      </c>
      <c r="G10" s="22">
        <f>IFERROR(LOOKUP(2,1/((tFeedPur[[Feed Type]]=tFeedIss[[#This Row],[Feed Type]])*(tFeedPur[[Date]]&lt;=tFeedIss[[#This Row],[Date]])),tFeedPur[[Avg Cost per kg After Purchase]]),0)</f>
        <v/>
      </c>
      <c r="H10" s="21">
        <f>N(tFeedIss[[#This Row],[Quantity Issued in kg]])*tFeedIss[[#This Row],[Cost per kg]]</f>
        <v/>
      </c>
      <c r="I10" s="12" t="inlineStr">
        <is>
          <t>Attendant 1</t>
        </is>
      </c>
      <c r="J10" s="12" t="inlineStr">
        <is>
          <t>SAMPLE DATA - delete or replace</t>
        </is>
      </c>
      <c r="K10" s="13">
        <f>IFERROR(INDEX(tBatches[[Animal Type]],MATCH(tFeedIss[[#This Row],[Batch ID]],tBatches[[Batch ID]],0)),"")</f>
        <v/>
      </c>
      <c r="L10" s="19">
        <f>SUMIFS(tFeedPur[[Total Quantity in kg]],tFeedPur[[Feed Type]],tFeedIss[[#This Row],[Feed Type]],tFeedPur[[Date]],"&lt;="&amp;tFeedIss[[#This Row],[Date]])-SUMIFS(tFeedIss[[Quantity Issued in kg]],tFeedIss[[Feed Type]],tFeedIss[[#This Row],[Feed Type]],tFeedIss[[Date]],"&lt;="&amp;tFeedIss[[#This Row],[Date]])</f>
        <v/>
      </c>
      <c r="M10"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1">
      <c r="A11" s="16" t="n">
        <v>46266</v>
      </c>
      <c r="B11" s="13">
        <f>"FI-"&amp;TEXT(ROW()-ROW(tFeedIss[[#Headers],[Date]]),"00000")</f>
        <v/>
      </c>
      <c r="C11" s="12" t="inlineStr">
        <is>
          <t>Layer Mash</t>
        </is>
      </c>
      <c r="D11" s="12" t="inlineStr">
        <is>
          <t>P005</t>
        </is>
      </c>
      <c r="E11" s="12" t="inlineStr">
        <is>
          <t>LAYER-JUN-001</t>
        </is>
      </c>
      <c r="F11" s="18" t="n">
        <v>60</v>
      </c>
      <c r="G11" s="22">
        <f>IFERROR(LOOKUP(2,1/((tFeedPur[[Feed Type]]=tFeedIss[[#This Row],[Feed Type]])*(tFeedPur[[Date]]&lt;=tFeedIss[[#This Row],[Date]])),tFeedPur[[Avg Cost per kg After Purchase]]),0)</f>
        <v/>
      </c>
      <c r="H11" s="21">
        <f>N(tFeedIss[[#This Row],[Quantity Issued in kg]])*tFeedIss[[#This Row],[Cost per kg]]</f>
        <v/>
      </c>
      <c r="I11" s="12" t="inlineStr">
        <is>
          <t>Attendant 1</t>
        </is>
      </c>
      <c r="J11" s="12" t="inlineStr">
        <is>
          <t>SAMPLE DATA - delete or replace</t>
        </is>
      </c>
      <c r="K11" s="13">
        <f>IFERROR(INDEX(tBatches[[Animal Type]],MATCH(tFeedIss[[#This Row],[Batch ID]],tBatches[[Batch ID]],0)),"")</f>
        <v/>
      </c>
      <c r="L11" s="19">
        <f>SUMIFS(tFeedPur[[Total Quantity in kg]],tFeedPur[[Feed Type]],tFeedIss[[#This Row],[Feed Type]],tFeedPur[[Date]],"&lt;="&amp;tFeedIss[[#This Row],[Date]])-SUMIFS(tFeedIss[[Quantity Issued in kg]],tFeedIss[[Feed Type]],tFeedIss[[#This Row],[Feed Type]],tFeedIss[[Date]],"&lt;="&amp;tFeedIss[[#This Row],[Date]])</f>
        <v/>
      </c>
      <c r="M11"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2">
      <c r="A12" s="16" t="n">
        <v>46267</v>
      </c>
      <c r="B12" s="13">
        <f>"FI-"&amp;TEXT(ROW()-ROW(tFeedIss[[#Headers],[Date]]),"00000")</f>
        <v/>
      </c>
      <c r="C12" s="12" t="inlineStr">
        <is>
          <t>Starter</t>
        </is>
      </c>
      <c r="D12" s="12" t="inlineStr">
        <is>
          <t>P001</t>
        </is>
      </c>
      <c r="E12" s="12" t="inlineStr">
        <is>
          <t>BROILER-SEP-001</t>
        </is>
      </c>
      <c r="F12" s="18" t="n">
        <v>40</v>
      </c>
      <c r="G12" s="22">
        <f>IFERROR(LOOKUP(2,1/((tFeedPur[[Feed Type]]=tFeedIss[[#This Row],[Feed Type]])*(tFeedPur[[Date]]&lt;=tFeedIss[[#This Row],[Date]])),tFeedPur[[Avg Cost per kg After Purchase]]),0)</f>
        <v/>
      </c>
      <c r="H12" s="21">
        <f>N(tFeedIss[[#This Row],[Quantity Issued in kg]])*tFeedIss[[#This Row],[Cost per kg]]</f>
        <v/>
      </c>
      <c r="I12" s="12" t="inlineStr">
        <is>
          <t>Attendant 1</t>
        </is>
      </c>
      <c r="J12" s="12" t="inlineStr">
        <is>
          <t>SAMPLE DATA - delete or replace. Same 500 kg Starter purchase shared across pens.</t>
        </is>
      </c>
      <c r="K12" s="13">
        <f>IFERROR(INDEX(tBatches[[Animal Type]],MATCH(tFeedIss[[#This Row],[Batch ID]],tBatches[[Batch ID]],0)),"")</f>
        <v/>
      </c>
      <c r="L12" s="19">
        <f>SUMIFS(tFeedPur[[Total Quantity in kg]],tFeedPur[[Feed Type]],tFeedIss[[#This Row],[Feed Type]],tFeedPur[[Date]],"&lt;="&amp;tFeedIss[[#This Row],[Date]])-SUMIFS(tFeedIss[[Quantity Issued in kg]],tFeedIss[[Feed Type]],tFeedIss[[#This Row],[Feed Type]],tFeedIss[[Date]],"&lt;="&amp;tFeedIss[[#This Row],[Date]])</f>
        <v/>
      </c>
      <c r="M12"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3">
      <c r="A13" s="16" t="n">
        <v>46267</v>
      </c>
      <c r="B13" s="13">
        <f>"FI-"&amp;TEXT(ROW()-ROW(tFeedIss[[#Headers],[Date]]),"00000")</f>
        <v/>
      </c>
      <c r="C13" s="12" t="inlineStr">
        <is>
          <t>Starter</t>
        </is>
      </c>
      <c r="D13" s="12" t="inlineStr">
        <is>
          <t>P002</t>
        </is>
      </c>
      <c r="E13" s="12" t="inlineStr">
        <is>
          <t>BROILER-SEP-002</t>
        </is>
      </c>
      <c r="F13" s="18" t="n">
        <v>60</v>
      </c>
      <c r="G13" s="22">
        <f>IFERROR(LOOKUP(2,1/((tFeedPur[[Feed Type]]=tFeedIss[[#This Row],[Feed Type]])*(tFeedPur[[Date]]&lt;=tFeedIss[[#This Row],[Date]])),tFeedPur[[Avg Cost per kg After Purchase]]),0)</f>
        <v/>
      </c>
      <c r="H13" s="21">
        <f>N(tFeedIss[[#This Row],[Quantity Issued in kg]])*tFeedIss[[#This Row],[Cost per kg]]</f>
        <v/>
      </c>
      <c r="I13" s="12" t="inlineStr">
        <is>
          <t>Attendant 1</t>
        </is>
      </c>
      <c r="J13" s="12" t="inlineStr">
        <is>
          <t>SAMPLE DATA - delete or replace. Same 500 kg Starter purchase shared across pens.</t>
        </is>
      </c>
      <c r="K13" s="13">
        <f>IFERROR(INDEX(tBatches[[Animal Type]],MATCH(tFeedIss[[#This Row],[Batch ID]],tBatches[[Batch ID]],0)),"")</f>
        <v/>
      </c>
      <c r="L13" s="19">
        <f>SUMIFS(tFeedPur[[Total Quantity in kg]],tFeedPur[[Feed Type]],tFeedIss[[#This Row],[Feed Type]],tFeedPur[[Date]],"&lt;="&amp;tFeedIss[[#This Row],[Date]])-SUMIFS(tFeedIss[[Quantity Issued in kg]],tFeedIss[[Feed Type]],tFeedIss[[#This Row],[Feed Type]],tFeedIss[[Date]],"&lt;="&amp;tFeedIss[[#This Row],[Date]])</f>
        <v/>
      </c>
      <c r="M13"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4">
      <c r="A14" s="16" t="n">
        <v>46267</v>
      </c>
      <c r="B14" s="13">
        <f>"FI-"&amp;TEXT(ROW()-ROW(tFeedIss[[#Headers],[Date]]),"00000")</f>
        <v/>
      </c>
      <c r="C14" s="12" t="inlineStr">
        <is>
          <t>Starter</t>
        </is>
      </c>
      <c r="D14" s="12" t="inlineStr">
        <is>
          <t>P003</t>
        </is>
      </c>
      <c r="E14" s="12" t="inlineStr">
        <is>
          <t>BROILER-SEP-003</t>
        </is>
      </c>
      <c r="F14" s="18" t="n">
        <v>35</v>
      </c>
      <c r="G14" s="22">
        <f>IFERROR(LOOKUP(2,1/((tFeedPur[[Feed Type]]=tFeedIss[[#This Row],[Feed Type]])*(tFeedPur[[Date]]&lt;=tFeedIss[[#This Row],[Date]])),tFeedPur[[Avg Cost per kg After Purchase]]),0)</f>
        <v/>
      </c>
      <c r="H14" s="21">
        <f>N(tFeedIss[[#This Row],[Quantity Issued in kg]])*tFeedIss[[#This Row],[Cost per kg]]</f>
        <v/>
      </c>
      <c r="I14" s="12" t="inlineStr">
        <is>
          <t>Attendant 1</t>
        </is>
      </c>
      <c r="J14" s="12" t="inlineStr">
        <is>
          <t>SAMPLE DATA - delete or replace. Same 500 kg Starter purchase shared across pens.</t>
        </is>
      </c>
      <c r="K14" s="13">
        <f>IFERROR(INDEX(tBatches[[Animal Type]],MATCH(tFeedIss[[#This Row],[Batch ID]],tBatches[[Batch ID]],0)),"")</f>
        <v/>
      </c>
      <c r="L14" s="19">
        <f>SUMIFS(tFeedPur[[Total Quantity in kg]],tFeedPur[[Feed Type]],tFeedIss[[#This Row],[Feed Type]],tFeedPur[[Date]],"&lt;="&amp;tFeedIss[[#This Row],[Date]])-SUMIFS(tFeedIss[[Quantity Issued in kg]],tFeedIss[[Feed Type]],tFeedIss[[#This Row],[Feed Type]],tFeedIss[[Date]],"&lt;="&amp;tFeedIss[[#This Row],[Date]])</f>
        <v/>
      </c>
      <c r="M14"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5">
      <c r="A15" s="16" t="n">
        <v>46267</v>
      </c>
      <c r="B15" s="13">
        <f>"FI-"&amp;TEXT(ROW()-ROW(tFeedIss[[#Headers],[Date]]),"00000")</f>
        <v/>
      </c>
      <c r="C15" s="12" t="inlineStr">
        <is>
          <t>Starter</t>
        </is>
      </c>
      <c r="D15" s="12" t="inlineStr">
        <is>
          <t>P004</t>
        </is>
      </c>
      <c r="E15" s="12" t="inlineStr">
        <is>
          <t>BROILER-SEP-004</t>
        </is>
      </c>
      <c r="F15" s="18" t="n">
        <v>50</v>
      </c>
      <c r="G15" s="22">
        <f>IFERROR(LOOKUP(2,1/((tFeedPur[[Feed Type]]=tFeedIss[[#This Row],[Feed Type]])*(tFeedPur[[Date]]&lt;=tFeedIss[[#This Row],[Date]])),tFeedPur[[Avg Cost per kg After Purchase]]),0)</f>
        <v/>
      </c>
      <c r="H15" s="21">
        <f>N(tFeedIss[[#This Row],[Quantity Issued in kg]])*tFeedIss[[#This Row],[Cost per kg]]</f>
        <v/>
      </c>
      <c r="I15" s="12" t="inlineStr">
        <is>
          <t>Attendant 1</t>
        </is>
      </c>
      <c r="J15" s="12" t="inlineStr">
        <is>
          <t>SAMPLE DATA - delete or replace. Same 500 kg Starter purchase shared across pens.</t>
        </is>
      </c>
      <c r="K15" s="13">
        <f>IFERROR(INDEX(tBatches[[Animal Type]],MATCH(tFeedIss[[#This Row],[Batch ID]],tBatches[[Batch ID]],0)),"")</f>
        <v/>
      </c>
      <c r="L15" s="19">
        <f>SUMIFS(tFeedPur[[Total Quantity in kg]],tFeedPur[[Feed Type]],tFeedIss[[#This Row],[Feed Type]],tFeedPur[[Date]],"&lt;="&amp;tFeedIss[[#This Row],[Date]])-SUMIFS(tFeedIss[[Quantity Issued in kg]],tFeedIss[[Feed Type]],tFeedIss[[#This Row],[Feed Type]],tFeedIss[[Date]],"&lt;="&amp;tFeedIss[[#This Row],[Date]])</f>
        <v/>
      </c>
      <c r="M15"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6">
      <c r="A16" s="16" t="n">
        <v>46275</v>
      </c>
      <c r="B16" s="13">
        <f>"FI-"&amp;TEXT(ROW()-ROW(tFeedIss[[#Headers],[Date]]),"00000")</f>
        <v/>
      </c>
      <c r="C16" s="12" t="inlineStr">
        <is>
          <t>Starter</t>
        </is>
      </c>
      <c r="D16" s="12" t="inlineStr">
        <is>
          <t>P001</t>
        </is>
      </c>
      <c r="E16" s="12" t="inlineStr">
        <is>
          <t>BROILER-SEP-001</t>
        </is>
      </c>
      <c r="F16" s="18" t="n">
        <v>60</v>
      </c>
      <c r="G16" s="22">
        <f>IFERROR(LOOKUP(2,1/((tFeedPur[[Feed Type]]=tFeedIss[[#This Row],[Feed Type]])*(tFeedPur[[Date]]&lt;=tFeedIss[[#This Row],[Date]])),tFeedPur[[Avg Cost per kg After Purchase]]),0)</f>
        <v/>
      </c>
      <c r="H16" s="21">
        <f>N(tFeedIss[[#This Row],[Quantity Issued in kg]])*tFeedIss[[#This Row],[Cost per kg]]</f>
        <v/>
      </c>
      <c r="I16" s="12" t="inlineStr">
        <is>
          <t>Attendant 1</t>
        </is>
      </c>
      <c r="J16" s="12" t="inlineStr">
        <is>
          <t>SAMPLE DATA - delete or replace</t>
        </is>
      </c>
      <c r="K16" s="13">
        <f>IFERROR(INDEX(tBatches[[Animal Type]],MATCH(tFeedIss[[#This Row],[Batch ID]],tBatches[[Batch ID]],0)),"")</f>
        <v/>
      </c>
      <c r="L16" s="19">
        <f>SUMIFS(tFeedPur[[Total Quantity in kg]],tFeedPur[[Feed Type]],tFeedIss[[#This Row],[Feed Type]],tFeedPur[[Date]],"&lt;="&amp;tFeedIss[[#This Row],[Date]])-SUMIFS(tFeedIss[[Quantity Issued in kg]],tFeedIss[[Feed Type]],tFeedIss[[#This Row],[Feed Type]],tFeedIss[[Date]],"&lt;="&amp;tFeedIss[[#This Row],[Date]])</f>
        <v/>
      </c>
      <c r="M16"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7">
      <c r="A17" s="16" t="n">
        <v>46275</v>
      </c>
      <c r="B17" s="13">
        <f>"FI-"&amp;TEXT(ROW()-ROW(tFeedIss[[#Headers],[Date]]),"00000")</f>
        <v/>
      </c>
      <c r="C17" s="12" t="inlineStr">
        <is>
          <t>Starter</t>
        </is>
      </c>
      <c r="D17" s="12" t="inlineStr">
        <is>
          <t>P002</t>
        </is>
      </c>
      <c r="E17" s="12" t="inlineStr">
        <is>
          <t>BROILER-SEP-002</t>
        </is>
      </c>
      <c r="F17" s="18" t="n">
        <v>70</v>
      </c>
      <c r="G17" s="22">
        <f>IFERROR(LOOKUP(2,1/((tFeedPur[[Feed Type]]=tFeedIss[[#This Row],[Feed Type]])*(tFeedPur[[Date]]&lt;=tFeedIss[[#This Row],[Date]])),tFeedPur[[Avg Cost per kg After Purchase]]),0)</f>
        <v/>
      </c>
      <c r="H17" s="21">
        <f>N(tFeedIss[[#This Row],[Quantity Issued in kg]])*tFeedIss[[#This Row],[Cost per kg]]</f>
        <v/>
      </c>
      <c r="I17" s="12" t="inlineStr">
        <is>
          <t>Attendant 1</t>
        </is>
      </c>
      <c r="J17" s="12" t="inlineStr">
        <is>
          <t>SAMPLE DATA - delete or replace</t>
        </is>
      </c>
      <c r="K17" s="13">
        <f>IFERROR(INDEX(tBatches[[Animal Type]],MATCH(tFeedIss[[#This Row],[Batch ID]],tBatches[[Batch ID]],0)),"")</f>
        <v/>
      </c>
      <c r="L17" s="19">
        <f>SUMIFS(tFeedPur[[Total Quantity in kg]],tFeedPur[[Feed Type]],tFeedIss[[#This Row],[Feed Type]],tFeedPur[[Date]],"&lt;="&amp;tFeedIss[[#This Row],[Date]])-SUMIFS(tFeedIss[[Quantity Issued in kg]],tFeedIss[[Feed Type]],tFeedIss[[#This Row],[Feed Type]],tFeedIss[[Date]],"&lt;="&amp;tFeedIss[[#This Row],[Date]])</f>
        <v/>
      </c>
      <c r="M17"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8">
      <c r="A18" s="16" t="n">
        <v>46275</v>
      </c>
      <c r="B18" s="13">
        <f>"FI-"&amp;TEXT(ROW()-ROW(tFeedIss[[#Headers],[Date]]),"00000")</f>
        <v/>
      </c>
      <c r="C18" s="12" t="inlineStr">
        <is>
          <t>Starter</t>
        </is>
      </c>
      <c r="D18" s="12" t="inlineStr">
        <is>
          <t>P003</t>
        </is>
      </c>
      <c r="E18" s="12" t="inlineStr">
        <is>
          <t>BROILER-SEP-003</t>
        </is>
      </c>
      <c r="F18" s="18" t="n">
        <v>55</v>
      </c>
      <c r="G18" s="22">
        <f>IFERROR(LOOKUP(2,1/((tFeedPur[[Feed Type]]=tFeedIss[[#This Row],[Feed Type]])*(tFeedPur[[Date]]&lt;=tFeedIss[[#This Row],[Date]])),tFeedPur[[Avg Cost per kg After Purchase]]),0)</f>
        <v/>
      </c>
      <c r="H18" s="21">
        <f>N(tFeedIss[[#This Row],[Quantity Issued in kg]])*tFeedIss[[#This Row],[Cost per kg]]</f>
        <v/>
      </c>
      <c r="I18" s="12" t="inlineStr">
        <is>
          <t>Attendant 1</t>
        </is>
      </c>
      <c r="J18" s="12" t="inlineStr">
        <is>
          <t>SAMPLE DATA - delete or replace</t>
        </is>
      </c>
      <c r="K18" s="13">
        <f>IFERROR(INDEX(tBatches[[Animal Type]],MATCH(tFeedIss[[#This Row],[Batch ID]],tBatches[[Batch ID]],0)),"")</f>
        <v/>
      </c>
      <c r="L18" s="19">
        <f>SUMIFS(tFeedPur[[Total Quantity in kg]],tFeedPur[[Feed Type]],tFeedIss[[#This Row],[Feed Type]],tFeedPur[[Date]],"&lt;="&amp;tFeedIss[[#This Row],[Date]])-SUMIFS(tFeedIss[[Quantity Issued in kg]],tFeedIss[[Feed Type]],tFeedIss[[#This Row],[Feed Type]],tFeedIss[[Date]],"&lt;="&amp;tFeedIss[[#This Row],[Date]])</f>
        <v/>
      </c>
      <c r="M18"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19">
      <c r="A19" s="16" t="n">
        <v>46275</v>
      </c>
      <c r="B19" s="13">
        <f>"FI-"&amp;TEXT(ROW()-ROW(tFeedIss[[#Headers],[Date]]),"00000")</f>
        <v/>
      </c>
      <c r="C19" s="12" t="inlineStr">
        <is>
          <t>Starter</t>
        </is>
      </c>
      <c r="D19" s="12" t="inlineStr">
        <is>
          <t>P004</t>
        </is>
      </c>
      <c r="E19" s="12" t="inlineStr">
        <is>
          <t>BROILER-SEP-004</t>
        </is>
      </c>
      <c r="F19" s="18" t="n">
        <v>65</v>
      </c>
      <c r="G19" s="22">
        <f>IFERROR(LOOKUP(2,1/((tFeedPur[[Feed Type]]=tFeedIss[[#This Row],[Feed Type]])*(tFeedPur[[Date]]&lt;=tFeedIss[[#This Row],[Date]])),tFeedPur[[Avg Cost per kg After Purchase]]),0)</f>
        <v/>
      </c>
      <c r="H19" s="21">
        <f>N(tFeedIss[[#This Row],[Quantity Issued in kg]])*tFeedIss[[#This Row],[Cost per kg]]</f>
        <v/>
      </c>
      <c r="I19" s="12" t="inlineStr">
        <is>
          <t>Attendant 1</t>
        </is>
      </c>
      <c r="J19" s="12" t="inlineStr">
        <is>
          <t>SAMPLE DATA - delete or replace</t>
        </is>
      </c>
      <c r="K19" s="13">
        <f>IFERROR(INDEX(tBatches[[Animal Type]],MATCH(tFeedIss[[#This Row],[Batch ID]],tBatches[[Batch ID]],0)),"")</f>
        <v/>
      </c>
      <c r="L19" s="19">
        <f>SUMIFS(tFeedPur[[Total Quantity in kg]],tFeedPur[[Feed Type]],tFeedIss[[#This Row],[Feed Type]],tFeedPur[[Date]],"&lt;="&amp;tFeedIss[[#This Row],[Date]])-SUMIFS(tFeedIss[[Quantity Issued in kg]],tFeedIss[[Feed Type]],tFeedIss[[#This Row],[Feed Type]],tFeedIss[[Date]],"&lt;="&amp;tFeedIss[[#This Row],[Date]])</f>
        <v/>
      </c>
      <c r="M19"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0">
      <c r="A20" s="16" t="n">
        <v>46281</v>
      </c>
      <c r="B20" s="13">
        <f>"FI-"&amp;TEXT(ROW()-ROW(tFeedIss[[#Headers],[Date]]),"00000")</f>
        <v/>
      </c>
      <c r="C20" s="12" t="inlineStr">
        <is>
          <t>Starter</t>
        </is>
      </c>
      <c r="D20" s="12" t="inlineStr">
        <is>
          <t>P001</t>
        </is>
      </c>
      <c r="E20" s="12" t="inlineStr">
        <is>
          <t>BROILER-SEP-001</t>
        </is>
      </c>
      <c r="F20" s="18" t="n">
        <v>60</v>
      </c>
      <c r="G20" s="22">
        <f>IFERROR(LOOKUP(2,1/((tFeedPur[[Feed Type]]=tFeedIss[[#This Row],[Feed Type]])*(tFeedPur[[Date]]&lt;=tFeedIss[[#This Row],[Date]])),tFeedPur[[Avg Cost per kg After Purchase]]),0)</f>
        <v/>
      </c>
      <c r="H20" s="21">
        <f>N(tFeedIss[[#This Row],[Quantity Issued in kg]])*tFeedIss[[#This Row],[Cost per kg]]</f>
        <v/>
      </c>
      <c r="I20" s="12" t="inlineStr">
        <is>
          <t>Attendant 1</t>
        </is>
      </c>
      <c r="J20" s="12" t="inlineStr">
        <is>
          <t>SAMPLE DATA - delete or replace</t>
        </is>
      </c>
      <c r="K20" s="13">
        <f>IFERROR(INDEX(tBatches[[Animal Type]],MATCH(tFeedIss[[#This Row],[Batch ID]],tBatches[[Batch ID]],0)),"")</f>
        <v/>
      </c>
      <c r="L20" s="19">
        <f>SUMIFS(tFeedPur[[Total Quantity in kg]],tFeedPur[[Feed Type]],tFeedIss[[#This Row],[Feed Type]],tFeedPur[[Date]],"&lt;="&amp;tFeedIss[[#This Row],[Date]])-SUMIFS(tFeedIss[[Quantity Issued in kg]],tFeedIss[[Feed Type]],tFeedIss[[#This Row],[Feed Type]],tFeedIss[[Date]],"&lt;="&amp;tFeedIss[[#This Row],[Date]])</f>
        <v/>
      </c>
      <c r="M20"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1">
      <c r="A21" s="16" t="n">
        <v>46281</v>
      </c>
      <c r="B21" s="13">
        <f>"FI-"&amp;TEXT(ROW()-ROW(tFeedIss[[#Headers],[Date]]),"00000")</f>
        <v/>
      </c>
      <c r="C21" s="12" t="inlineStr">
        <is>
          <t>Starter</t>
        </is>
      </c>
      <c r="D21" s="12" t="inlineStr">
        <is>
          <t>P002</t>
        </is>
      </c>
      <c r="E21" s="12" t="inlineStr">
        <is>
          <t>BROILER-SEP-002</t>
        </is>
      </c>
      <c r="F21" s="18" t="n">
        <v>70</v>
      </c>
      <c r="G21" s="22">
        <f>IFERROR(LOOKUP(2,1/((tFeedPur[[Feed Type]]=tFeedIss[[#This Row],[Feed Type]])*(tFeedPur[[Date]]&lt;=tFeedIss[[#This Row],[Date]])),tFeedPur[[Avg Cost per kg After Purchase]]),0)</f>
        <v/>
      </c>
      <c r="H21" s="21">
        <f>N(tFeedIss[[#This Row],[Quantity Issued in kg]])*tFeedIss[[#This Row],[Cost per kg]]</f>
        <v/>
      </c>
      <c r="I21" s="12" t="inlineStr">
        <is>
          <t>Attendant 1</t>
        </is>
      </c>
      <c r="J21" s="12" t="inlineStr">
        <is>
          <t>SAMPLE DATA - delete or replace</t>
        </is>
      </c>
      <c r="K21" s="13">
        <f>IFERROR(INDEX(tBatches[[Animal Type]],MATCH(tFeedIss[[#This Row],[Batch ID]],tBatches[[Batch ID]],0)),"")</f>
        <v/>
      </c>
      <c r="L21" s="19">
        <f>SUMIFS(tFeedPur[[Total Quantity in kg]],tFeedPur[[Feed Type]],tFeedIss[[#This Row],[Feed Type]],tFeedPur[[Date]],"&lt;="&amp;tFeedIss[[#This Row],[Date]])-SUMIFS(tFeedIss[[Quantity Issued in kg]],tFeedIss[[Feed Type]],tFeedIss[[#This Row],[Feed Type]],tFeedIss[[Date]],"&lt;="&amp;tFeedIss[[#This Row],[Date]])</f>
        <v/>
      </c>
      <c r="M21"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2">
      <c r="A22" s="16" t="n">
        <v>46283</v>
      </c>
      <c r="B22" s="13">
        <f>"FI-"&amp;TEXT(ROW()-ROW(tFeedIss[[#Headers],[Date]]),"00000")</f>
        <v/>
      </c>
      <c r="C22" s="12" t="inlineStr">
        <is>
          <t>Grower</t>
        </is>
      </c>
      <c r="D22" s="12" t="inlineStr">
        <is>
          <t>P003</t>
        </is>
      </c>
      <c r="E22" s="12" t="inlineStr">
        <is>
          <t>BROILER-SEP-003</t>
        </is>
      </c>
      <c r="F22" s="18" t="n">
        <v>60</v>
      </c>
      <c r="G22" s="22">
        <f>IFERROR(LOOKUP(2,1/((tFeedPur[[Feed Type]]=tFeedIss[[#This Row],[Feed Type]])*(tFeedPur[[Date]]&lt;=tFeedIss[[#This Row],[Date]])),tFeedPur[[Avg Cost per kg After Purchase]]),0)</f>
        <v/>
      </c>
      <c r="H22" s="21">
        <f>N(tFeedIss[[#This Row],[Quantity Issued in kg]])*tFeedIss[[#This Row],[Cost per kg]]</f>
        <v/>
      </c>
      <c r="I22" s="12" t="inlineStr">
        <is>
          <t>Attendant 1</t>
        </is>
      </c>
      <c r="J22" s="12" t="inlineStr">
        <is>
          <t>SAMPLE DATA - delete or replace</t>
        </is>
      </c>
      <c r="K22" s="13">
        <f>IFERROR(INDEX(tBatches[[Animal Type]],MATCH(tFeedIss[[#This Row],[Batch ID]],tBatches[[Batch ID]],0)),"")</f>
        <v/>
      </c>
      <c r="L22" s="19">
        <f>SUMIFS(tFeedPur[[Total Quantity in kg]],tFeedPur[[Feed Type]],tFeedIss[[#This Row],[Feed Type]],tFeedPur[[Date]],"&lt;="&amp;tFeedIss[[#This Row],[Date]])-SUMIFS(tFeedIss[[Quantity Issued in kg]],tFeedIss[[Feed Type]],tFeedIss[[#This Row],[Feed Type]],tFeedIss[[Date]],"&lt;="&amp;tFeedIss[[#This Row],[Date]])</f>
        <v/>
      </c>
      <c r="M22"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3">
      <c r="A23" s="16" t="n">
        <v>46283</v>
      </c>
      <c r="B23" s="13">
        <f>"FI-"&amp;TEXT(ROW()-ROW(tFeedIss[[#Headers],[Date]]),"00000")</f>
        <v/>
      </c>
      <c r="C23" s="12" t="inlineStr">
        <is>
          <t>Grower</t>
        </is>
      </c>
      <c r="D23" s="12" t="inlineStr">
        <is>
          <t>P004</t>
        </is>
      </c>
      <c r="E23" s="12" t="inlineStr">
        <is>
          <t>BROILER-SEP-004</t>
        </is>
      </c>
      <c r="F23" s="18" t="n">
        <v>70</v>
      </c>
      <c r="G23" s="22">
        <f>IFERROR(LOOKUP(2,1/((tFeedPur[[Feed Type]]=tFeedIss[[#This Row],[Feed Type]])*(tFeedPur[[Date]]&lt;=tFeedIss[[#This Row],[Date]])),tFeedPur[[Avg Cost per kg After Purchase]]),0)</f>
        <v/>
      </c>
      <c r="H23" s="21">
        <f>N(tFeedIss[[#This Row],[Quantity Issued in kg]])*tFeedIss[[#This Row],[Cost per kg]]</f>
        <v/>
      </c>
      <c r="I23" s="12" t="inlineStr">
        <is>
          <t>Attendant 1</t>
        </is>
      </c>
      <c r="J23" s="12" t="inlineStr">
        <is>
          <t>SAMPLE DATA - delete or replace</t>
        </is>
      </c>
      <c r="K23" s="13">
        <f>IFERROR(INDEX(tBatches[[Animal Type]],MATCH(tFeedIss[[#This Row],[Batch ID]],tBatches[[Batch ID]],0)),"")</f>
        <v/>
      </c>
      <c r="L23" s="19">
        <f>SUMIFS(tFeedPur[[Total Quantity in kg]],tFeedPur[[Feed Type]],tFeedIss[[#This Row],[Feed Type]],tFeedPur[[Date]],"&lt;="&amp;tFeedIss[[#This Row],[Date]])-SUMIFS(tFeedIss[[Quantity Issued in kg]],tFeedIss[[Feed Type]],tFeedIss[[#This Row],[Feed Type]],tFeedIss[[Date]],"&lt;="&amp;tFeedIss[[#This Row],[Date]])</f>
        <v/>
      </c>
      <c r="M23"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4">
      <c r="A24" s="16" t="n">
        <v>46287</v>
      </c>
      <c r="B24" s="13">
        <f>"FI-"&amp;TEXT(ROW()-ROW(tFeedIss[[#Headers],[Date]]),"00000")</f>
        <v/>
      </c>
      <c r="C24" s="12" t="inlineStr">
        <is>
          <t>Grower</t>
        </is>
      </c>
      <c r="D24" s="12" t="inlineStr">
        <is>
          <t>P001</t>
        </is>
      </c>
      <c r="E24" s="12" t="inlineStr">
        <is>
          <t>BROILER-SEP-001</t>
        </is>
      </c>
      <c r="F24" s="18" t="n">
        <v>80</v>
      </c>
      <c r="G24" s="22">
        <f>IFERROR(LOOKUP(2,1/((tFeedPur[[Feed Type]]=tFeedIss[[#This Row],[Feed Type]])*(tFeedPur[[Date]]&lt;=tFeedIss[[#This Row],[Date]])),tFeedPur[[Avg Cost per kg After Purchase]]),0)</f>
        <v/>
      </c>
      <c r="H24" s="21">
        <f>N(tFeedIss[[#This Row],[Quantity Issued in kg]])*tFeedIss[[#This Row],[Cost per kg]]</f>
        <v/>
      </c>
      <c r="I24" s="12" t="inlineStr">
        <is>
          <t>Attendant 1</t>
        </is>
      </c>
      <c r="J24" s="12" t="inlineStr">
        <is>
          <t>SAMPLE DATA - delete or replace</t>
        </is>
      </c>
      <c r="K24" s="13">
        <f>IFERROR(INDEX(tBatches[[Animal Type]],MATCH(tFeedIss[[#This Row],[Batch ID]],tBatches[[Batch ID]],0)),"")</f>
        <v/>
      </c>
      <c r="L24" s="19">
        <f>SUMIFS(tFeedPur[[Total Quantity in kg]],tFeedPur[[Feed Type]],tFeedIss[[#This Row],[Feed Type]],tFeedPur[[Date]],"&lt;="&amp;tFeedIss[[#This Row],[Date]])-SUMIFS(tFeedIss[[Quantity Issued in kg]],tFeedIss[[Feed Type]],tFeedIss[[#This Row],[Feed Type]],tFeedIss[[Date]],"&lt;="&amp;tFeedIss[[#This Row],[Date]])</f>
        <v/>
      </c>
      <c r="M24"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5">
      <c r="A25" s="16" t="n">
        <v>46287</v>
      </c>
      <c r="B25" s="13">
        <f>"FI-"&amp;TEXT(ROW()-ROW(tFeedIss[[#Headers],[Date]]),"00000")</f>
        <v/>
      </c>
      <c r="C25" s="12" t="inlineStr">
        <is>
          <t>Grower</t>
        </is>
      </c>
      <c r="D25" s="12" t="inlineStr">
        <is>
          <t>P002</t>
        </is>
      </c>
      <c r="E25" s="12" t="inlineStr">
        <is>
          <t>BROILER-SEP-002</t>
        </is>
      </c>
      <c r="F25" s="18" t="n">
        <v>90</v>
      </c>
      <c r="G25" s="22">
        <f>IFERROR(LOOKUP(2,1/((tFeedPur[[Feed Type]]=tFeedIss[[#This Row],[Feed Type]])*(tFeedPur[[Date]]&lt;=tFeedIss[[#This Row],[Date]])),tFeedPur[[Avg Cost per kg After Purchase]]),0)</f>
        <v/>
      </c>
      <c r="H25" s="21">
        <f>N(tFeedIss[[#This Row],[Quantity Issued in kg]])*tFeedIss[[#This Row],[Cost per kg]]</f>
        <v/>
      </c>
      <c r="I25" s="12" t="inlineStr">
        <is>
          <t>Attendant 1</t>
        </is>
      </c>
      <c r="J25" s="12" t="inlineStr">
        <is>
          <t>SAMPLE DATA - delete or replace</t>
        </is>
      </c>
      <c r="K25" s="13">
        <f>IFERROR(INDEX(tBatches[[Animal Type]],MATCH(tFeedIss[[#This Row],[Batch ID]],tBatches[[Batch ID]],0)),"")</f>
        <v/>
      </c>
      <c r="L25" s="19">
        <f>SUMIFS(tFeedPur[[Total Quantity in kg]],tFeedPur[[Feed Type]],tFeedIss[[#This Row],[Feed Type]],tFeedPur[[Date]],"&lt;="&amp;tFeedIss[[#This Row],[Date]])-SUMIFS(tFeedIss[[Quantity Issued in kg]],tFeedIss[[Feed Type]],tFeedIss[[#This Row],[Feed Type]],tFeedIss[[Date]],"&lt;="&amp;tFeedIss[[#This Row],[Date]])</f>
        <v/>
      </c>
      <c r="M25"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6">
      <c r="A26" s="16" t="n">
        <v>46287</v>
      </c>
      <c r="B26" s="13">
        <f>"FI-"&amp;TEXT(ROW()-ROW(tFeedIss[[#Headers],[Date]]),"00000")</f>
        <v/>
      </c>
      <c r="C26" s="12" t="inlineStr">
        <is>
          <t>Grower</t>
        </is>
      </c>
      <c r="D26" s="12" t="inlineStr">
        <is>
          <t>P003</t>
        </is>
      </c>
      <c r="E26" s="12" t="inlineStr">
        <is>
          <t>BROILER-SEP-003</t>
        </is>
      </c>
      <c r="F26" s="18" t="n">
        <v>70</v>
      </c>
      <c r="G26" s="22">
        <f>IFERROR(LOOKUP(2,1/((tFeedPur[[Feed Type]]=tFeedIss[[#This Row],[Feed Type]])*(tFeedPur[[Date]]&lt;=tFeedIss[[#This Row],[Date]])),tFeedPur[[Avg Cost per kg After Purchase]]),0)</f>
        <v/>
      </c>
      <c r="H26" s="21">
        <f>N(tFeedIss[[#This Row],[Quantity Issued in kg]])*tFeedIss[[#This Row],[Cost per kg]]</f>
        <v/>
      </c>
      <c r="I26" s="12" t="inlineStr">
        <is>
          <t>Attendant 1</t>
        </is>
      </c>
      <c r="J26" s="12" t="inlineStr">
        <is>
          <t>SAMPLE DATA - delete or replace</t>
        </is>
      </c>
      <c r="K26" s="13">
        <f>IFERROR(INDEX(tBatches[[Animal Type]],MATCH(tFeedIss[[#This Row],[Batch ID]],tBatches[[Batch ID]],0)),"")</f>
        <v/>
      </c>
      <c r="L26" s="19">
        <f>SUMIFS(tFeedPur[[Total Quantity in kg]],tFeedPur[[Feed Type]],tFeedIss[[#This Row],[Feed Type]],tFeedPur[[Date]],"&lt;="&amp;tFeedIss[[#This Row],[Date]])-SUMIFS(tFeedIss[[Quantity Issued in kg]],tFeedIss[[Feed Type]],tFeedIss[[#This Row],[Feed Type]],tFeedIss[[Date]],"&lt;="&amp;tFeedIss[[#This Row],[Date]])</f>
        <v/>
      </c>
      <c r="M26"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7">
      <c r="A27" s="16" t="n">
        <v>46287</v>
      </c>
      <c r="B27" s="13">
        <f>"FI-"&amp;TEXT(ROW()-ROW(tFeedIss[[#Headers],[Date]]),"00000")</f>
        <v/>
      </c>
      <c r="C27" s="12" t="inlineStr">
        <is>
          <t>Grower</t>
        </is>
      </c>
      <c r="D27" s="12" t="inlineStr">
        <is>
          <t>P004</t>
        </is>
      </c>
      <c r="E27" s="12" t="inlineStr">
        <is>
          <t>BROILER-SEP-004</t>
        </is>
      </c>
      <c r="F27" s="18" t="n">
        <v>75</v>
      </c>
      <c r="G27" s="22">
        <f>IFERROR(LOOKUP(2,1/((tFeedPur[[Feed Type]]=tFeedIss[[#This Row],[Feed Type]])*(tFeedPur[[Date]]&lt;=tFeedIss[[#This Row],[Date]])),tFeedPur[[Avg Cost per kg After Purchase]]),0)</f>
        <v/>
      </c>
      <c r="H27" s="21">
        <f>N(tFeedIss[[#This Row],[Quantity Issued in kg]])*tFeedIss[[#This Row],[Cost per kg]]</f>
        <v/>
      </c>
      <c r="I27" s="12" t="inlineStr">
        <is>
          <t>Attendant 1</t>
        </is>
      </c>
      <c r="J27" s="12" t="inlineStr">
        <is>
          <t>SAMPLE DATA - delete or replace</t>
        </is>
      </c>
      <c r="K27" s="13">
        <f>IFERROR(INDEX(tBatches[[Animal Type]],MATCH(tFeedIss[[#This Row],[Batch ID]],tBatches[[Batch ID]],0)),"")</f>
        <v/>
      </c>
      <c r="L27" s="19">
        <f>SUMIFS(tFeedPur[[Total Quantity in kg]],tFeedPur[[Feed Type]],tFeedIss[[#This Row],[Feed Type]],tFeedPur[[Date]],"&lt;="&amp;tFeedIss[[#This Row],[Date]])-SUMIFS(tFeedIss[[Quantity Issued in kg]],tFeedIss[[Feed Type]],tFeedIss[[#This Row],[Feed Type]],tFeedIss[[Date]],"&lt;="&amp;tFeedIss[[#This Row],[Date]])</f>
        <v/>
      </c>
      <c r="M27"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row r="28">
      <c r="A28" s="16" t="n">
        <v>46290</v>
      </c>
      <c r="B28" s="13">
        <f>"FI-"&amp;TEXT(ROW()-ROW(tFeedIss[[#Headers],[Date]]),"00000")</f>
        <v/>
      </c>
      <c r="C28" s="12" t="inlineStr">
        <is>
          <t>Starter</t>
        </is>
      </c>
      <c r="D28" s="12" t="inlineStr">
        <is>
          <t>P003</t>
        </is>
      </c>
      <c r="E28" s="12" t="inlineStr">
        <is>
          <t>BROILER-SEP-003</t>
        </is>
      </c>
      <c r="F28" s="18" t="n">
        <v>50</v>
      </c>
      <c r="G28" s="22">
        <f>IFERROR(LOOKUP(2,1/((tFeedPur[[Feed Type]]=tFeedIss[[#This Row],[Feed Type]])*(tFeedPur[[Date]]&lt;=tFeedIss[[#This Row],[Date]])),tFeedPur[[Avg Cost per kg After Purchase]]),0)</f>
        <v/>
      </c>
      <c r="H28" s="21">
        <f>N(tFeedIss[[#This Row],[Quantity Issued in kg]])*tFeedIss[[#This Row],[Cost per kg]]</f>
        <v/>
      </c>
      <c r="I28" s="12" t="inlineStr">
        <is>
          <t>Attendant 1</t>
        </is>
      </c>
      <c r="J28" s="12" t="inlineStr">
        <is>
          <t>SAMPLE DATA - delete or replace</t>
        </is>
      </c>
      <c r="K28" s="13">
        <f>IFERROR(INDEX(tBatches[[Animal Type]],MATCH(tFeedIss[[#This Row],[Batch ID]],tBatches[[Batch ID]],0)),"")</f>
        <v/>
      </c>
      <c r="L28" s="19">
        <f>SUMIFS(tFeedPur[[Total Quantity in kg]],tFeedPur[[Feed Type]],tFeedIss[[#This Row],[Feed Type]],tFeedPur[[Date]],"&lt;="&amp;tFeedIss[[#This Row],[Date]])-SUMIFS(tFeedIss[[Quantity Issued in kg]],tFeedIss[[Feed Type]],tFeedIss[[#This Row],[Feed Type]],tFeedIss[[Date]],"&lt;="&amp;tFeedIss[[#This Row],[Date]])</f>
        <v/>
      </c>
      <c r="M28" s="13">
        <f>IF(AND(tFeedIss[[#This Row],[Date]]="",tFeedIss[[#This Row],[Feed Type]]="",tFeedIss[[#This Row],[Pen ID]]="",tFeedIss[[#This Row],[Batch ID]]="",tFeedIss[[#This Row],[Quantity Issued in kg]]=""),"",IF(tFeedIss[[#This Row],[Date]]="","Missing date",IF(NOT(ISNUMBER(tFeedIss[[#This Row],[Date]])),"Date is not a valid date",IF(tFeedIss[[#This Row],[Feed Type]]="","Missing feed type",IF(COUNTIF(tFeedTypes[[Feed Type]],tFeedIss[[#This Row],[Feed Type]])=0,"Feed type not in LISTS",IF(tFeedIss[[#This Row],[Pen ID]]="","Missing Pen ID",IF(COUNTIF(tPens[[Pen ID]],tFeedIss[[#This Row],[Pen ID]])=0,"Pen "&amp;tFeedIss[[#This Row],[Pen ID]]&amp;" is not in PEN_REGISTER",IF(tFeedIss[[#This Row],[Batch ID]]="","Missing Batch ID",IF(COUNTIF(tBatches[[Batch ID]],tFeedIss[[#This Row],[Batch ID]])=0,"Batch "&amp;tFeedIss[[#This Row],[Batch ID]]&amp;" is not in BATCH_REGISTER",IF(COUNTIFS(tBatches[[Batch ID]],tFeedIss[[#This Row],[Batch ID]],tBatches[[Pen ID]],tFeedIss[[#This Row],[Pen ID]])=0,"Batch "&amp;tFeedIss[[#This Row],[Batch ID]]&amp;" belongs to pen "&amp;INDEX(tBatches[[Pen ID]],MATCH(tFeedIss[[#This Row],[Batch ID]],tBatches[[Batch ID]],0)),IF(tFeedIss[[#This Row],[Date]]&lt;INDEX(tBatches[[Batch Start Date]],MATCH(tFeedIss[[#This Row],[Batch ID]],tBatches[[Batch ID]],0)),"Date is before the batch start date",IF(AND(N(INDEX(tBatches[[Closing Date]],MATCH(tFeedIss[[#This Row],[Batch ID]],tBatches[[Batch ID]],0)))&gt;0,tFeedIss[[#This Row],[Date]]&gt;INDEX(tBatches[[Closing Date]],MATCH(tFeedIss[[#This Row],[Batch ID]],tBatches[[Batch ID]],0))),"Date is after the batch closing date",IF(N(tFeedIss[[#This Row],[Quantity Issued in kg]])&lt;=0,"Quantity must be greater than 0",IF(tFeedIss[[#This Row],[Cost per kg]]=0,"No purchase of this feed on/before this date",IF(tFeedIss[[#This Row],[Store Balance on Date kg]]&lt;-0.0001,"EXCEEDS STOCK by "&amp;TEXT(-tFeedIss[[#This Row],[Store Balance on Date kg]],"#,##0.0")&amp;" kg","OK")))))))))))))))</f>
        <v/>
      </c>
    </row>
  </sheetData>
  <conditionalFormatting sqref="M5:M5000">
    <cfRule type="expression" priority="1" dxfId="0">
      <formula>AND(M5&lt;&gt;"",M5&lt;&gt;"OK")</formula>
    </cfRule>
    <cfRule type="expression" priority="2" dxfId="1">
      <formula>M5="OK"</formula>
    </cfRule>
  </conditionalFormatting>
  <dataValidations count="6">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L_FeedTypes</formula1>
    </dataValidation>
    <dataValidation sqref="D5:D5000" showDropDown="0" showInputMessage="0" showErrorMessage="1" allowBlank="1" errorTitle="Not in list" error="Choose a value from the dropdown list (lists are maintained on the LISTS / register sheets)." type="list">
      <formula1>L_Pens</formula1>
    </dataValidation>
    <dataValidation sqref="E5:E5000" showDropDown="0" showInputMessage="0" showErrorMessage="1" allowBlank="1" errorTitle="Not in list" error="Choose a value from the dropdown list (lists are maintained on the LISTS / register sheets)." type="list">
      <formula1>L_Batches</formula1>
    </dataValidation>
    <dataValidation sqref="F5:F5000" showDropDown="0" showInputMessage="0" showErrorMessage="1" allowBlank="1" errorTitle="Invalid number" error="Enter a number that is zero or greater (no text, no negative values)." type="decimal" operator="greaterThanOrEqual">
      <formula1>0</formula1>
    </dataValidation>
    <dataValidation sqref="I5:I5000" showDropDown="0" showInputMessage="0" showErrorMessage="0" allowBlank="1" errorTitle="Not in list" error="Choose a value from the dropdown list (lists are maintained on the LISTS / register sheets)." type="list">
      <formula1>L_Staff</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S9"/>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20" customWidth="1" min="3" max="3"/>
    <col width="18" customWidth="1" min="4" max="4"/>
    <col width="18" customWidth="1" min="5" max="5"/>
    <col width="10" customWidth="1" min="6" max="6"/>
    <col width="8" customWidth="1" min="7" max="7"/>
    <col width="10" customWidth="1" min="8" max="8"/>
    <col width="12" customWidth="1" min="9" max="9"/>
    <col width="11" customWidth="1" min="10" max="10"/>
    <col width="11" customWidth="1" min="11" max="11"/>
    <col width="10" customWidth="1" min="12" max="12"/>
    <col width="30" customWidth="1" min="13" max="13"/>
    <col width="10" customWidth="1" min="14" max="14"/>
    <col width="8" customWidth="1" min="15" max="15"/>
    <col width="10" customWidth="1" min="16" max="16"/>
    <col width="11" customWidth="1" min="17" max="17"/>
    <col width="16" customWidth="1" min="18" max="18"/>
    <col width="26" customWidth="1" min="19" max="19"/>
  </cols>
  <sheetData>
    <row r="1">
      <c r="A1" s="1" t="inlineStr">
        <is>
          <t>DRUG PURCHASES</t>
        </is>
      </c>
    </row>
    <row r="2">
      <c r="A2" s="7" t="inlineStr">
        <is>
          <t>Record each drug/vaccine purchase once. Unused drugs remain inventory. Quantities are in the drug's Stock Unit set on LISTS (ml, g, doses, tablets ...).</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Purchase ID</t>
        </is>
      </c>
      <c r="C4" s="9" t="inlineStr">
        <is>
          <t>Drug Name</t>
        </is>
      </c>
      <c r="D4" s="10" t="inlineStr">
        <is>
          <t>Form/Concentration</t>
        </is>
      </c>
      <c r="E4" s="9" t="inlineStr">
        <is>
          <t>Supplier</t>
        </is>
      </c>
      <c r="F4" s="9" t="inlineStr">
        <is>
          <t>Quantity Purchased</t>
        </is>
      </c>
      <c r="G4" s="10" t="inlineStr">
        <is>
          <t>Unit</t>
        </is>
      </c>
      <c r="H4" s="9" t="inlineStr">
        <is>
          <t>Unit Cost</t>
        </is>
      </c>
      <c r="I4" s="10" t="inlineStr">
        <is>
          <t>Total Cost</t>
        </is>
      </c>
      <c r="J4" s="9" t="inlineStr">
        <is>
          <t>Expiry Date</t>
        </is>
      </c>
      <c r="K4" s="9" t="inlineStr">
        <is>
          <t>Batch Number</t>
        </is>
      </c>
      <c r="L4" s="9" t="inlineStr">
        <is>
          <t>Payment Method</t>
        </is>
      </c>
      <c r="M4" s="9" t="inlineStr">
        <is>
          <t>Notes</t>
        </is>
      </c>
      <c r="N4" s="10" t="inlineStr">
        <is>
          <t>Remaining in Lot</t>
        </is>
      </c>
      <c r="O4" s="10" t="inlineStr">
        <is>
          <t>Purchase No. of Drug</t>
        </is>
      </c>
      <c r="P4" s="10" t="inlineStr">
        <is>
          <t>Stock Before Purchase</t>
        </is>
      </c>
      <c r="Q4" s="10" t="inlineStr">
        <is>
          <t>Avg Cost per Unit After Purchase</t>
        </is>
      </c>
      <c r="R4" s="10" t="inlineStr">
        <is>
          <t>Expiry Status</t>
        </is>
      </c>
      <c r="S4" s="10" t="inlineStr">
        <is>
          <t>Check</t>
        </is>
      </c>
    </row>
    <row r="5">
      <c r="A5" s="16" t="n">
        <v>46174</v>
      </c>
      <c r="B5" s="13">
        <f>"DP-"&amp;TEXT(ROW()-ROW(tDrugPur[[#Headers],[Date]]),"00000")</f>
        <v/>
      </c>
      <c r="C5" s="12" t="inlineStr">
        <is>
          <t>Dewormer</t>
        </is>
      </c>
      <c r="D5" s="13">
        <f>IFERROR(INDEX(tDrugs[[Form/Concentration]],MATCH(tDrugPur[[#This Row],[Drug Name]],tDrugs[[Drug Name]],0))&amp;"","")</f>
        <v/>
      </c>
      <c r="E5" s="12" t="inlineStr">
        <is>
          <t>Vet Store (sample)</t>
        </is>
      </c>
      <c r="F5" s="18" t="n">
        <v>200</v>
      </c>
      <c r="G5" s="13">
        <f>IFERROR(INDEX(tDrugs[[Stock Unit]],MATCH(tDrugPur[[#This Row],[Drug Name]],tDrugs[[Drug Name]],0))&amp;"","")</f>
        <v/>
      </c>
      <c r="H5" s="23" t="n">
        <v>15</v>
      </c>
      <c r="I5" s="21">
        <f>N(tDrugPur[[#This Row],[Quantity Purchased]])*N(tDrugPur[[#This Row],[Unit Cost]])</f>
        <v/>
      </c>
      <c r="J5" s="16" t="n">
        <v>46538</v>
      </c>
      <c r="K5" s="11" t="inlineStr">
        <is>
          <t>DW0601</t>
        </is>
      </c>
      <c r="L5" s="12" t="inlineStr">
        <is>
          <t>Cash</t>
        </is>
      </c>
      <c r="M5" s="12" t="inlineStr">
        <is>
          <t>SAMPLE DATA - delete or replace</t>
        </is>
      </c>
      <c r="N5" s="19">
        <f>IF(tDrugPur[[#This Row],[Batch Number]]="","",N(tDrugPur[[#This Row],[Quantity Purchased]])-SUMIFS(tDrugUse[[Quantity Used]],tDrugUse[[Drug Name]],tDrugPur[[#This Row],[Drug Name]],tDrugUse[[Drug Batch Number]],tDrugPur[[#This Row],[Batch Number]]))</f>
        <v/>
      </c>
      <c r="O5" s="15">
        <f>COUNTIF(INDEX(tDrugPur[[Drug Name]],1):tDrugPur[[#This Row],[Drug Name]],tDrugPur[[#This Row],[Drug Name]])</f>
        <v/>
      </c>
      <c r="P5" s="19">
        <f>MAX(0,IF((ROW()-ROW(tDrugPur[[#Headers],[Date]]))=1,0,SUMIFS(INDEX(tDrugPur[[Quantity Purchased]],1):INDEX(tDrugPur[[Quantity Purchased]],(ROW()-ROW(tDrugPur[[#Headers],[Date]]))-1),INDEX(tDrugPur[[Drug Name]],1):INDEX(tDrugPur[[Drug Name]],(ROW()-ROW(tDrugPur[[#Headers],[Date]]))-1),tDrugPur[[#This Row],[Drug Name]]))-SUMIFS(tDrugUse[[Quantity Used]],tDrugUse[[Drug Name]],tDrugPur[[#This Row],[Drug Name]],tDrugUse[[Date]],"&lt;"&amp;tDrugPur[[#This Row],[Date]]))</f>
        <v/>
      </c>
      <c r="Q5" s="22">
        <f>IFERROR((tDrugPur[[#This Row],[Stock Before Purchase]]*IF(tDrugPur[[#This Row],[Purchase No. of Drug]]=1,0,LOOKUP(2,1/(INDEX(tDrugPur[[Drug Name]],1):INDEX(tDrugPur[[Drug Name]],(ROW()-ROW(tDrugPur[[#Headers],[Date]]))-1)=tDrugPur[[#This Row],[Drug Name]]),INDEX(tDrugPur[[Avg Cost per Unit After Purchase]],1):INDEX(tDrugPur[[Avg Cost per Unit After Purchase]],(ROW()-ROW(tDrugPur[[#Headers],[Date]]))-1)))+N(tDrugPur[[#This Row],[Total Cost]]))/(tDrugPur[[#This Row],[Stock Before Purchase]]+N(tDrugPur[[#This Row],[Quantity Purchased]])),IF(tDrugPur[[#This Row],[Purchase No. of Drug]]=1,0,LOOKUP(2,1/(INDEX(tDrugPur[[Drug Name]],1):INDEX(tDrugPur[[Drug Name]],(ROW()-ROW(tDrugPur[[#Headers],[Date]]))-1)=tDrugPur[[#This Row],[Drug Name]]),INDEX(tDrugPur[[Avg Cost per Unit After Purchase]],1):INDEX(tDrugPur[[Avg Cost per Unit After Purchase]],(ROW()-ROW(tDrugPur[[#Headers],[Date]]))-1))))</f>
        <v/>
      </c>
      <c r="R5" s="13">
        <f>IF(N(tDrugPur[[#This Row],[Expiry Date]])=0,"",IF(AND(tDrugPur[[#This Row],[Remaining in Lot]]&lt;&gt;"",N(tDrugPur[[#This Row],[Remaining in Lot]])&lt;=0),"Used up",IF(tDrugPur[[#This Row],[Expiry Date]]&lt;TODAY(),"EXPIRED",IF(tDrugPur[[#This Row],[Expiry Date]]-TODAY()&lt;=ExpiryWarnDays,"Expires in "&amp;(tDrugPur[[#This Row],[Expiry Date]]-TODAY())&amp;" days","OK"))))</f>
        <v/>
      </c>
      <c r="S5" s="13">
        <f>IF(AND(tDrugPur[[#This Row],[Date]]="",tDrugPur[[#This Row],[Drug Name]]="",tDrugPur[[#This Row],[Quantity Purchased]]=""),"",IF(tDrugPur[[#This Row],[Date]]="","Missing date",IF(NOT(ISNUMBER(tDrugPur[[#This Row],[Date]])),"Date is not a valid date",IF(AND((ROW()-ROW(tDrugPur[[#Headers],[Date]]))&gt;1,tDrugPur[[#This Row],[Date]]&lt;INDEX(tDrugPur[[Date]],MAX(1,(ROW()-ROW(tDrugPur[[#Headers],[Date]]))-1))),"Out of date order - insert this row after earlier purchases",IF(tDrugPur[[#This Row],[Drug Name]]="","Missing drug name",IF(COUNTIF(tDrugs[[Drug Name]],tDrugPur[[#This Row],[Drug Name]])=0,"Drug not in LISTS",IF(N(tDrugPur[[#This Row],[Quantity Purchased]])&lt;=0,"Quantity must be greater than 0",IF(tDrugPur[[#This Row],[Unit Cost]]="","Missing unit cost",IF(N(tDrugPur[[#This Row],[Expiry Date]])=0,"Missing expiry date",IF(tDrugPur[[#This Row],[Payment Method]]="","Missing payment method","OK"))))))))))</f>
        <v/>
      </c>
    </row>
    <row r="6">
      <c r="A6" s="16" t="n">
        <v>46204</v>
      </c>
      <c r="B6" s="13">
        <f>"DP-"&amp;TEXT(ROW()-ROW(tDrugPur[[#Headers],[Date]]),"00000")</f>
        <v/>
      </c>
      <c r="C6" s="12" t="inlineStr">
        <is>
          <t>Anticoccidial</t>
        </is>
      </c>
      <c r="D6" s="13">
        <f>IFERROR(INDEX(tDrugs[[Form/Concentration]],MATCH(tDrugPur[[#This Row],[Drug Name]],tDrugs[[Drug Name]],0))&amp;"","")</f>
        <v/>
      </c>
      <c r="E6" s="12" t="inlineStr">
        <is>
          <t>Vet Store (sample)</t>
        </is>
      </c>
      <c r="F6" s="18" t="n">
        <v>500</v>
      </c>
      <c r="G6" s="13">
        <f>IFERROR(INDEX(tDrugs[[Stock Unit]],MATCH(tDrugPur[[#This Row],[Drug Name]],tDrugs[[Drug Name]],0))&amp;"","")</f>
        <v/>
      </c>
      <c r="H6" s="23" t="n">
        <v>12</v>
      </c>
      <c r="I6" s="21">
        <f>N(tDrugPur[[#This Row],[Quantity Purchased]])*N(tDrugPur[[#This Row],[Unit Cost]])</f>
        <v/>
      </c>
      <c r="J6" s="16" t="n">
        <v>46266</v>
      </c>
      <c r="K6" s="11" t="inlineStr">
        <is>
          <t>AC0701</t>
        </is>
      </c>
      <c r="L6" s="12" t="inlineStr">
        <is>
          <t>Cash</t>
        </is>
      </c>
      <c r="M6" s="12" t="inlineStr">
        <is>
          <t>SAMPLE DATA - delete or replace</t>
        </is>
      </c>
      <c r="N6" s="19">
        <f>IF(tDrugPur[[#This Row],[Batch Number]]="","",N(tDrugPur[[#This Row],[Quantity Purchased]])-SUMIFS(tDrugUse[[Quantity Used]],tDrugUse[[Drug Name]],tDrugPur[[#This Row],[Drug Name]],tDrugUse[[Drug Batch Number]],tDrugPur[[#This Row],[Batch Number]]))</f>
        <v/>
      </c>
      <c r="O6" s="15">
        <f>COUNTIF(INDEX(tDrugPur[[Drug Name]],1):tDrugPur[[#This Row],[Drug Name]],tDrugPur[[#This Row],[Drug Name]])</f>
        <v/>
      </c>
      <c r="P6" s="19">
        <f>MAX(0,IF((ROW()-ROW(tDrugPur[[#Headers],[Date]]))=1,0,SUMIFS(INDEX(tDrugPur[[Quantity Purchased]],1):INDEX(tDrugPur[[Quantity Purchased]],(ROW()-ROW(tDrugPur[[#Headers],[Date]]))-1),INDEX(tDrugPur[[Drug Name]],1):INDEX(tDrugPur[[Drug Name]],(ROW()-ROW(tDrugPur[[#Headers],[Date]]))-1),tDrugPur[[#This Row],[Drug Name]]))-SUMIFS(tDrugUse[[Quantity Used]],tDrugUse[[Drug Name]],tDrugPur[[#This Row],[Drug Name]],tDrugUse[[Date]],"&lt;"&amp;tDrugPur[[#This Row],[Date]]))</f>
        <v/>
      </c>
      <c r="Q6" s="22">
        <f>IFERROR((tDrugPur[[#This Row],[Stock Before Purchase]]*IF(tDrugPur[[#This Row],[Purchase No. of Drug]]=1,0,LOOKUP(2,1/(INDEX(tDrugPur[[Drug Name]],1):INDEX(tDrugPur[[Drug Name]],(ROW()-ROW(tDrugPur[[#Headers],[Date]]))-1)=tDrugPur[[#This Row],[Drug Name]]),INDEX(tDrugPur[[Avg Cost per Unit After Purchase]],1):INDEX(tDrugPur[[Avg Cost per Unit After Purchase]],(ROW()-ROW(tDrugPur[[#Headers],[Date]]))-1)))+N(tDrugPur[[#This Row],[Total Cost]]))/(tDrugPur[[#This Row],[Stock Before Purchase]]+N(tDrugPur[[#This Row],[Quantity Purchased]])),IF(tDrugPur[[#This Row],[Purchase No. of Drug]]=1,0,LOOKUP(2,1/(INDEX(tDrugPur[[Drug Name]],1):INDEX(tDrugPur[[Drug Name]],(ROW()-ROW(tDrugPur[[#Headers],[Date]]))-1)=tDrugPur[[#This Row],[Drug Name]]),INDEX(tDrugPur[[Avg Cost per Unit After Purchase]],1):INDEX(tDrugPur[[Avg Cost per Unit After Purchase]],(ROW()-ROW(tDrugPur[[#Headers],[Date]]))-1))))</f>
        <v/>
      </c>
      <c r="R6" s="13">
        <f>IF(N(tDrugPur[[#This Row],[Expiry Date]])=0,"",IF(AND(tDrugPur[[#This Row],[Remaining in Lot]]&lt;&gt;"",N(tDrugPur[[#This Row],[Remaining in Lot]])&lt;=0),"Used up",IF(tDrugPur[[#This Row],[Expiry Date]]&lt;TODAY(),"EXPIRED",IF(tDrugPur[[#This Row],[Expiry Date]]-TODAY()&lt;=ExpiryWarnDays,"Expires in "&amp;(tDrugPur[[#This Row],[Expiry Date]]-TODAY())&amp;" days","OK"))))</f>
        <v/>
      </c>
      <c r="S6" s="13">
        <f>IF(AND(tDrugPur[[#This Row],[Date]]="",tDrugPur[[#This Row],[Drug Name]]="",tDrugPur[[#This Row],[Quantity Purchased]]=""),"",IF(tDrugPur[[#This Row],[Date]]="","Missing date",IF(NOT(ISNUMBER(tDrugPur[[#This Row],[Date]])),"Date is not a valid date",IF(AND((ROW()-ROW(tDrugPur[[#Headers],[Date]]))&gt;1,tDrugPur[[#This Row],[Date]]&lt;INDEX(tDrugPur[[Date]],MAX(1,(ROW()-ROW(tDrugPur[[#Headers],[Date]]))-1))),"Out of date order - insert this row after earlier purchases",IF(tDrugPur[[#This Row],[Drug Name]]="","Missing drug name",IF(COUNTIF(tDrugs[[Drug Name]],tDrugPur[[#This Row],[Drug Name]])=0,"Drug not in LISTS",IF(N(tDrugPur[[#This Row],[Quantity Purchased]])&lt;=0,"Quantity must be greater than 0",IF(tDrugPur[[#This Row],[Unit Cost]]="","Missing unit cost",IF(N(tDrugPur[[#This Row],[Expiry Date]])=0,"Missing expiry date",IF(tDrugPur[[#This Row],[Payment Method]]="","Missing payment method","OK"))))))))))</f>
        <v/>
      </c>
    </row>
    <row r="7">
      <c r="A7" s="16" t="n">
        <v>46262</v>
      </c>
      <c r="B7" s="13">
        <f>"DP-"&amp;TEXT(ROW()-ROW(tDrugPur[[#Headers],[Date]]),"00000")</f>
        <v/>
      </c>
      <c r="C7" s="12" t="inlineStr">
        <is>
          <t>Multivitamin</t>
        </is>
      </c>
      <c r="D7" s="13">
        <f>IFERROR(INDEX(tDrugs[[Form/Concentration]],MATCH(tDrugPur[[#This Row],[Drug Name]],tDrugs[[Drug Name]],0))&amp;"","")</f>
        <v/>
      </c>
      <c r="E7" s="12" t="inlineStr">
        <is>
          <t>Vet Store (sample)</t>
        </is>
      </c>
      <c r="F7" s="18" t="n">
        <v>1000</v>
      </c>
      <c r="G7" s="13">
        <f>IFERROR(INDEX(tDrugs[[Stock Unit]],MATCH(tDrugPur[[#This Row],[Drug Name]],tDrugs[[Drug Name]],0))&amp;"","")</f>
        <v/>
      </c>
      <c r="H7" s="23" t="n">
        <v>8</v>
      </c>
      <c r="I7" s="21">
        <f>N(tDrugPur[[#This Row],[Quantity Purchased]])*N(tDrugPur[[#This Row],[Unit Cost]])</f>
        <v/>
      </c>
      <c r="J7" s="16" t="n">
        <v>46568</v>
      </c>
      <c r="K7" s="11" t="inlineStr">
        <is>
          <t>MV2408</t>
        </is>
      </c>
      <c r="L7" s="12" t="inlineStr">
        <is>
          <t>Transfer</t>
        </is>
      </c>
      <c r="M7" s="12" t="inlineStr">
        <is>
          <t>SAMPLE DATA - delete or replace</t>
        </is>
      </c>
      <c r="N7" s="19">
        <f>IF(tDrugPur[[#This Row],[Batch Number]]="","",N(tDrugPur[[#This Row],[Quantity Purchased]])-SUMIFS(tDrugUse[[Quantity Used]],tDrugUse[[Drug Name]],tDrugPur[[#This Row],[Drug Name]],tDrugUse[[Drug Batch Number]],tDrugPur[[#This Row],[Batch Number]]))</f>
        <v/>
      </c>
      <c r="O7" s="15">
        <f>COUNTIF(INDEX(tDrugPur[[Drug Name]],1):tDrugPur[[#This Row],[Drug Name]],tDrugPur[[#This Row],[Drug Name]])</f>
        <v/>
      </c>
      <c r="P7" s="19">
        <f>MAX(0,IF((ROW()-ROW(tDrugPur[[#Headers],[Date]]))=1,0,SUMIFS(INDEX(tDrugPur[[Quantity Purchased]],1):INDEX(tDrugPur[[Quantity Purchased]],(ROW()-ROW(tDrugPur[[#Headers],[Date]]))-1),INDEX(tDrugPur[[Drug Name]],1):INDEX(tDrugPur[[Drug Name]],(ROW()-ROW(tDrugPur[[#Headers],[Date]]))-1),tDrugPur[[#This Row],[Drug Name]]))-SUMIFS(tDrugUse[[Quantity Used]],tDrugUse[[Drug Name]],tDrugPur[[#This Row],[Drug Name]],tDrugUse[[Date]],"&lt;"&amp;tDrugPur[[#This Row],[Date]]))</f>
        <v/>
      </c>
      <c r="Q7" s="22">
        <f>IFERROR((tDrugPur[[#This Row],[Stock Before Purchase]]*IF(tDrugPur[[#This Row],[Purchase No. of Drug]]=1,0,LOOKUP(2,1/(INDEX(tDrugPur[[Drug Name]],1):INDEX(tDrugPur[[Drug Name]],(ROW()-ROW(tDrugPur[[#Headers],[Date]]))-1)=tDrugPur[[#This Row],[Drug Name]]),INDEX(tDrugPur[[Avg Cost per Unit After Purchase]],1):INDEX(tDrugPur[[Avg Cost per Unit After Purchase]],(ROW()-ROW(tDrugPur[[#Headers],[Date]]))-1)))+N(tDrugPur[[#This Row],[Total Cost]]))/(tDrugPur[[#This Row],[Stock Before Purchase]]+N(tDrugPur[[#This Row],[Quantity Purchased]])),IF(tDrugPur[[#This Row],[Purchase No. of Drug]]=1,0,LOOKUP(2,1/(INDEX(tDrugPur[[Drug Name]],1):INDEX(tDrugPur[[Drug Name]],(ROW()-ROW(tDrugPur[[#Headers],[Date]]))-1)=tDrugPur[[#This Row],[Drug Name]]),INDEX(tDrugPur[[Avg Cost per Unit After Purchase]],1):INDEX(tDrugPur[[Avg Cost per Unit After Purchase]],(ROW()-ROW(tDrugPur[[#Headers],[Date]]))-1))))</f>
        <v/>
      </c>
      <c r="R7" s="13">
        <f>IF(N(tDrugPur[[#This Row],[Expiry Date]])=0,"",IF(AND(tDrugPur[[#This Row],[Remaining in Lot]]&lt;&gt;"",N(tDrugPur[[#This Row],[Remaining in Lot]])&lt;=0),"Used up",IF(tDrugPur[[#This Row],[Expiry Date]]&lt;TODAY(),"EXPIRED",IF(tDrugPur[[#This Row],[Expiry Date]]-TODAY()&lt;=ExpiryWarnDays,"Expires in "&amp;(tDrugPur[[#This Row],[Expiry Date]]-TODAY())&amp;" days","OK"))))</f>
        <v/>
      </c>
      <c r="S7" s="13">
        <f>IF(AND(tDrugPur[[#This Row],[Date]]="",tDrugPur[[#This Row],[Drug Name]]="",tDrugPur[[#This Row],[Quantity Purchased]]=""),"",IF(tDrugPur[[#This Row],[Date]]="","Missing date",IF(NOT(ISNUMBER(tDrugPur[[#This Row],[Date]])),"Date is not a valid date",IF(AND((ROW()-ROW(tDrugPur[[#Headers],[Date]]))&gt;1,tDrugPur[[#This Row],[Date]]&lt;INDEX(tDrugPur[[Date]],MAX(1,(ROW()-ROW(tDrugPur[[#Headers],[Date]]))-1))),"Out of date order - insert this row after earlier purchases",IF(tDrugPur[[#This Row],[Drug Name]]="","Missing drug name",IF(COUNTIF(tDrugs[[Drug Name]],tDrugPur[[#This Row],[Drug Name]])=0,"Drug not in LISTS",IF(N(tDrugPur[[#This Row],[Quantity Purchased]])&lt;=0,"Quantity must be greater than 0",IF(tDrugPur[[#This Row],[Unit Cost]]="","Missing unit cost",IF(N(tDrugPur[[#This Row],[Expiry Date]])=0,"Missing expiry date",IF(tDrugPur[[#This Row],[Payment Method]]="","Missing payment method","OK"))))))))))</f>
        <v/>
      </c>
    </row>
    <row r="8">
      <c r="A8" s="16" t="n">
        <v>46262</v>
      </c>
      <c r="B8" s="13">
        <f>"DP-"&amp;TEXT(ROW()-ROW(tDrugPur[[#Headers],[Date]]),"00000")</f>
        <v/>
      </c>
      <c r="C8" s="12" t="inlineStr">
        <is>
          <t>Antibiotic A</t>
        </is>
      </c>
      <c r="D8" s="13">
        <f>IFERROR(INDEX(tDrugs[[Form/Concentration]],MATCH(tDrugPur[[#This Row],[Drug Name]],tDrugs[[Drug Name]],0))&amp;"","")</f>
        <v/>
      </c>
      <c r="E8" s="12" t="inlineStr">
        <is>
          <t>Vet Store (sample)</t>
        </is>
      </c>
      <c r="F8" s="18" t="n">
        <v>500</v>
      </c>
      <c r="G8" s="13">
        <f>IFERROR(INDEX(tDrugs[[Stock Unit]],MATCH(tDrugPur[[#This Row],[Drug Name]],tDrugs[[Drug Name]],0))&amp;"","")</f>
        <v/>
      </c>
      <c r="H8" s="23" t="n">
        <v>30</v>
      </c>
      <c r="I8" s="21">
        <f>N(tDrugPur[[#This Row],[Quantity Purchased]])*N(tDrugPur[[#This Row],[Unit Cost]])</f>
        <v/>
      </c>
      <c r="J8" s="16" t="n">
        <v>46310</v>
      </c>
      <c r="K8" s="11" t="inlineStr">
        <is>
          <t>AB0826</t>
        </is>
      </c>
      <c r="L8" s="12" t="inlineStr">
        <is>
          <t>Transfer</t>
        </is>
      </c>
      <c r="M8" s="12" t="inlineStr">
        <is>
          <t>SAMPLE DATA - delete or replace</t>
        </is>
      </c>
      <c r="N8" s="19">
        <f>IF(tDrugPur[[#This Row],[Batch Number]]="","",N(tDrugPur[[#This Row],[Quantity Purchased]])-SUMIFS(tDrugUse[[Quantity Used]],tDrugUse[[Drug Name]],tDrugPur[[#This Row],[Drug Name]],tDrugUse[[Drug Batch Number]],tDrugPur[[#This Row],[Batch Number]]))</f>
        <v/>
      </c>
      <c r="O8" s="15">
        <f>COUNTIF(INDEX(tDrugPur[[Drug Name]],1):tDrugPur[[#This Row],[Drug Name]],tDrugPur[[#This Row],[Drug Name]])</f>
        <v/>
      </c>
      <c r="P8" s="19">
        <f>MAX(0,IF((ROW()-ROW(tDrugPur[[#Headers],[Date]]))=1,0,SUMIFS(INDEX(tDrugPur[[Quantity Purchased]],1):INDEX(tDrugPur[[Quantity Purchased]],(ROW()-ROW(tDrugPur[[#Headers],[Date]]))-1),INDEX(tDrugPur[[Drug Name]],1):INDEX(tDrugPur[[Drug Name]],(ROW()-ROW(tDrugPur[[#Headers],[Date]]))-1),tDrugPur[[#This Row],[Drug Name]]))-SUMIFS(tDrugUse[[Quantity Used]],tDrugUse[[Drug Name]],tDrugPur[[#This Row],[Drug Name]],tDrugUse[[Date]],"&lt;"&amp;tDrugPur[[#This Row],[Date]]))</f>
        <v/>
      </c>
      <c r="Q8" s="22">
        <f>IFERROR((tDrugPur[[#This Row],[Stock Before Purchase]]*IF(tDrugPur[[#This Row],[Purchase No. of Drug]]=1,0,LOOKUP(2,1/(INDEX(tDrugPur[[Drug Name]],1):INDEX(tDrugPur[[Drug Name]],(ROW()-ROW(tDrugPur[[#Headers],[Date]]))-1)=tDrugPur[[#This Row],[Drug Name]]),INDEX(tDrugPur[[Avg Cost per Unit After Purchase]],1):INDEX(tDrugPur[[Avg Cost per Unit After Purchase]],(ROW()-ROW(tDrugPur[[#Headers],[Date]]))-1)))+N(tDrugPur[[#This Row],[Total Cost]]))/(tDrugPur[[#This Row],[Stock Before Purchase]]+N(tDrugPur[[#This Row],[Quantity Purchased]])),IF(tDrugPur[[#This Row],[Purchase No. of Drug]]=1,0,LOOKUP(2,1/(INDEX(tDrugPur[[Drug Name]],1):INDEX(tDrugPur[[Drug Name]],(ROW()-ROW(tDrugPur[[#Headers],[Date]]))-1)=tDrugPur[[#This Row],[Drug Name]]),INDEX(tDrugPur[[Avg Cost per Unit After Purchase]],1):INDEX(tDrugPur[[Avg Cost per Unit After Purchase]],(ROW()-ROW(tDrugPur[[#Headers],[Date]]))-1))))</f>
        <v/>
      </c>
      <c r="R8" s="13">
        <f>IF(N(tDrugPur[[#This Row],[Expiry Date]])=0,"",IF(AND(tDrugPur[[#This Row],[Remaining in Lot]]&lt;&gt;"",N(tDrugPur[[#This Row],[Remaining in Lot]])&lt;=0),"Used up",IF(tDrugPur[[#This Row],[Expiry Date]]&lt;TODAY(),"EXPIRED",IF(tDrugPur[[#This Row],[Expiry Date]]-TODAY()&lt;=ExpiryWarnDays,"Expires in "&amp;(tDrugPur[[#This Row],[Expiry Date]]-TODAY())&amp;" days","OK"))))</f>
        <v/>
      </c>
      <c r="S8" s="13">
        <f>IF(AND(tDrugPur[[#This Row],[Date]]="",tDrugPur[[#This Row],[Drug Name]]="",tDrugPur[[#This Row],[Quantity Purchased]]=""),"",IF(tDrugPur[[#This Row],[Date]]="","Missing date",IF(NOT(ISNUMBER(tDrugPur[[#This Row],[Date]])),"Date is not a valid date",IF(AND((ROW()-ROW(tDrugPur[[#Headers],[Date]]))&gt;1,tDrugPur[[#This Row],[Date]]&lt;INDEX(tDrugPur[[Date]],MAX(1,(ROW()-ROW(tDrugPur[[#Headers],[Date]]))-1))),"Out of date order - insert this row after earlier purchases",IF(tDrugPur[[#This Row],[Drug Name]]="","Missing drug name",IF(COUNTIF(tDrugs[[Drug Name]],tDrugPur[[#This Row],[Drug Name]])=0,"Drug not in LISTS",IF(N(tDrugPur[[#This Row],[Quantity Purchased]])&lt;=0,"Quantity must be greater than 0",IF(tDrugPur[[#This Row],[Unit Cost]]="","Missing unit cost",IF(N(tDrugPur[[#This Row],[Expiry Date]])=0,"Missing expiry date",IF(tDrugPur[[#This Row],[Payment Method]]="","Missing payment method","OK"))))))))))</f>
        <v/>
      </c>
    </row>
    <row r="9">
      <c r="A9" s="16" t="n">
        <v>46262</v>
      </c>
      <c r="B9" s="13">
        <f>"DP-"&amp;TEXT(ROW()-ROW(tDrugPur[[#Headers],[Date]]),"00000")</f>
        <v/>
      </c>
      <c r="C9" s="12" t="inlineStr">
        <is>
          <t>ND Vaccine (Lasota)</t>
        </is>
      </c>
      <c r="D9" s="13">
        <f>IFERROR(INDEX(tDrugs[[Form/Concentration]],MATCH(tDrugPur[[#This Row],[Drug Name]],tDrugs[[Drug Name]],0))&amp;"","")</f>
        <v/>
      </c>
      <c r="E9" s="12" t="inlineStr">
        <is>
          <t>Vet Store (sample)</t>
        </is>
      </c>
      <c r="F9" s="18" t="n">
        <v>4000</v>
      </c>
      <c r="G9" s="13">
        <f>IFERROR(INDEX(tDrugs[[Stock Unit]],MATCH(tDrugPur[[#This Row],[Drug Name]],tDrugs[[Drug Name]],0))&amp;"","")</f>
        <v/>
      </c>
      <c r="H9" s="23" t="n">
        <v>2.5</v>
      </c>
      <c r="I9" s="21">
        <f>N(tDrugPur[[#This Row],[Quantity Purchased]])*N(tDrugPur[[#This Row],[Unit Cost]])</f>
        <v/>
      </c>
      <c r="J9" s="16" t="n">
        <v>46387</v>
      </c>
      <c r="K9" s="11" t="inlineStr">
        <is>
          <t>ND1001</t>
        </is>
      </c>
      <c r="L9" s="12" t="inlineStr">
        <is>
          <t>Transfer</t>
        </is>
      </c>
      <c r="M9" s="12" t="inlineStr">
        <is>
          <t>SAMPLE DATA - delete or replace</t>
        </is>
      </c>
      <c r="N9" s="19">
        <f>IF(tDrugPur[[#This Row],[Batch Number]]="","",N(tDrugPur[[#This Row],[Quantity Purchased]])-SUMIFS(tDrugUse[[Quantity Used]],tDrugUse[[Drug Name]],tDrugPur[[#This Row],[Drug Name]],tDrugUse[[Drug Batch Number]],tDrugPur[[#This Row],[Batch Number]]))</f>
        <v/>
      </c>
      <c r="O9" s="15">
        <f>COUNTIF(INDEX(tDrugPur[[Drug Name]],1):tDrugPur[[#This Row],[Drug Name]],tDrugPur[[#This Row],[Drug Name]])</f>
        <v/>
      </c>
      <c r="P9" s="19">
        <f>MAX(0,IF((ROW()-ROW(tDrugPur[[#Headers],[Date]]))=1,0,SUMIFS(INDEX(tDrugPur[[Quantity Purchased]],1):INDEX(tDrugPur[[Quantity Purchased]],(ROW()-ROW(tDrugPur[[#Headers],[Date]]))-1),INDEX(tDrugPur[[Drug Name]],1):INDEX(tDrugPur[[Drug Name]],(ROW()-ROW(tDrugPur[[#Headers],[Date]]))-1),tDrugPur[[#This Row],[Drug Name]]))-SUMIFS(tDrugUse[[Quantity Used]],tDrugUse[[Drug Name]],tDrugPur[[#This Row],[Drug Name]],tDrugUse[[Date]],"&lt;"&amp;tDrugPur[[#This Row],[Date]]))</f>
        <v/>
      </c>
      <c r="Q9" s="22">
        <f>IFERROR((tDrugPur[[#This Row],[Stock Before Purchase]]*IF(tDrugPur[[#This Row],[Purchase No. of Drug]]=1,0,LOOKUP(2,1/(INDEX(tDrugPur[[Drug Name]],1):INDEX(tDrugPur[[Drug Name]],(ROW()-ROW(tDrugPur[[#Headers],[Date]]))-1)=tDrugPur[[#This Row],[Drug Name]]),INDEX(tDrugPur[[Avg Cost per Unit After Purchase]],1):INDEX(tDrugPur[[Avg Cost per Unit After Purchase]],(ROW()-ROW(tDrugPur[[#Headers],[Date]]))-1)))+N(tDrugPur[[#This Row],[Total Cost]]))/(tDrugPur[[#This Row],[Stock Before Purchase]]+N(tDrugPur[[#This Row],[Quantity Purchased]])),IF(tDrugPur[[#This Row],[Purchase No. of Drug]]=1,0,LOOKUP(2,1/(INDEX(tDrugPur[[Drug Name]],1):INDEX(tDrugPur[[Drug Name]],(ROW()-ROW(tDrugPur[[#Headers],[Date]]))-1)=tDrugPur[[#This Row],[Drug Name]]),INDEX(tDrugPur[[Avg Cost per Unit After Purchase]],1):INDEX(tDrugPur[[Avg Cost per Unit After Purchase]],(ROW()-ROW(tDrugPur[[#Headers],[Date]]))-1))))</f>
        <v/>
      </c>
      <c r="R9" s="13">
        <f>IF(N(tDrugPur[[#This Row],[Expiry Date]])=0,"",IF(AND(tDrugPur[[#This Row],[Remaining in Lot]]&lt;&gt;"",N(tDrugPur[[#This Row],[Remaining in Lot]])&lt;=0),"Used up",IF(tDrugPur[[#This Row],[Expiry Date]]&lt;TODAY(),"EXPIRED",IF(tDrugPur[[#This Row],[Expiry Date]]-TODAY()&lt;=ExpiryWarnDays,"Expires in "&amp;(tDrugPur[[#This Row],[Expiry Date]]-TODAY())&amp;" days","OK"))))</f>
        <v/>
      </c>
      <c r="S9" s="13">
        <f>IF(AND(tDrugPur[[#This Row],[Date]]="",tDrugPur[[#This Row],[Drug Name]]="",tDrugPur[[#This Row],[Quantity Purchased]]=""),"",IF(tDrugPur[[#This Row],[Date]]="","Missing date",IF(NOT(ISNUMBER(tDrugPur[[#This Row],[Date]])),"Date is not a valid date",IF(AND((ROW()-ROW(tDrugPur[[#Headers],[Date]]))&gt;1,tDrugPur[[#This Row],[Date]]&lt;INDEX(tDrugPur[[Date]],MAX(1,(ROW()-ROW(tDrugPur[[#Headers],[Date]]))-1))),"Out of date order - insert this row after earlier purchases",IF(tDrugPur[[#This Row],[Drug Name]]="","Missing drug name",IF(COUNTIF(tDrugs[[Drug Name]],tDrugPur[[#This Row],[Drug Name]])=0,"Drug not in LISTS",IF(N(tDrugPur[[#This Row],[Quantity Purchased]])&lt;=0,"Quantity must be greater than 0",IF(tDrugPur[[#This Row],[Unit Cost]]="","Missing unit cost",IF(N(tDrugPur[[#This Row],[Expiry Date]])=0,"Missing expiry date",IF(tDrugPur[[#This Row],[Payment Method]]="","Missing payment method","OK"))))))))))</f>
        <v/>
      </c>
    </row>
  </sheetData>
  <conditionalFormatting sqref="S5:S5000">
    <cfRule type="expression" priority="1" dxfId="0">
      <formula>AND(S5&lt;&gt;"",S5&lt;&gt;"OK")</formula>
    </cfRule>
    <cfRule type="expression" priority="2" dxfId="1">
      <formula>S5="OK"</formula>
    </cfRule>
  </conditionalFormatting>
  <conditionalFormatting sqref="R5:R5000">
    <cfRule type="expression" priority="3" dxfId="6">
      <formula>R5="EXPIRED"</formula>
    </cfRule>
    <cfRule type="expression" priority="4" dxfId="3">
      <formula>LEFT(R5,7)="Expires"</formula>
    </cfRule>
  </conditionalFormatting>
  <dataValidations count="7">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L_Drugs</formula1>
    </dataValidation>
    <dataValidation sqref="E5:E5000" showDropDown="0" showInputMessage="0" showErrorMessage="0" allowBlank="1" errorTitle="Not in list" error="Choose a value from the dropdown list (lists are maintained on the LISTS / register sheets)." type="list">
      <formula1>L_Suppliers</formula1>
    </dataValidation>
    <dataValidation sqref="F5:F5000" showDropDown="0" showInputMessage="0" showErrorMessage="1" allowBlank="1" errorTitle="Invalid number" error="Enter a number that is zero or greater (no text, no negative values)." type="decimal" operator="greaterThanOrEqual">
      <formula1>0</formula1>
    </dataValidation>
    <dataValidation sqref="H5:H5000" showDropDown="0" showInputMessage="0" showErrorMessage="1" allowBlank="1" errorTitle="Invalid number" error="Enter a number that is zero or greater (no text, no negative values)." type="decimal" operator="greaterThanOrEqual">
      <formula1>0</formula1>
    </dataValidation>
    <dataValidation sqref="J5:J5000" showDropDown="0" showInputMessage="0" showErrorMessage="1" allowBlank="1" errorTitle="Invalid date" error="Enter a valid date (DD/MM/YYYY) between 01/01/2000 and 31/12/2099." type="date" operator="between">
      <formula1>36526</formula1>
      <formula2>73050</formula2>
    </dataValidation>
    <dataValidation sqref="L5:L5000" showDropDown="0" showInputMessage="0" showErrorMessage="1" allowBlank="1" errorTitle="Not in list" error="Choose a value from the dropdown list (lists are maintained on the LISTS / register sheets)." type="list">
      <formula1>L_Pay</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14"/>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20" customWidth="1" min="3" max="3"/>
    <col width="8" customWidth="1" min="4" max="4"/>
    <col width="18" customWidth="1" min="5" max="5"/>
    <col width="14" customWidth="1" min="6" max="6"/>
    <col width="20" customWidth="1" min="7" max="7"/>
    <col width="10" customWidth="1" min="8" max="8"/>
    <col width="8" customWidth="1" min="9" max="9"/>
    <col width="10" customWidth="1" min="10" max="10"/>
    <col width="11" customWidth="1" min="11" max="11"/>
    <col width="11" customWidth="1" min="12" max="12"/>
    <col width="13" customWidth="1" min="13" max="13"/>
    <col width="30" customWidth="1" min="14" max="14"/>
    <col width="10" customWidth="1" min="15" max="15"/>
    <col width="10" customWidth="1" min="16" max="16"/>
    <col width="30" customWidth="1" min="17" max="17"/>
  </cols>
  <sheetData>
    <row r="1">
      <c r="A1" s="1" t="inlineStr">
        <is>
          <t>DRUG USAGE</t>
        </is>
      </c>
    </row>
    <row r="2">
      <c r="A2" s="7" t="inlineStr">
        <is>
          <t>One row per administration per pen/batch. The same drug used in several pens at different dosages = separate rows. Cost is charged to the batch at weighted-average cost.</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Usage ID</t>
        </is>
      </c>
      <c r="C4" s="9" t="inlineStr">
        <is>
          <t>Drug Name</t>
        </is>
      </c>
      <c r="D4" s="9" t="inlineStr">
        <is>
          <t>Pen ID</t>
        </is>
      </c>
      <c r="E4" s="9" t="inlineStr">
        <is>
          <t>Batch ID</t>
        </is>
      </c>
      <c r="F4" s="9" t="inlineStr">
        <is>
          <t>Reason</t>
        </is>
      </c>
      <c r="G4" s="9" t="inlineStr">
        <is>
          <t>Dosage</t>
        </is>
      </c>
      <c r="H4" s="9" t="inlineStr">
        <is>
          <t>Quantity Used</t>
        </is>
      </c>
      <c r="I4" s="10" t="inlineStr">
        <is>
          <t>Unit</t>
        </is>
      </c>
      <c r="J4" s="10" t="inlineStr">
        <is>
          <t>Cost per Unit</t>
        </is>
      </c>
      <c r="K4" s="10" t="inlineStr">
        <is>
          <t>Total Cost</t>
        </is>
      </c>
      <c r="L4" s="9" t="inlineStr">
        <is>
          <t>Drug Batch Number</t>
        </is>
      </c>
      <c r="M4" s="9" t="inlineStr">
        <is>
          <t>Administered By</t>
        </is>
      </c>
      <c r="N4" s="9" t="inlineStr">
        <is>
          <t>Notes</t>
        </is>
      </c>
      <c r="O4" s="10" t="inlineStr">
        <is>
          <t>Animal Type</t>
        </is>
      </c>
      <c r="P4" s="10" t="inlineStr">
        <is>
          <t>Store Balance on Date</t>
        </is>
      </c>
      <c r="Q4" s="10" t="inlineStr">
        <is>
          <t>Check</t>
        </is>
      </c>
    </row>
    <row r="5">
      <c r="A5" s="16" t="n">
        <v>46208</v>
      </c>
      <c r="B5" s="13">
        <f>"DU-"&amp;TEXT(ROW()-ROW(tDrugUse[[#Headers],[Date]]),"00000")</f>
        <v/>
      </c>
      <c r="C5" s="12" t="inlineStr">
        <is>
          <t>Anticoccidial</t>
        </is>
      </c>
      <c r="D5" s="12" t="inlineStr">
        <is>
          <t>P006</t>
        </is>
      </c>
      <c r="E5" s="12" t="inlineStr">
        <is>
          <t>BROILER-JUL-001</t>
        </is>
      </c>
      <c r="F5" s="12" t="inlineStr">
        <is>
          <t>Prevention</t>
        </is>
      </c>
      <c r="G5" s="12" t="inlineStr">
        <is>
          <t>1 ml per litre, 3 days</t>
        </is>
      </c>
      <c r="H5" s="18" t="n">
        <v>150</v>
      </c>
      <c r="I5" s="13">
        <f>IFERROR(INDEX(tDrugs[[Stock Unit]],MATCH(tDrugUse[[#This Row],[Drug Name]],tDrugs[[Drug Name]],0))&amp;"","")</f>
        <v/>
      </c>
      <c r="J5" s="22">
        <f>IFERROR(LOOKUP(2,1/((tDrugPur[[Drug Name]]=tDrugUse[[#This Row],[Drug Name]])*(tDrugPur[[Date]]&lt;=tDrugUse[[#This Row],[Date]])),tDrugPur[[Avg Cost per Unit After Purchase]]),0)</f>
        <v/>
      </c>
      <c r="K5" s="21">
        <f>N(tDrugUse[[#This Row],[Quantity Used]])*tDrugUse[[#This Row],[Cost per Unit]]</f>
        <v/>
      </c>
      <c r="L5" s="11" t="inlineStr">
        <is>
          <t>AC0701</t>
        </is>
      </c>
      <c r="M5" s="12" t="inlineStr">
        <is>
          <t>Farm Manager</t>
        </is>
      </c>
      <c r="N5" s="12" t="inlineStr">
        <is>
          <t>SAMPLE DATA - delete or replace</t>
        </is>
      </c>
      <c r="O5" s="13">
        <f>IFERROR(INDEX(tBatches[[Animal Type]],MATCH(tDrugUse[[#This Row],[Batch ID]],tBatches[[Batch ID]],0)),"")</f>
        <v/>
      </c>
      <c r="P5" s="19">
        <f>SUMIFS(tDrugPur[[Quantity Purchased]],tDrugPur[[Drug Name]],tDrugUse[[#This Row],[Drug Name]],tDrugPur[[Date]],"&lt;="&amp;tDrugUse[[#This Row],[Date]])-SUMIFS(tDrugUse[[Quantity Used]],tDrugUse[[Drug Name]],tDrugUse[[#This Row],[Drug Name]],tDrugUse[[Date]],"&lt;="&amp;tDrugUse[[#This Row],[Date]])</f>
        <v/>
      </c>
      <c r="Q5"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6">
      <c r="A6" s="16" t="n">
        <v>46235</v>
      </c>
      <c r="B6" s="13">
        <f>"DU-"&amp;TEXT(ROW()-ROW(tDrugUse[[#Headers],[Date]]),"00000")</f>
        <v/>
      </c>
      <c r="C6" s="12" t="inlineStr">
        <is>
          <t>Dewormer</t>
        </is>
      </c>
      <c r="D6" s="12" t="inlineStr">
        <is>
          <t>P005</t>
        </is>
      </c>
      <c r="E6" s="12" t="inlineStr">
        <is>
          <t>LAYER-JUN-001</t>
        </is>
      </c>
      <c r="F6" s="12" t="inlineStr">
        <is>
          <t>Deworming</t>
        </is>
      </c>
      <c r="G6" s="12" t="inlineStr">
        <is>
          <t>As per label</t>
        </is>
      </c>
      <c r="H6" s="18" t="n">
        <v>100</v>
      </c>
      <c r="I6" s="13">
        <f>IFERROR(INDEX(tDrugs[[Stock Unit]],MATCH(tDrugUse[[#This Row],[Drug Name]],tDrugs[[Drug Name]],0))&amp;"","")</f>
        <v/>
      </c>
      <c r="J6" s="22">
        <f>IFERROR(LOOKUP(2,1/((tDrugPur[[Drug Name]]=tDrugUse[[#This Row],[Drug Name]])*(tDrugPur[[Date]]&lt;=tDrugUse[[#This Row],[Date]])),tDrugPur[[Avg Cost per Unit After Purchase]]),0)</f>
        <v/>
      </c>
      <c r="K6" s="21">
        <f>N(tDrugUse[[#This Row],[Quantity Used]])*tDrugUse[[#This Row],[Cost per Unit]]</f>
        <v/>
      </c>
      <c r="L6" s="11" t="inlineStr">
        <is>
          <t>DW0601</t>
        </is>
      </c>
      <c r="M6" s="12" t="inlineStr">
        <is>
          <t>Farm Manager</t>
        </is>
      </c>
      <c r="N6" s="12" t="inlineStr">
        <is>
          <t>SAMPLE DATA - delete or replace</t>
        </is>
      </c>
      <c r="O6" s="13">
        <f>IFERROR(INDEX(tBatches[[Animal Type]],MATCH(tDrugUse[[#This Row],[Batch ID]],tBatches[[Batch ID]],0)),"")</f>
        <v/>
      </c>
      <c r="P6" s="19">
        <f>SUMIFS(tDrugPur[[Quantity Purchased]],tDrugPur[[Drug Name]],tDrugUse[[#This Row],[Drug Name]],tDrugPur[[Date]],"&lt;="&amp;tDrugUse[[#This Row],[Date]])-SUMIFS(tDrugUse[[Quantity Used]],tDrugUse[[Drug Name]],tDrugUse[[#This Row],[Drug Name]],tDrugUse[[Date]],"&lt;="&amp;tDrugUse[[#This Row],[Date]])</f>
        <v/>
      </c>
      <c r="Q6"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7">
      <c r="A7" s="16" t="n">
        <v>46268</v>
      </c>
      <c r="B7" s="13">
        <f>"DU-"&amp;TEXT(ROW()-ROW(tDrugUse[[#Headers],[Date]]),"00000")</f>
        <v/>
      </c>
      <c r="C7" s="12" t="inlineStr">
        <is>
          <t>Multivitamin</t>
        </is>
      </c>
      <c r="D7" s="12" t="inlineStr">
        <is>
          <t>P001</t>
        </is>
      </c>
      <c r="E7" s="12" t="inlineStr">
        <is>
          <t>BROILER-SEP-001</t>
        </is>
      </c>
      <c r="F7" s="12" t="inlineStr">
        <is>
          <t>Vitamin / Supplement</t>
        </is>
      </c>
      <c r="G7" s="12" t="inlineStr">
        <is>
          <t>10 ml per 20 litres</t>
        </is>
      </c>
      <c r="H7" s="18" t="n">
        <v>50</v>
      </c>
      <c r="I7" s="13">
        <f>IFERROR(INDEX(tDrugs[[Stock Unit]],MATCH(tDrugUse[[#This Row],[Drug Name]],tDrugs[[Drug Name]],0))&amp;"","")</f>
        <v/>
      </c>
      <c r="J7" s="22">
        <f>IFERROR(LOOKUP(2,1/((tDrugPur[[Drug Name]]=tDrugUse[[#This Row],[Drug Name]])*(tDrugPur[[Date]]&lt;=tDrugUse[[#This Row],[Date]])),tDrugPur[[Avg Cost per Unit After Purchase]]),0)</f>
        <v/>
      </c>
      <c r="K7" s="21">
        <f>N(tDrugUse[[#This Row],[Quantity Used]])*tDrugUse[[#This Row],[Cost per Unit]]</f>
        <v/>
      </c>
      <c r="L7" s="11" t="inlineStr">
        <is>
          <t>MV2408</t>
        </is>
      </c>
      <c r="M7" s="12" t="inlineStr">
        <is>
          <t>Farm Manager</t>
        </is>
      </c>
      <c r="N7" s="12" t="inlineStr">
        <is>
          <t>SAMPLE DATA - delete or replace. Same drug, different pens &amp; dosages = separate records.</t>
        </is>
      </c>
      <c r="O7" s="13">
        <f>IFERROR(INDEX(tBatches[[Animal Type]],MATCH(tDrugUse[[#This Row],[Batch ID]],tBatches[[Batch ID]],0)),"")</f>
        <v/>
      </c>
      <c r="P7" s="19">
        <f>SUMIFS(tDrugPur[[Quantity Purchased]],tDrugPur[[Drug Name]],tDrugUse[[#This Row],[Drug Name]],tDrugPur[[Date]],"&lt;="&amp;tDrugUse[[#This Row],[Date]])-SUMIFS(tDrugUse[[Quantity Used]],tDrugUse[[Drug Name]],tDrugUse[[#This Row],[Drug Name]],tDrugUse[[Date]],"&lt;="&amp;tDrugUse[[#This Row],[Date]])</f>
        <v/>
      </c>
      <c r="Q7"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8">
      <c r="A8" s="16" t="n">
        <v>46268</v>
      </c>
      <c r="B8" s="13">
        <f>"DU-"&amp;TEXT(ROW()-ROW(tDrugUse[[#Headers],[Date]]),"00000")</f>
        <v/>
      </c>
      <c r="C8" s="12" t="inlineStr">
        <is>
          <t>Multivitamin</t>
        </is>
      </c>
      <c r="D8" s="12" t="inlineStr">
        <is>
          <t>P002</t>
        </is>
      </c>
      <c r="E8" s="12" t="inlineStr">
        <is>
          <t>BROILER-SEP-002</t>
        </is>
      </c>
      <c r="F8" s="12" t="inlineStr">
        <is>
          <t>Vitamin / Supplement</t>
        </is>
      </c>
      <c r="G8" s="12" t="inlineStr">
        <is>
          <t>5 ml per 20 litres</t>
        </is>
      </c>
      <c r="H8" s="18" t="n">
        <v>30</v>
      </c>
      <c r="I8" s="13">
        <f>IFERROR(INDEX(tDrugs[[Stock Unit]],MATCH(tDrugUse[[#This Row],[Drug Name]],tDrugs[[Drug Name]],0))&amp;"","")</f>
        <v/>
      </c>
      <c r="J8" s="22">
        <f>IFERROR(LOOKUP(2,1/((tDrugPur[[Drug Name]]=tDrugUse[[#This Row],[Drug Name]])*(tDrugPur[[Date]]&lt;=tDrugUse[[#This Row],[Date]])),tDrugPur[[Avg Cost per Unit After Purchase]]),0)</f>
        <v/>
      </c>
      <c r="K8" s="21">
        <f>N(tDrugUse[[#This Row],[Quantity Used]])*tDrugUse[[#This Row],[Cost per Unit]]</f>
        <v/>
      </c>
      <c r="L8" s="11" t="inlineStr">
        <is>
          <t>MV2408</t>
        </is>
      </c>
      <c r="M8" s="12" t="inlineStr">
        <is>
          <t>Farm Manager</t>
        </is>
      </c>
      <c r="N8" s="12" t="inlineStr">
        <is>
          <t>SAMPLE DATA - delete or replace. Same drug, different pens &amp; dosages = separate records.</t>
        </is>
      </c>
      <c r="O8" s="13">
        <f>IFERROR(INDEX(tBatches[[Animal Type]],MATCH(tDrugUse[[#This Row],[Batch ID]],tBatches[[Batch ID]],0)),"")</f>
        <v/>
      </c>
      <c r="P8" s="19">
        <f>SUMIFS(tDrugPur[[Quantity Purchased]],tDrugPur[[Drug Name]],tDrugUse[[#This Row],[Drug Name]],tDrugPur[[Date]],"&lt;="&amp;tDrugUse[[#This Row],[Date]])-SUMIFS(tDrugUse[[Quantity Used]],tDrugUse[[Drug Name]],tDrugUse[[#This Row],[Drug Name]],tDrugUse[[Date]],"&lt;="&amp;tDrugUse[[#This Row],[Date]])</f>
        <v/>
      </c>
      <c r="Q8"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9">
      <c r="A9" s="16" t="n">
        <v>46268</v>
      </c>
      <c r="B9" s="13">
        <f>"DU-"&amp;TEXT(ROW()-ROW(tDrugUse[[#Headers],[Date]]),"00000")</f>
        <v/>
      </c>
      <c r="C9" s="12" t="inlineStr">
        <is>
          <t>Multivitamin</t>
        </is>
      </c>
      <c r="D9" s="12" t="inlineStr">
        <is>
          <t>P003</t>
        </is>
      </c>
      <c r="E9" s="12" t="inlineStr">
        <is>
          <t>BROILER-SEP-003</t>
        </is>
      </c>
      <c r="F9" s="12" t="inlineStr">
        <is>
          <t>Vitamin / Supplement</t>
        </is>
      </c>
      <c r="G9" s="12" t="inlineStr">
        <is>
          <t>15 ml per 20 litres</t>
        </is>
      </c>
      <c r="H9" s="18" t="n">
        <v>70</v>
      </c>
      <c r="I9" s="13">
        <f>IFERROR(INDEX(tDrugs[[Stock Unit]],MATCH(tDrugUse[[#This Row],[Drug Name]],tDrugs[[Drug Name]],0))&amp;"","")</f>
        <v/>
      </c>
      <c r="J9" s="22">
        <f>IFERROR(LOOKUP(2,1/((tDrugPur[[Drug Name]]=tDrugUse[[#This Row],[Drug Name]])*(tDrugPur[[Date]]&lt;=tDrugUse[[#This Row],[Date]])),tDrugPur[[Avg Cost per Unit After Purchase]]),0)</f>
        <v/>
      </c>
      <c r="K9" s="21">
        <f>N(tDrugUse[[#This Row],[Quantity Used]])*tDrugUse[[#This Row],[Cost per Unit]]</f>
        <v/>
      </c>
      <c r="L9" s="11" t="inlineStr">
        <is>
          <t>MV2408</t>
        </is>
      </c>
      <c r="M9" s="12" t="inlineStr">
        <is>
          <t>Farm Manager</t>
        </is>
      </c>
      <c r="N9" s="12" t="inlineStr">
        <is>
          <t>SAMPLE DATA - delete or replace. Same drug, different pens &amp; dosages = separate records.</t>
        </is>
      </c>
      <c r="O9" s="13">
        <f>IFERROR(INDEX(tBatches[[Animal Type]],MATCH(tDrugUse[[#This Row],[Batch ID]],tBatches[[Batch ID]],0)),"")</f>
        <v/>
      </c>
      <c r="P9" s="19">
        <f>SUMIFS(tDrugPur[[Quantity Purchased]],tDrugPur[[Drug Name]],tDrugUse[[#This Row],[Drug Name]],tDrugPur[[Date]],"&lt;="&amp;tDrugUse[[#This Row],[Date]])-SUMIFS(tDrugUse[[Quantity Used]],tDrugUse[[Drug Name]],tDrugUse[[#This Row],[Drug Name]],tDrugUse[[Date]],"&lt;="&amp;tDrugUse[[#This Row],[Date]])</f>
        <v/>
      </c>
      <c r="Q9"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10">
      <c r="A10" s="16" t="n">
        <v>46273</v>
      </c>
      <c r="B10" s="13">
        <f>"DU-"&amp;TEXT(ROW()-ROW(tDrugUse[[#Headers],[Date]]),"00000")</f>
        <v/>
      </c>
      <c r="C10" s="12" t="inlineStr">
        <is>
          <t>ND Vaccine (Lasota)</t>
        </is>
      </c>
      <c r="D10" s="12" t="inlineStr">
        <is>
          <t>P001</t>
        </is>
      </c>
      <c r="E10" s="12" t="inlineStr">
        <is>
          <t>BROILER-SEP-001</t>
        </is>
      </c>
      <c r="F10" s="12" t="inlineStr">
        <is>
          <t>Vaccination</t>
        </is>
      </c>
      <c r="G10" s="12" t="inlineStr">
        <is>
          <t>1 dose per bird</t>
        </is>
      </c>
      <c r="H10" s="18" t="n">
        <v>500</v>
      </c>
      <c r="I10" s="13">
        <f>IFERROR(INDEX(tDrugs[[Stock Unit]],MATCH(tDrugUse[[#This Row],[Drug Name]],tDrugs[[Drug Name]],0))&amp;"","")</f>
        <v/>
      </c>
      <c r="J10" s="22">
        <f>IFERROR(LOOKUP(2,1/((tDrugPur[[Drug Name]]=tDrugUse[[#This Row],[Drug Name]])*(tDrugPur[[Date]]&lt;=tDrugUse[[#This Row],[Date]])),tDrugPur[[Avg Cost per Unit After Purchase]]),0)</f>
        <v/>
      </c>
      <c r="K10" s="21">
        <f>N(tDrugUse[[#This Row],[Quantity Used]])*tDrugUse[[#This Row],[Cost per Unit]]</f>
        <v/>
      </c>
      <c r="L10" s="11" t="inlineStr">
        <is>
          <t>ND1001</t>
        </is>
      </c>
      <c r="M10" s="12" t="inlineStr">
        <is>
          <t>Farm Manager</t>
        </is>
      </c>
      <c r="N10" s="12" t="inlineStr">
        <is>
          <t>SAMPLE DATA - delete or replace</t>
        </is>
      </c>
      <c r="O10" s="13">
        <f>IFERROR(INDEX(tBatches[[Animal Type]],MATCH(tDrugUse[[#This Row],[Batch ID]],tBatches[[Batch ID]],0)),"")</f>
        <v/>
      </c>
      <c r="P10" s="19">
        <f>SUMIFS(tDrugPur[[Quantity Purchased]],tDrugPur[[Drug Name]],tDrugUse[[#This Row],[Drug Name]],tDrugPur[[Date]],"&lt;="&amp;tDrugUse[[#This Row],[Date]])-SUMIFS(tDrugUse[[Quantity Used]],tDrugUse[[Drug Name]],tDrugUse[[#This Row],[Drug Name]],tDrugUse[[Date]],"&lt;="&amp;tDrugUse[[#This Row],[Date]])</f>
        <v/>
      </c>
      <c r="Q10"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11">
      <c r="A11" s="16" t="n">
        <v>46273</v>
      </c>
      <c r="B11" s="13">
        <f>"DU-"&amp;TEXT(ROW()-ROW(tDrugUse[[#Headers],[Date]]),"00000")</f>
        <v/>
      </c>
      <c r="C11" s="12" t="inlineStr">
        <is>
          <t>ND Vaccine (Lasota)</t>
        </is>
      </c>
      <c r="D11" s="12" t="inlineStr">
        <is>
          <t>P002</t>
        </is>
      </c>
      <c r="E11" s="12" t="inlineStr">
        <is>
          <t>BROILER-SEP-002</t>
        </is>
      </c>
      <c r="F11" s="12" t="inlineStr">
        <is>
          <t>Vaccination</t>
        </is>
      </c>
      <c r="G11" s="12" t="inlineStr">
        <is>
          <t>1 dose per bird</t>
        </is>
      </c>
      <c r="H11" s="18" t="n">
        <v>600</v>
      </c>
      <c r="I11" s="13">
        <f>IFERROR(INDEX(tDrugs[[Stock Unit]],MATCH(tDrugUse[[#This Row],[Drug Name]],tDrugs[[Drug Name]],0))&amp;"","")</f>
        <v/>
      </c>
      <c r="J11" s="22">
        <f>IFERROR(LOOKUP(2,1/((tDrugPur[[Drug Name]]=tDrugUse[[#This Row],[Drug Name]])*(tDrugPur[[Date]]&lt;=tDrugUse[[#This Row],[Date]])),tDrugPur[[Avg Cost per Unit After Purchase]]),0)</f>
        <v/>
      </c>
      <c r="K11" s="21">
        <f>N(tDrugUse[[#This Row],[Quantity Used]])*tDrugUse[[#This Row],[Cost per Unit]]</f>
        <v/>
      </c>
      <c r="L11" s="11" t="inlineStr">
        <is>
          <t>ND1001</t>
        </is>
      </c>
      <c r="M11" s="12" t="inlineStr">
        <is>
          <t>Farm Manager</t>
        </is>
      </c>
      <c r="N11" s="12" t="inlineStr">
        <is>
          <t>SAMPLE DATA - delete or replace</t>
        </is>
      </c>
      <c r="O11" s="13">
        <f>IFERROR(INDEX(tBatches[[Animal Type]],MATCH(tDrugUse[[#This Row],[Batch ID]],tBatches[[Batch ID]],0)),"")</f>
        <v/>
      </c>
      <c r="P11" s="19">
        <f>SUMIFS(tDrugPur[[Quantity Purchased]],tDrugPur[[Drug Name]],tDrugUse[[#This Row],[Drug Name]],tDrugPur[[Date]],"&lt;="&amp;tDrugUse[[#This Row],[Date]])-SUMIFS(tDrugUse[[Quantity Used]],tDrugUse[[Drug Name]],tDrugUse[[#This Row],[Drug Name]],tDrugUse[[Date]],"&lt;="&amp;tDrugUse[[#This Row],[Date]])</f>
        <v/>
      </c>
      <c r="Q11"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12">
      <c r="A12" s="16" t="n">
        <v>46273</v>
      </c>
      <c r="B12" s="13">
        <f>"DU-"&amp;TEXT(ROW()-ROW(tDrugUse[[#Headers],[Date]]),"00000")</f>
        <v/>
      </c>
      <c r="C12" s="12" t="inlineStr">
        <is>
          <t>ND Vaccine (Lasota)</t>
        </is>
      </c>
      <c r="D12" s="12" t="inlineStr">
        <is>
          <t>P003</t>
        </is>
      </c>
      <c r="E12" s="12" t="inlineStr">
        <is>
          <t>BROILER-SEP-003</t>
        </is>
      </c>
      <c r="F12" s="12" t="inlineStr">
        <is>
          <t>Vaccination</t>
        </is>
      </c>
      <c r="G12" s="12" t="inlineStr">
        <is>
          <t>1 dose per bird</t>
        </is>
      </c>
      <c r="H12" s="18" t="n">
        <v>450</v>
      </c>
      <c r="I12" s="13">
        <f>IFERROR(INDEX(tDrugs[[Stock Unit]],MATCH(tDrugUse[[#This Row],[Drug Name]],tDrugs[[Drug Name]],0))&amp;"","")</f>
        <v/>
      </c>
      <c r="J12" s="22">
        <f>IFERROR(LOOKUP(2,1/((tDrugPur[[Drug Name]]=tDrugUse[[#This Row],[Drug Name]])*(tDrugPur[[Date]]&lt;=tDrugUse[[#This Row],[Date]])),tDrugPur[[Avg Cost per Unit After Purchase]]),0)</f>
        <v/>
      </c>
      <c r="K12" s="21">
        <f>N(tDrugUse[[#This Row],[Quantity Used]])*tDrugUse[[#This Row],[Cost per Unit]]</f>
        <v/>
      </c>
      <c r="L12" s="11" t="inlineStr">
        <is>
          <t>ND1001</t>
        </is>
      </c>
      <c r="M12" s="12" t="inlineStr">
        <is>
          <t>Farm Manager</t>
        </is>
      </c>
      <c r="N12" s="12" t="inlineStr">
        <is>
          <t>SAMPLE DATA - delete or replace</t>
        </is>
      </c>
      <c r="O12" s="13">
        <f>IFERROR(INDEX(tBatches[[Animal Type]],MATCH(tDrugUse[[#This Row],[Batch ID]],tBatches[[Batch ID]],0)),"")</f>
        <v/>
      </c>
      <c r="P12" s="19">
        <f>SUMIFS(tDrugPur[[Quantity Purchased]],tDrugPur[[Drug Name]],tDrugUse[[#This Row],[Drug Name]],tDrugPur[[Date]],"&lt;="&amp;tDrugUse[[#This Row],[Date]])-SUMIFS(tDrugUse[[Quantity Used]],tDrugUse[[Drug Name]],tDrugUse[[#This Row],[Drug Name]],tDrugUse[[Date]],"&lt;="&amp;tDrugUse[[#This Row],[Date]])</f>
        <v/>
      </c>
      <c r="Q12"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13">
      <c r="A13" s="16" t="n">
        <v>46273</v>
      </c>
      <c r="B13" s="13">
        <f>"DU-"&amp;TEXT(ROW()-ROW(tDrugUse[[#Headers],[Date]]),"00000")</f>
        <v/>
      </c>
      <c r="C13" s="12" t="inlineStr">
        <is>
          <t>ND Vaccine (Lasota)</t>
        </is>
      </c>
      <c r="D13" s="12" t="inlineStr">
        <is>
          <t>P004</t>
        </is>
      </c>
      <c r="E13" s="12" t="inlineStr">
        <is>
          <t>BROILER-SEP-004</t>
        </is>
      </c>
      <c r="F13" s="12" t="inlineStr">
        <is>
          <t>Vaccination</t>
        </is>
      </c>
      <c r="G13" s="12" t="inlineStr">
        <is>
          <t>1 dose per bird</t>
        </is>
      </c>
      <c r="H13" s="18" t="n">
        <v>550</v>
      </c>
      <c r="I13" s="13">
        <f>IFERROR(INDEX(tDrugs[[Stock Unit]],MATCH(tDrugUse[[#This Row],[Drug Name]],tDrugs[[Drug Name]],0))&amp;"","")</f>
        <v/>
      </c>
      <c r="J13" s="22">
        <f>IFERROR(LOOKUP(2,1/((tDrugPur[[Drug Name]]=tDrugUse[[#This Row],[Drug Name]])*(tDrugPur[[Date]]&lt;=tDrugUse[[#This Row],[Date]])),tDrugPur[[Avg Cost per Unit After Purchase]]),0)</f>
        <v/>
      </c>
      <c r="K13" s="21">
        <f>N(tDrugUse[[#This Row],[Quantity Used]])*tDrugUse[[#This Row],[Cost per Unit]]</f>
        <v/>
      </c>
      <c r="L13" s="11" t="inlineStr">
        <is>
          <t>ND1001</t>
        </is>
      </c>
      <c r="M13" s="12" t="inlineStr">
        <is>
          <t>Farm Manager</t>
        </is>
      </c>
      <c r="N13" s="12" t="inlineStr">
        <is>
          <t>SAMPLE DATA - delete or replace</t>
        </is>
      </c>
      <c r="O13" s="13">
        <f>IFERROR(INDEX(tBatches[[Animal Type]],MATCH(tDrugUse[[#This Row],[Batch ID]],tBatches[[Batch ID]],0)),"")</f>
        <v/>
      </c>
      <c r="P13" s="19">
        <f>SUMIFS(tDrugPur[[Quantity Purchased]],tDrugPur[[Drug Name]],tDrugUse[[#This Row],[Drug Name]],tDrugPur[[Date]],"&lt;="&amp;tDrugUse[[#This Row],[Date]])-SUMIFS(tDrugUse[[Quantity Used]],tDrugUse[[Drug Name]],tDrugUse[[#This Row],[Drug Name]],tDrugUse[[Date]],"&lt;="&amp;tDrugUse[[#This Row],[Date]])</f>
        <v/>
      </c>
      <c r="Q13"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row r="14">
      <c r="A14" s="16" t="n">
        <v>46277</v>
      </c>
      <c r="B14" s="13">
        <f>"DU-"&amp;TEXT(ROW()-ROW(tDrugUse[[#Headers],[Date]]),"00000")</f>
        <v/>
      </c>
      <c r="C14" s="12" t="inlineStr">
        <is>
          <t>Antibiotic A</t>
        </is>
      </c>
      <c r="D14" s="12" t="inlineStr">
        <is>
          <t>P002</t>
        </is>
      </c>
      <c r="E14" s="12" t="inlineStr">
        <is>
          <t>BROILER-SEP-002</t>
        </is>
      </c>
      <c r="F14" s="12" t="inlineStr">
        <is>
          <t>Treatment</t>
        </is>
      </c>
      <c r="G14" s="12" t="inlineStr">
        <is>
          <t>1 g per 2 litres, 5 days</t>
        </is>
      </c>
      <c r="H14" s="18" t="n">
        <v>40</v>
      </c>
      <c r="I14" s="13">
        <f>IFERROR(INDEX(tDrugs[[Stock Unit]],MATCH(tDrugUse[[#This Row],[Drug Name]],tDrugs[[Drug Name]],0))&amp;"","")</f>
        <v/>
      </c>
      <c r="J14" s="22">
        <f>IFERROR(LOOKUP(2,1/((tDrugPur[[Drug Name]]=tDrugUse[[#This Row],[Drug Name]])*(tDrugPur[[Date]]&lt;=tDrugUse[[#This Row],[Date]])),tDrugPur[[Avg Cost per Unit After Purchase]]),0)</f>
        <v/>
      </c>
      <c r="K14" s="21">
        <f>N(tDrugUse[[#This Row],[Quantity Used]])*tDrugUse[[#This Row],[Cost per Unit]]</f>
        <v/>
      </c>
      <c r="L14" s="11" t="inlineStr">
        <is>
          <t>AB0826</t>
        </is>
      </c>
      <c r="M14" s="12" t="inlineStr">
        <is>
          <t>Farm Manager</t>
        </is>
      </c>
      <c r="N14" s="12" t="inlineStr">
        <is>
          <t>SAMPLE DATA - delete or replace</t>
        </is>
      </c>
      <c r="O14" s="13">
        <f>IFERROR(INDEX(tBatches[[Animal Type]],MATCH(tDrugUse[[#This Row],[Batch ID]],tBatches[[Batch ID]],0)),"")</f>
        <v/>
      </c>
      <c r="P14" s="19">
        <f>SUMIFS(tDrugPur[[Quantity Purchased]],tDrugPur[[Drug Name]],tDrugUse[[#This Row],[Drug Name]],tDrugPur[[Date]],"&lt;="&amp;tDrugUse[[#This Row],[Date]])-SUMIFS(tDrugUse[[Quantity Used]],tDrugUse[[Drug Name]],tDrugUse[[#This Row],[Drug Name]],tDrugUse[[Date]],"&lt;="&amp;tDrugUse[[#This Row],[Date]])</f>
        <v/>
      </c>
      <c r="Q14" s="13">
        <f>IF(AND(tDrugUse[[#This Row],[Date]]="",tDrugUse[[#This Row],[Drug Name]]="",tDrugUse[[#This Row],[Pen ID]]="",tDrugUse[[#This Row],[Batch ID]]="",tDrugUse[[#This Row],[Quantity Used]]=""),"",IF(tDrugUse[[#This Row],[Date]]="","Missing date",IF(NOT(ISNUMBER(tDrugUse[[#This Row],[Date]])),"Date is not a valid date",IF(tDrugUse[[#This Row],[Drug Name]]="","Missing drug name",IF(COUNTIF(tDrugs[[Drug Name]],tDrugUse[[#This Row],[Drug Name]])=0,"Drug not in LISTS",IF(tDrugUse[[#This Row],[Pen ID]]="","Missing Pen ID",IF(COUNTIF(tPens[[Pen ID]],tDrugUse[[#This Row],[Pen ID]])=0,"Pen "&amp;tDrugUse[[#This Row],[Pen ID]]&amp;" is not in PEN_REGISTER",IF(tDrugUse[[#This Row],[Batch ID]]="","Missing Batch ID",IF(COUNTIF(tBatches[[Batch ID]],tDrugUse[[#This Row],[Batch ID]])=0,"Batch "&amp;tDrugUse[[#This Row],[Batch ID]]&amp;" is not in BATCH_REGISTER",IF(COUNTIFS(tBatches[[Batch ID]],tDrugUse[[#This Row],[Batch ID]],tBatches[[Pen ID]],tDrugUse[[#This Row],[Pen ID]])=0,"Batch "&amp;tDrugUse[[#This Row],[Batch ID]]&amp;" belongs to pen "&amp;INDEX(tBatches[[Pen ID]],MATCH(tDrugUse[[#This Row],[Batch ID]],tBatches[[Batch ID]],0)),IF(tDrugUse[[#This Row],[Date]]&lt;INDEX(tBatches[[Batch Start Date]],MATCH(tDrugUse[[#This Row],[Batch ID]],tBatches[[Batch ID]],0)),"Date is before the batch start date",IF(AND(N(INDEX(tBatches[[Closing Date]],MATCH(tDrugUse[[#This Row],[Batch ID]],tBatches[[Batch ID]],0)))&gt;0,tDrugUse[[#This Row],[Date]]&gt;INDEX(tBatches[[Closing Date]],MATCH(tDrugUse[[#This Row],[Batch ID]],tBatches[[Batch ID]],0))),"Date is after the batch closing date",IF(N(tDrugUse[[#This Row],[Quantity Used]])&lt;=0,"Quantity must be greater than 0",IF(tDrugUse[[#This Row],[Cost per Unit]]=0,"No purchase of this drug on/before this date",IF(tDrugUse[[#This Row],[Store Balance on Date]]&lt;-0.0001,"EXCEEDS STOCK by "&amp;TEXT(-tDrugUse[[#This Row],[Store Balance on Date]],"#,##0.0")&amp;" "&amp;tDrugUse[[#This Row],[Unit]],IF(AND(tDrugUse[[#This Row],[Drug Batch Number]]&lt;&gt;"",COUNTIFS(tDrugPur[[Drug Name]],tDrugUse[[#This Row],[Drug Name]],tDrugPur[[Batch Number]],tDrugUse[[#This Row],[Drug Batch Number]])=0),"Drug batch number not found in purchases",IF(AND(tDrugUse[[#This Row],[Drug Batch Number]]&lt;&gt;"",N(_xlfn.MAXIFS(tDrugPur[[Expiry Date]],tDrugPur[[Drug Name]],tDrugUse[[#This Row],[Drug Name]],tDrugPur[[Batch Number]],tDrugUse[[#This Row],[Drug Batch Number]]))&gt;0,tDrugUse[[#This Row],[Date]]&gt;_xlfn.MAXIFS(tDrugPur[[Expiry Date]],tDrugPur[[Drug Name]],tDrugUse[[#This Row],[Drug Name]],tDrugPur[[Batch Number]],tDrugUse[[#This Row],[Drug Batch Number]])),"Lot was expired on "&amp;TEXT(_xlfn.MAXIFS(tDrugPur[[Expiry Date]],tDrugPur[[Drug Name]],tDrugUse[[#This Row],[Drug Name]],tDrugPur[[Batch Number]],tDrugUse[[#This Row],[Drug Batch Number]]),"dd/mm/yyyy"),"OK")))))))))))))))))</f>
        <v/>
      </c>
    </row>
  </sheetData>
  <conditionalFormatting sqref="Q5:Q5000">
    <cfRule type="expression" priority="1" dxfId="0">
      <formula>AND(Q5&lt;&gt;"",Q5&lt;&gt;"OK")</formula>
    </cfRule>
    <cfRule type="expression" priority="2" dxfId="1">
      <formula>Q5="OK"</formula>
    </cfRule>
  </conditionalFormatting>
  <dataValidations count="7">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L_Drugs</formula1>
    </dataValidation>
    <dataValidation sqref="D5:D5000" showDropDown="0" showInputMessage="0" showErrorMessage="1" allowBlank="1" errorTitle="Not in list" error="Choose a value from the dropdown list (lists are maintained on the LISTS / register sheets)." type="list">
      <formula1>L_Pens</formula1>
    </dataValidation>
    <dataValidation sqref="E5:E5000" showDropDown="0" showInputMessage="0" showErrorMessage="1" allowBlank="1" errorTitle="Not in list" error="Choose a value from the dropdown list (lists are maintained on the LISTS / register sheets)." type="list">
      <formula1>L_Batches</formula1>
    </dataValidation>
    <dataValidation sqref="F5:F5000" showDropDown="0" showInputMessage="0" showErrorMessage="0" allowBlank="1" errorTitle="Not in list" error="Choose a value from the dropdown list (lists are maintained on the LISTS / register sheets)." type="list">
      <formula1>L_Reasons</formula1>
    </dataValidation>
    <dataValidation sqref="H5:H5000" showDropDown="0" showInputMessage="0" showErrorMessage="1" allowBlank="1" errorTitle="Invalid number" error="Enter a number that is zero or greater (no text, no negative values)." type="decimal" operator="greaterThanOrEqual">
      <formula1>0</formula1>
    </dataValidation>
    <dataValidation sqref="M5:M5000" showDropDown="0" showInputMessage="0" showErrorMessage="0" allowBlank="1" errorTitle="Not in list" error="Choose a value from the dropdown list (lists are maintained on the LISTS / register sheets)." type="list">
      <formula1>L_Staff</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14"/>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8" customWidth="1" min="3" max="3"/>
    <col width="18" customWidth="1" min="4" max="4"/>
    <col width="9" customWidth="1" min="5" max="5"/>
    <col width="20" customWidth="1" min="6" max="6"/>
    <col width="9" customWidth="1" min="7" max="7"/>
    <col width="34" customWidth="1" min="8" max="8"/>
    <col width="10" customWidth="1" min="9" max="9"/>
    <col width="30" customWidth="1" min="10" max="10"/>
  </cols>
  <sheetData>
    <row r="1">
      <c r="A1" s="1" t="inlineStr">
        <is>
          <t>MORTALITY LOG</t>
        </is>
      </c>
    </row>
    <row r="2">
      <c r="A2" s="7" t="inlineStr">
        <is>
          <t>Only record days on which animals died. No entry = no deaths. Current stock updates automatically.</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Mortality ID</t>
        </is>
      </c>
      <c r="C4" s="9" t="inlineStr">
        <is>
          <t>Pen ID</t>
        </is>
      </c>
      <c r="D4" s="9" t="inlineStr">
        <is>
          <t>Batch ID</t>
        </is>
      </c>
      <c r="E4" s="9" t="inlineStr">
        <is>
          <t>Number of Deaths</t>
        </is>
      </c>
      <c r="F4" s="9" t="inlineStr">
        <is>
          <t>Suspected/Recorded Cause</t>
        </is>
      </c>
      <c r="G4" s="10" t="inlineStr">
        <is>
          <t>Age/Day of Batch</t>
        </is>
      </c>
      <c r="H4" s="9" t="inlineStr">
        <is>
          <t>Notes</t>
        </is>
      </c>
      <c r="I4" s="10" t="inlineStr">
        <is>
          <t>Animal Type</t>
        </is>
      </c>
      <c r="J4" s="10" t="inlineStr">
        <is>
          <t>Check</t>
        </is>
      </c>
    </row>
    <row r="5">
      <c r="A5" s="16" t="n">
        <v>46207</v>
      </c>
      <c r="B5" s="13">
        <f>"MO-"&amp;TEXT(ROW()-ROW(tMort[[#Headers],[Date]]),"00000")</f>
        <v/>
      </c>
      <c r="C5" s="12" t="inlineStr">
        <is>
          <t>P006</t>
        </is>
      </c>
      <c r="D5" s="12" t="inlineStr">
        <is>
          <t>BROILER-JUL-001</t>
        </is>
      </c>
      <c r="E5" s="17" t="n">
        <v>4</v>
      </c>
      <c r="F5" s="12" t="inlineStr">
        <is>
          <t>Unknown</t>
        </is>
      </c>
      <c r="G5" s="15">
        <f>IFERROR(tMort[[#This Row],[Date]]-INDEX(tBatches[[Batch Start Date]],MATCH(tMort[[#This Row],[Batch ID]],tBatches[[Batch ID]],0))+1,"")</f>
        <v/>
      </c>
      <c r="H5" s="12" t="inlineStr">
        <is>
          <t>SAMPLE DATA - delete or replace</t>
        </is>
      </c>
      <c r="I5" s="13">
        <f>IFERROR(INDEX(tBatches[[Animal Type]],MATCH(tMort[[#This Row],[Batch ID]],tBatches[[Batch ID]],0)),"")</f>
        <v/>
      </c>
      <c r="J5"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6">
      <c r="A6" s="16" t="n">
        <v>46218</v>
      </c>
      <c r="B6" s="13">
        <f>"MO-"&amp;TEXT(ROW()-ROW(tMort[[#Headers],[Date]]),"00000")</f>
        <v/>
      </c>
      <c r="C6" s="12" t="inlineStr">
        <is>
          <t>P006</t>
        </is>
      </c>
      <c r="D6" s="12" t="inlineStr">
        <is>
          <t>BROILER-JUL-001</t>
        </is>
      </c>
      <c r="E6" s="17" t="n">
        <v>3</v>
      </c>
      <c r="F6" s="12" t="inlineStr">
        <is>
          <t>Heat stress</t>
        </is>
      </c>
      <c r="G6" s="15">
        <f>IFERROR(tMort[[#This Row],[Date]]-INDEX(tBatches[[Batch Start Date]],MATCH(tMort[[#This Row],[Batch ID]],tBatches[[Batch ID]],0))+1,"")</f>
        <v/>
      </c>
      <c r="H6" s="12" t="inlineStr">
        <is>
          <t>SAMPLE DATA - delete or replace</t>
        </is>
      </c>
      <c r="I6" s="13">
        <f>IFERROR(INDEX(tBatches[[Animal Type]],MATCH(tMort[[#This Row],[Batch ID]],tBatches[[Batch ID]],0)),"")</f>
        <v/>
      </c>
      <c r="J6"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7">
      <c r="A7" s="16" t="n">
        <v>46236</v>
      </c>
      <c r="B7" s="13">
        <f>"MO-"&amp;TEXT(ROW()-ROW(tMort[[#Headers],[Date]]),"00000")</f>
        <v/>
      </c>
      <c r="C7" s="12" t="inlineStr">
        <is>
          <t>P006</t>
        </is>
      </c>
      <c r="D7" s="12" t="inlineStr">
        <is>
          <t>BROILER-JUL-001</t>
        </is>
      </c>
      <c r="E7" s="17" t="n">
        <v>3</v>
      </c>
      <c r="F7" s="12" t="inlineStr">
        <is>
          <t>Smothering / Crushing</t>
        </is>
      </c>
      <c r="G7" s="15">
        <f>IFERROR(tMort[[#This Row],[Date]]-INDEX(tBatches[[Batch Start Date]],MATCH(tMort[[#This Row],[Batch ID]],tBatches[[Batch ID]],0))+1,"")</f>
        <v/>
      </c>
      <c r="H7" s="12" t="inlineStr">
        <is>
          <t>SAMPLE DATA - delete or replace</t>
        </is>
      </c>
      <c r="I7" s="13">
        <f>IFERROR(INDEX(tBatches[[Animal Type]],MATCH(tMort[[#This Row],[Batch ID]],tBatches[[Batch ID]],0)),"")</f>
        <v/>
      </c>
      <c r="J7"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8">
      <c r="A8" s="16" t="n">
        <v>46254</v>
      </c>
      <c r="B8" s="13">
        <f>"MO-"&amp;TEXT(ROW()-ROW(tMort[[#Headers],[Date]]),"00000")</f>
        <v/>
      </c>
      <c r="C8" s="12" t="inlineStr">
        <is>
          <t>P005</t>
        </is>
      </c>
      <c r="D8" s="12" t="inlineStr">
        <is>
          <t>LAYER-JUN-001</t>
        </is>
      </c>
      <c r="E8" s="17" t="n">
        <v>2</v>
      </c>
      <c r="F8" s="12" t="inlineStr">
        <is>
          <t>Unknown</t>
        </is>
      </c>
      <c r="G8" s="15">
        <f>IFERROR(tMort[[#This Row],[Date]]-INDEX(tBatches[[Batch Start Date]],MATCH(tMort[[#This Row],[Batch ID]],tBatches[[Batch ID]],0))+1,"")</f>
        <v/>
      </c>
      <c r="H8" s="12" t="inlineStr">
        <is>
          <t>SAMPLE DATA - delete or replace</t>
        </is>
      </c>
      <c r="I8" s="13">
        <f>IFERROR(INDEX(tBatches[[Animal Type]],MATCH(tMort[[#This Row],[Batch ID]],tBatches[[Batch ID]],0)),"")</f>
        <v/>
      </c>
      <c r="J8"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9">
      <c r="A9" s="16" t="n">
        <v>46268</v>
      </c>
      <c r="B9" s="13">
        <f>"MO-"&amp;TEXT(ROW()-ROW(tMort[[#Headers],[Date]]),"00000")</f>
        <v/>
      </c>
      <c r="C9" s="12" t="inlineStr">
        <is>
          <t>P001</t>
        </is>
      </c>
      <c r="D9" s="12" t="inlineStr">
        <is>
          <t>BROILER-SEP-001</t>
        </is>
      </c>
      <c r="E9" s="17" t="n">
        <v>2</v>
      </c>
      <c r="F9" s="12" t="inlineStr">
        <is>
          <t>Unknown</t>
        </is>
      </c>
      <c r="G9" s="15">
        <f>IFERROR(tMort[[#This Row],[Date]]-INDEX(tBatches[[Batch Start Date]],MATCH(tMort[[#This Row],[Batch ID]],tBatches[[Batch ID]],0))+1,"")</f>
        <v/>
      </c>
      <c r="H9" s="12" t="inlineStr">
        <is>
          <t>SAMPLE DATA - delete or replace</t>
        </is>
      </c>
      <c r="I9" s="13">
        <f>IFERROR(INDEX(tBatches[[Animal Type]],MATCH(tMort[[#This Row],[Batch ID]],tBatches[[Batch ID]],0)),"")</f>
        <v/>
      </c>
      <c r="J9"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10">
      <c r="A10" s="16" t="n">
        <v>46269</v>
      </c>
      <c r="B10" s="13">
        <f>"MO-"&amp;TEXT(ROW()-ROW(tMort[[#Headers],[Date]]),"00000")</f>
        <v/>
      </c>
      <c r="C10" s="12" t="inlineStr">
        <is>
          <t>P002</t>
        </is>
      </c>
      <c r="D10" s="12" t="inlineStr">
        <is>
          <t>BROILER-SEP-002</t>
        </is>
      </c>
      <c r="E10" s="17" t="n">
        <v>3</v>
      </c>
      <c r="F10" s="12" t="inlineStr">
        <is>
          <t>Cold / Chilling</t>
        </is>
      </c>
      <c r="G10" s="15">
        <f>IFERROR(tMort[[#This Row],[Date]]-INDEX(tBatches[[Batch Start Date]],MATCH(tMort[[#This Row],[Batch ID]],tBatches[[Batch ID]],0))+1,"")</f>
        <v/>
      </c>
      <c r="H10" s="12" t="inlineStr">
        <is>
          <t>SAMPLE DATA - delete or replace</t>
        </is>
      </c>
      <c r="I10" s="13">
        <f>IFERROR(INDEX(tBatches[[Animal Type]],MATCH(tMort[[#This Row],[Batch ID]],tBatches[[Batch ID]],0)),"")</f>
        <v/>
      </c>
      <c r="J10"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11">
      <c r="A11" s="16" t="n">
        <v>46274</v>
      </c>
      <c r="B11" s="13">
        <f>"MO-"&amp;TEXT(ROW()-ROW(tMort[[#Headers],[Date]]),"00000")</f>
        <v/>
      </c>
      <c r="C11" s="12" t="inlineStr">
        <is>
          <t>P003</t>
        </is>
      </c>
      <c r="D11" s="12" t="inlineStr">
        <is>
          <t>BROILER-SEP-003</t>
        </is>
      </c>
      <c r="E11" s="17" t="n">
        <v>1</v>
      </c>
      <c r="F11" s="12" t="inlineStr">
        <is>
          <t>Injury</t>
        </is>
      </c>
      <c r="G11" s="15">
        <f>IFERROR(tMort[[#This Row],[Date]]-INDEX(tBatches[[Batch Start Date]],MATCH(tMort[[#This Row],[Batch ID]],tBatches[[Batch ID]],0))+1,"")</f>
        <v/>
      </c>
      <c r="H11" s="12" t="inlineStr">
        <is>
          <t>SAMPLE DATA - delete or replace</t>
        </is>
      </c>
      <c r="I11" s="13">
        <f>IFERROR(INDEX(tBatches[[Animal Type]],MATCH(tMort[[#This Row],[Batch ID]],tBatches[[Batch ID]],0)),"")</f>
        <v/>
      </c>
      <c r="J11"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12">
      <c r="A12" s="16" t="n">
        <v>46279</v>
      </c>
      <c r="B12" s="13">
        <f>"MO-"&amp;TEXT(ROW()-ROW(tMort[[#Headers],[Date]]),"00000")</f>
        <v/>
      </c>
      <c r="C12" s="12" t="inlineStr">
        <is>
          <t>P002</t>
        </is>
      </c>
      <c r="D12" s="12" t="inlineStr">
        <is>
          <t>BROILER-SEP-002</t>
        </is>
      </c>
      <c r="E12" s="17" t="n">
        <v>2</v>
      </c>
      <c r="F12" s="12" t="inlineStr">
        <is>
          <t>Suspected disease</t>
        </is>
      </c>
      <c r="G12" s="15">
        <f>IFERROR(tMort[[#This Row],[Date]]-INDEX(tBatches[[Batch Start Date]],MATCH(tMort[[#This Row],[Batch ID]],tBatches[[Batch ID]],0))+1,"")</f>
        <v/>
      </c>
      <c r="H12" s="12" t="inlineStr">
        <is>
          <t>SAMPLE DATA - delete or replace</t>
        </is>
      </c>
      <c r="I12" s="13">
        <f>IFERROR(INDEX(tBatches[[Animal Type]],MATCH(tMort[[#This Row],[Batch ID]],tBatches[[Batch ID]],0)),"")</f>
        <v/>
      </c>
      <c r="J12"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13">
      <c r="A13" s="16" t="n">
        <v>46285</v>
      </c>
      <c r="B13" s="13">
        <f>"MO-"&amp;TEXT(ROW()-ROW(tMort[[#Headers],[Date]]),"00000")</f>
        <v/>
      </c>
      <c r="C13" s="12" t="inlineStr">
        <is>
          <t>P004</t>
        </is>
      </c>
      <c r="D13" s="12" t="inlineStr">
        <is>
          <t>BROILER-SEP-004</t>
        </is>
      </c>
      <c r="E13" s="17" t="n">
        <v>2</v>
      </c>
      <c r="F13" s="12" t="inlineStr">
        <is>
          <t>Unknown</t>
        </is>
      </c>
      <c r="G13" s="15">
        <f>IFERROR(tMort[[#This Row],[Date]]-INDEX(tBatches[[Batch Start Date]],MATCH(tMort[[#This Row],[Batch ID]],tBatches[[Batch ID]],0))+1,"")</f>
        <v/>
      </c>
      <c r="H13" s="12" t="inlineStr">
        <is>
          <t>SAMPLE DATA - delete or replace</t>
        </is>
      </c>
      <c r="I13" s="13">
        <f>IFERROR(INDEX(tBatches[[Animal Type]],MATCH(tMort[[#This Row],[Batch ID]],tBatches[[Batch ID]],0)),"")</f>
        <v/>
      </c>
      <c r="J13"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row r="14">
      <c r="A14" s="16" t="n">
        <v>46292</v>
      </c>
      <c r="B14" s="13">
        <f>"MO-"&amp;TEXT(ROW()-ROW(tMort[[#Headers],[Date]]),"00000")</f>
        <v/>
      </c>
      <c r="C14" s="12" t="inlineStr">
        <is>
          <t>P001</t>
        </is>
      </c>
      <c r="D14" s="12" t="inlineStr">
        <is>
          <t>BROILER-SEP-001</t>
        </is>
      </c>
      <c r="E14" s="17" t="n">
        <v>1</v>
      </c>
      <c r="F14" s="12" t="inlineStr">
        <is>
          <t>Heat stress</t>
        </is>
      </c>
      <c r="G14" s="15">
        <f>IFERROR(tMort[[#This Row],[Date]]-INDEX(tBatches[[Batch Start Date]],MATCH(tMort[[#This Row],[Batch ID]],tBatches[[Batch ID]],0))+1,"")</f>
        <v/>
      </c>
      <c r="H14" s="12" t="inlineStr">
        <is>
          <t>SAMPLE DATA - delete or replace</t>
        </is>
      </c>
      <c r="I14" s="13">
        <f>IFERROR(INDEX(tBatches[[Animal Type]],MATCH(tMort[[#This Row],[Batch ID]],tBatches[[Batch ID]],0)),"")</f>
        <v/>
      </c>
      <c r="J14" s="13">
        <f>IF(AND(tMort[[#This Row],[Date]]="",tMort[[#This Row],[Pen ID]]="",tMort[[#This Row],[Batch ID]]="",tMort[[#This Row],[Number of Deaths]]=""),"",IF(tMort[[#This Row],[Date]]="","Missing date",IF(NOT(ISNUMBER(tMort[[#This Row],[Date]])),"Date is not a valid date",IF(tMort[[#This Row],[Pen ID]]="","Missing Pen ID",IF(COUNTIF(tPens[[Pen ID]],tMort[[#This Row],[Pen ID]])=0,"Pen "&amp;tMort[[#This Row],[Pen ID]]&amp;" is not in PEN_REGISTER",IF(tMort[[#This Row],[Batch ID]]="","Missing Batch ID",IF(COUNTIF(tBatches[[Batch ID]],tMort[[#This Row],[Batch ID]])=0,"Batch "&amp;tMort[[#This Row],[Batch ID]]&amp;" is not in BATCH_REGISTER",IF(COUNTIFS(tBatches[[Batch ID]],tMort[[#This Row],[Batch ID]],tBatches[[Pen ID]],tMort[[#This Row],[Pen ID]])=0,"Batch "&amp;tMort[[#This Row],[Batch ID]]&amp;" belongs to pen "&amp;INDEX(tBatches[[Pen ID]],MATCH(tMort[[#This Row],[Batch ID]],tBatches[[Batch ID]],0)),IF(tMort[[#This Row],[Date]]&lt;INDEX(tBatches[[Batch Start Date]],MATCH(tMort[[#This Row],[Batch ID]],tBatches[[Batch ID]],0)),"Date is before the batch start date",IF(AND(N(INDEX(tBatches[[Closing Date]],MATCH(tMort[[#This Row],[Batch ID]],tBatches[[Batch ID]],0)))&gt;0,tMort[[#This Row],[Date]]&gt;INDEX(tBatches[[Closing Date]],MATCH(tMort[[#This Row],[Batch ID]],tBatches[[Batch ID]],0))),"Date is after the batch closing date",IF(N(tMort[[#This Row],[Number of Deaths]])&lt;=0,"Number of deaths must be &gt; 0",IF(INDEX(tBatches[[Current Quantity]],MATCH(tMort[[#This Row],[Batch ID]],tBatches[[Batch ID]],0))&lt;0,"Batch stock is negative - check counts","OK"))))))))))))</f>
        <v/>
      </c>
    </row>
  </sheetData>
  <conditionalFormatting sqref="J5:J5000">
    <cfRule type="expression" priority="1" dxfId="0">
      <formula>AND(J5&lt;&gt;"",J5&lt;&gt;"OK")</formula>
    </cfRule>
    <cfRule type="expression" priority="2" dxfId="1">
      <formula>J5="OK"</formula>
    </cfRule>
  </conditionalFormatting>
  <dataValidations count="5">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L_Pens</formula1>
    </dataValidation>
    <dataValidation sqref="D5:D5000" showDropDown="0" showInputMessage="0" showErrorMessage="1" allowBlank="1" errorTitle="Not in list" error="Choose a value from the dropdown list (lists are maintained on the LISTS / register sheets)." type="list">
      <formula1>L_Batches</formula1>
    </dataValidation>
    <dataValidation sqref="E5:E5000" showDropDown="0" showInputMessage="0" showErrorMessage="1" allowBlank="1" errorTitle="Invalid number" error="Enter a whole number that is zero or greater." type="whole" operator="greaterThanOrEqual">
      <formula1>0</formula1>
    </dataValidation>
    <dataValidation sqref="F5:F5000" showDropDown="0" showInputMessage="0" showErrorMessage="0" allowBlank="1" errorTitle="Not in list" error="Choose a value from the dropdown list (lists are maintained on the LISTS / register sheets)." type="list">
      <formula1>L_Causes</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M12"/>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8" customWidth="1" min="3" max="3"/>
    <col width="18" customWidth="1" min="4" max="4"/>
    <col width="14" customWidth="1" min="5" max="5"/>
    <col width="9" customWidth="1" min="6" max="6"/>
    <col width="8" customWidth="1" min="7" max="7"/>
    <col width="10" customWidth="1" min="8" max="8"/>
    <col width="9" customWidth="1" min="9" max="9"/>
    <col width="30" customWidth="1" min="10" max="10"/>
    <col width="10" customWidth="1" min="11" max="11"/>
    <col width="9" customWidth="1" min="12" max="12"/>
    <col width="30" customWidth="1" min="13" max="13"/>
  </cols>
  <sheetData>
    <row r="1">
      <c r="A1" s="1" t="inlineStr">
        <is>
          <t>PRODUCTION LOG</t>
        </is>
      </c>
    </row>
    <row r="2">
      <c r="A2" s="7" t="inlineStr">
        <is>
          <t>Weighings and output (eggs etc.) - only when they happen. No daily row needed.</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Record ID</t>
        </is>
      </c>
      <c r="C4" s="9" t="inlineStr">
        <is>
          <t>Pen ID</t>
        </is>
      </c>
      <c r="D4" s="9" t="inlineStr">
        <is>
          <t>Batch ID</t>
        </is>
      </c>
      <c r="E4" s="9" t="inlineStr">
        <is>
          <t>Measurement Type</t>
        </is>
      </c>
      <c r="F4" s="9" t="inlineStr">
        <is>
          <t>Quantity</t>
        </is>
      </c>
      <c r="G4" s="9" t="inlineStr">
        <is>
          <t>Unit</t>
        </is>
      </c>
      <c r="H4" s="9" t="inlineStr">
        <is>
          <t>Average Weight kg</t>
        </is>
      </c>
      <c r="I4" s="9" t="inlineStr">
        <is>
          <t>Number Sampled</t>
        </is>
      </c>
      <c r="J4" s="9" t="inlineStr">
        <is>
          <t>Notes</t>
        </is>
      </c>
      <c r="K4" s="10" t="inlineStr">
        <is>
          <t>Animal Type</t>
        </is>
      </c>
      <c r="L4" s="10" t="inlineStr">
        <is>
          <t>Age/Day of Batch</t>
        </is>
      </c>
      <c r="M4" s="10" t="inlineStr">
        <is>
          <t>Check</t>
        </is>
      </c>
    </row>
    <row r="5">
      <c r="A5" s="16" t="n">
        <v>46249</v>
      </c>
      <c r="B5" s="13">
        <f>"PR-"&amp;TEXT(ROW()-ROW(tProd[[#Headers],[Date]]),"00000")</f>
        <v/>
      </c>
      <c r="C5" s="12" t="inlineStr">
        <is>
          <t>P006</t>
        </is>
      </c>
      <c r="D5" s="12" t="inlineStr">
        <is>
          <t>BROILER-JUL-001</t>
        </is>
      </c>
      <c r="E5" s="12" t="inlineStr">
        <is>
          <t>Weighing</t>
        </is>
      </c>
      <c r="F5" s="18" t="n"/>
      <c r="G5" s="12" t="inlineStr">
        <is>
          <t>kg</t>
        </is>
      </c>
      <c r="H5" s="24" t="n">
        <v>2.35</v>
      </c>
      <c r="I5" s="17" t="n">
        <v>20</v>
      </c>
      <c r="J5" s="12" t="inlineStr">
        <is>
          <t>SAMPLE DATA - delete or replace</t>
        </is>
      </c>
      <c r="K5" s="13">
        <f>IFERROR(INDEX(tBatches[[Animal Type]],MATCH(tProd[[#This Row],[Batch ID]],tBatches[[Batch ID]],0)),"")</f>
        <v/>
      </c>
      <c r="L5" s="15">
        <f>IFERROR(tProd[[#This Row],[Date]]-INDEX(tBatches[[Batch Start Date]],MATCH(tProd[[#This Row],[Batch ID]],tBatches[[Batch ID]],0))+1,"")</f>
        <v/>
      </c>
      <c r="M5" s="13">
        <f>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f>
        <v/>
      </c>
    </row>
    <row r="6">
      <c r="A6" s="16" t="n">
        <v>46275</v>
      </c>
      <c r="B6" s="13">
        <f>"PR-"&amp;TEXT(ROW()-ROW(tProd[[#Headers],[Date]]),"00000")</f>
        <v/>
      </c>
      <c r="C6" s="12" t="inlineStr">
        <is>
          <t>P005</t>
        </is>
      </c>
      <c r="D6" s="12" t="inlineStr">
        <is>
          <t>LAYER-JUN-001</t>
        </is>
      </c>
      <c r="E6" s="12" t="inlineStr">
        <is>
          <t>Egg Collection</t>
        </is>
      </c>
      <c r="F6" s="18" t="n">
        <v>11</v>
      </c>
      <c r="G6" s="12" t="inlineStr">
        <is>
          <t>crates</t>
        </is>
      </c>
      <c r="H6" s="24" t="n"/>
      <c r="I6" s="17" t="n"/>
      <c r="J6" s="12" t="inlineStr">
        <is>
          <t>SAMPLE DATA - delete or replace</t>
        </is>
      </c>
      <c r="K6" s="13">
        <f>IFERROR(INDEX(tBatches[[Animal Type]],MATCH(tProd[[#This Row],[Batch ID]],tBatches[[Batch ID]],0)),"")</f>
        <v/>
      </c>
      <c r="L6" s="15">
        <f>IFERROR(tProd[[#This Row],[Date]]-INDEX(tBatches[[Batch Start Date]],MATCH(tProd[[#This Row],[Batch ID]],tBatches[[Batch ID]],0))+1,"")</f>
        <v/>
      </c>
      <c r="M6" s="13">
        <f>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f>
        <v/>
      </c>
    </row>
    <row r="7">
      <c r="A7" s="16" t="n">
        <v>46279</v>
      </c>
      <c r="B7" s="13">
        <f>"PR-"&amp;TEXT(ROW()-ROW(tProd[[#Headers],[Date]]),"00000")</f>
        <v/>
      </c>
      <c r="C7" s="12" t="inlineStr">
        <is>
          <t>P001</t>
        </is>
      </c>
      <c r="D7" s="12" t="inlineStr">
        <is>
          <t>BROILER-SEP-001</t>
        </is>
      </c>
      <c r="E7" s="12" t="inlineStr">
        <is>
          <t>Weighing</t>
        </is>
      </c>
      <c r="F7" s="18" t="n"/>
      <c r="G7" s="12" t="inlineStr">
        <is>
          <t>kg</t>
        </is>
      </c>
      <c r="H7" s="24" t="n">
        <v>0.45</v>
      </c>
      <c r="I7" s="17" t="n">
        <v>20</v>
      </c>
      <c r="J7" s="12" t="inlineStr">
        <is>
          <t>SAMPLE DATA - delete or replace</t>
        </is>
      </c>
      <c r="K7" s="13">
        <f>IFERROR(INDEX(tBatches[[Animal Type]],MATCH(tProd[[#This Row],[Batch ID]],tBatches[[Batch ID]],0)),"")</f>
        <v/>
      </c>
      <c r="L7" s="15">
        <f>IFERROR(tProd[[#This Row],[Date]]-INDEX(tBatches[[Batch Start Date]],MATCH(tProd[[#This Row],[Batch ID]],tBatches[[Batch ID]],0))+1,"")</f>
        <v/>
      </c>
      <c r="M7" s="13">
        <f>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f>
        <v/>
      </c>
    </row>
    <row r="8">
      <c r="A8" s="16" t="n">
        <v>46279</v>
      </c>
      <c r="B8" s="13">
        <f>"PR-"&amp;TEXT(ROW()-ROW(tProd[[#Headers],[Date]]),"00000")</f>
        <v/>
      </c>
      <c r="C8" s="12" t="inlineStr">
        <is>
          <t>P002</t>
        </is>
      </c>
      <c r="D8" s="12" t="inlineStr">
        <is>
          <t>BROILER-SEP-002</t>
        </is>
      </c>
      <c r="E8" s="12" t="inlineStr">
        <is>
          <t>Weighing</t>
        </is>
      </c>
      <c r="F8" s="18" t="n"/>
      <c r="G8" s="12" t="inlineStr">
        <is>
          <t>kg</t>
        </is>
      </c>
      <c r="H8" s="24" t="n">
        <v>0.43</v>
      </c>
      <c r="I8" s="17" t="n">
        <v>20</v>
      </c>
      <c r="J8" s="12" t="inlineStr">
        <is>
          <t>SAMPLE DATA - delete or replace</t>
        </is>
      </c>
      <c r="K8" s="13">
        <f>IFERROR(INDEX(tBatches[[Animal Type]],MATCH(tProd[[#This Row],[Batch ID]],tBatches[[Batch ID]],0)),"")</f>
        <v/>
      </c>
      <c r="L8" s="15">
        <f>IFERROR(tProd[[#This Row],[Date]]-INDEX(tBatches[[Batch Start Date]],MATCH(tProd[[#This Row],[Batch ID]],tBatches[[Batch ID]],0))+1,"")</f>
        <v/>
      </c>
      <c r="M8" s="13">
        <f>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f>
        <v/>
      </c>
    </row>
    <row r="9">
      <c r="A9" s="16" t="n">
        <v>46285</v>
      </c>
      <c r="B9" s="13">
        <f>"PR-"&amp;TEXT(ROW()-ROW(tProd[[#Headers],[Date]]),"00000")</f>
        <v/>
      </c>
      <c r="C9" s="12" t="inlineStr">
        <is>
          <t>P005</t>
        </is>
      </c>
      <c r="D9" s="12" t="inlineStr">
        <is>
          <t>LAYER-JUN-001</t>
        </is>
      </c>
      <c r="E9" s="12" t="inlineStr">
        <is>
          <t>Egg Collection</t>
        </is>
      </c>
      <c r="F9" s="18" t="n">
        <v>11</v>
      </c>
      <c r="G9" s="12" t="inlineStr">
        <is>
          <t>crates</t>
        </is>
      </c>
      <c r="H9" s="24" t="n"/>
      <c r="I9" s="17" t="n"/>
      <c r="J9" s="12" t="inlineStr">
        <is>
          <t>SAMPLE DATA - delete or replace</t>
        </is>
      </c>
      <c r="K9" s="13">
        <f>IFERROR(INDEX(tBatches[[Animal Type]],MATCH(tProd[[#This Row],[Batch ID]],tBatches[[Batch ID]],0)),"")</f>
        <v/>
      </c>
      <c r="L9" s="15">
        <f>IFERROR(tProd[[#This Row],[Date]]-INDEX(tBatches[[Batch Start Date]],MATCH(tProd[[#This Row],[Batch ID]],tBatches[[Batch ID]],0))+1,"")</f>
        <v/>
      </c>
      <c r="M9" s="13">
        <f>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f>
        <v/>
      </c>
    </row>
    <row r="10">
      <c r="A10" s="16" t="n">
        <v>46286</v>
      </c>
      <c r="B10" s="13">
        <f>"PR-"&amp;TEXT(ROW()-ROW(tProd[[#Headers],[Date]]),"00000")</f>
        <v/>
      </c>
      <c r="C10" s="12" t="inlineStr">
        <is>
          <t>P001</t>
        </is>
      </c>
      <c r="D10" s="12" t="inlineStr">
        <is>
          <t>BROILER-SEP-001</t>
        </is>
      </c>
      <c r="E10" s="12" t="inlineStr">
        <is>
          <t>Weighing</t>
        </is>
      </c>
      <c r="F10" s="18" t="n"/>
      <c r="G10" s="12" t="inlineStr">
        <is>
          <t>kg</t>
        </is>
      </c>
      <c r="H10" s="24" t="n">
        <v>0.86</v>
      </c>
      <c r="I10" s="17" t="n">
        <v>20</v>
      </c>
      <c r="J10" s="12" t="inlineStr">
        <is>
          <t>SAMPLE DATA - delete or replace</t>
        </is>
      </c>
      <c r="K10" s="13">
        <f>IFERROR(INDEX(tBatches[[Animal Type]],MATCH(tProd[[#This Row],[Batch ID]],tBatches[[Batch ID]],0)),"")</f>
        <v/>
      </c>
      <c r="L10" s="15">
        <f>IFERROR(tProd[[#This Row],[Date]]-INDEX(tBatches[[Batch Start Date]],MATCH(tProd[[#This Row],[Batch ID]],tBatches[[Batch ID]],0))+1,"")</f>
        <v/>
      </c>
      <c r="M10" s="13">
        <f>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f>
        <v/>
      </c>
    </row>
    <row r="11">
      <c r="A11" s="16" t="n">
        <v>46286</v>
      </c>
      <c r="B11" s="13">
        <f>"PR-"&amp;TEXT(ROW()-ROW(tProd[[#Headers],[Date]]),"00000")</f>
        <v/>
      </c>
      <c r="C11" s="12" t="inlineStr">
        <is>
          <t>P004</t>
        </is>
      </c>
      <c r="D11" s="12" t="inlineStr">
        <is>
          <t>BROILER-SEP-004</t>
        </is>
      </c>
      <c r="E11" s="12" t="inlineStr">
        <is>
          <t>Weighing</t>
        </is>
      </c>
      <c r="F11" s="18" t="n"/>
      <c r="G11" s="12" t="inlineStr">
        <is>
          <t>kg</t>
        </is>
      </c>
      <c r="H11" s="24" t="n">
        <v>0.8</v>
      </c>
      <c r="I11" s="17" t="n">
        <v>25</v>
      </c>
      <c r="J11" s="12" t="inlineStr">
        <is>
          <t>SAMPLE DATA - delete or replace</t>
        </is>
      </c>
      <c r="K11" s="13">
        <f>IFERROR(INDEX(tBatches[[Animal Type]],MATCH(tProd[[#This Row],[Batch ID]],tBatches[[Batch ID]],0)),"")</f>
        <v/>
      </c>
      <c r="L11" s="15">
        <f>IFERROR(tProd[[#This Row],[Date]]-INDEX(tBatches[[Batch Start Date]],MATCH(tProd[[#This Row],[Batch ID]],tBatches[[Batch ID]],0))+1,"")</f>
        <v/>
      </c>
      <c r="M11" s="13">
        <f>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f>
        <v/>
      </c>
    </row>
    <row r="12">
      <c r="A12" s="16" t="n">
        <v>46292</v>
      </c>
      <c r="B12" s="13">
        <f>"PR-"&amp;TEXT(ROW()-ROW(tProd[[#Headers],[Date]]),"00000")</f>
        <v/>
      </c>
      <c r="C12" s="12" t="inlineStr">
        <is>
          <t>P005</t>
        </is>
      </c>
      <c r="D12" s="12" t="inlineStr">
        <is>
          <t>LAYER-JUN-001</t>
        </is>
      </c>
      <c r="E12" s="12" t="inlineStr">
        <is>
          <t>Egg Collection</t>
        </is>
      </c>
      <c r="F12" s="18" t="n">
        <v>10</v>
      </c>
      <c r="G12" s="12" t="inlineStr">
        <is>
          <t>crates</t>
        </is>
      </c>
      <c r="H12" s="24" t="n"/>
      <c r="I12" s="17" t="n"/>
      <c r="J12" s="12" t="inlineStr">
        <is>
          <t>SAMPLE DATA - delete or replace</t>
        </is>
      </c>
      <c r="K12" s="13">
        <f>IFERROR(INDEX(tBatches[[Animal Type]],MATCH(tProd[[#This Row],[Batch ID]],tBatches[[Batch ID]],0)),"")</f>
        <v/>
      </c>
      <c r="L12" s="15">
        <f>IFERROR(tProd[[#This Row],[Date]]-INDEX(tBatches[[Batch Start Date]],MATCH(tProd[[#This Row],[Batch ID]],tBatches[[Batch ID]],0))+1,"")</f>
        <v/>
      </c>
      <c r="M12" s="13">
        <f>IF(AND(tProd[[#This Row],[Date]]="",tProd[[#This Row],[Pen ID]]="",tProd[[#This Row],[Batch ID]]="",tProd[[#This Row],[Measurement Type]]=""),"",IF(tProd[[#This Row],[Date]]="","Missing date",IF(NOT(ISNUMBER(tProd[[#This Row],[Date]])),"Date is not a valid date",IF(tProd[[#This Row],[Pen ID]]="","Missing Pen ID",IF(COUNTIF(tPens[[Pen ID]],tProd[[#This Row],[Pen ID]])=0,"Pen "&amp;tProd[[#This Row],[Pen ID]]&amp;" is not in PEN_REGISTER",IF(tProd[[#This Row],[Batch ID]]="","Missing Batch ID",IF(COUNTIF(tBatches[[Batch ID]],tProd[[#This Row],[Batch ID]])=0,"Batch "&amp;tProd[[#This Row],[Batch ID]]&amp;" is not in BATCH_REGISTER",IF(COUNTIFS(tBatches[[Batch ID]],tProd[[#This Row],[Batch ID]],tBatches[[Pen ID]],tProd[[#This Row],[Pen ID]])=0,"Batch "&amp;tProd[[#This Row],[Batch ID]]&amp;" belongs to pen "&amp;INDEX(tBatches[[Pen ID]],MATCH(tProd[[#This Row],[Batch ID]],tBatches[[Batch ID]],0)),IF(tProd[[#This Row],[Date]]&lt;INDEX(tBatches[[Batch Start Date]],MATCH(tProd[[#This Row],[Batch ID]],tBatches[[Batch ID]],0)),"Date is before the batch start date",IF(AND(N(INDEX(tBatches[[Closing Date]],MATCH(tProd[[#This Row],[Batch ID]],tBatches[[Batch ID]],0)))&gt;0,tProd[[#This Row],[Date]]&gt;INDEX(tBatches[[Closing Date]],MATCH(tProd[[#This Row],[Batch ID]],tBatches[[Batch ID]],0))),"Date is after the batch closing date",IF(tProd[[#This Row],[Measurement Type]]="","Missing measurement type",IF(AND(tProd[[#This Row],[Measurement Type]]="Weighing",N(tProd[[#This Row],[Average Weight kg]])&lt;=0),"Weighing needs an average weight",IF(AND(tProd[[#This Row],[Measurement Type]]&lt;&gt;"Weighing",N(tProd[[#This Row],[Quantity]])&lt;=0),"Output needs a quantity","OK")))))))))))))</f>
        <v/>
      </c>
    </row>
  </sheetData>
  <conditionalFormatting sqref="M5:M5000">
    <cfRule type="expression" priority="1" dxfId="0">
      <formula>AND(M5&lt;&gt;"",M5&lt;&gt;"OK")</formula>
    </cfRule>
    <cfRule type="expression" priority="2" dxfId="1">
      <formula>M5="OK"</formula>
    </cfRule>
  </conditionalFormatting>
  <dataValidations count="8">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L_Pens</formula1>
    </dataValidation>
    <dataValidation sqref="D5:D5000" showDropDown="0" showInputMessage="0" showErrorMessage="1" allowBlank="1" errorTitle="Not in list" error="Choose a value from the dropdown list (lists are maintained on the LISTS / register sheets)." type="list">
      <formula1>L_Batches</formula1>
    </dataValidation>
    <dataValidation sqref="E5:E5000" showDropDown="0" showInputMessage="0" showErrorMessage="0" allowBlank="1" errorTitle="Not in list" error="Choose a value from the dropdown list (lists are maintained on the LISTS / register sheets)." type="list">
      <formula1>L_Meas</formula1>
    </dataValidation>
    <dataValidation sqref="F5:F5000" showDropDown="0" showInputMessage="0" showErrorMessage="1" allowBlank="1" errorTitle="Invalid number" error="Enter a number that is zero or greater (no text, no negative values)." type="decimal" operator="greaterThanOrEqual">
      <formula1>0</formula1>
    </dataValidation>
    <dataValidation sqref="G5:G5000" showDropDown="0" showInputMessage="0" showErrorMessage="0" allowBlank="1" errorTitle="Not in list" error="Choose a value from the dropdown list (lists are maintained on the LISTS / register sheets)." type="list">
      <formula1>L_Units</formula1>
    </dataValidation>
    <dataValidation sqref="H5:H5000" showDropDown="0" showInputMessage="0" showErrorMessage="1" allowBlank="1" errorTitle="Invalid number" error="Enter a number that is zero or greater (no text, no negative values)." type="decimal" operator="greaterThanOrEqual">
      <formula1>0</formula1>
    </dataValidation>
    <dataValidation sqref="I5:I5000" showDropDown="0" showInputMessage="0" showErrorMessage="1" allowBlank="1" errorTitle="Invalid number" error="Enter a whole number that is zero or greater." type="whole" operator="greaterThanOrEqual">
      <formula1>0</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8"/>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9" customWidth="1" min="3" max="3"/>
    <col width="18" customWidth="1" min="4" max="4"/>
    <col width="13" customWidth="1" min="5" max="5"/>
    <col width="9" customWidth="1" min="6" max="6"/>
    <col width="11" customWidth="1" min="7" max="7"/>
    <col width="13" customWidth="1" min="8" max="8"/>
    <col width="18" customWidth="1" min="9" max="9"/>
    <col width="10" customWidth="1" min="10" max="10"/>
    <col width="10" customWidth="1" min="11" max="11"/>
    <col width="26" customWidth="1" min="12" max="12"/>
    <col width="8" customWidth="1" min="13" max="13"/>
    <col width="9" customWidth="1" min="14" max="14"/>
    <col width="10" customWidth="1" min="15" max="15"/>
    <col width="30" customWidth="1" min="16" max="16"/>
  </cols>
  <sheetData>
    <row r="1">
      <c r="A1" s="1" t="inlineStr">
        <is>
          <t>SALES</t>
        </is>
      </c>
    </row>
    <row r="2">
      <c r="A2" s="7" t="inlineStr">
        <is>
          <t>Every sale, linked to the pen &amp; batch it came from (GENERAL for farm-wide items such as manure). Animal sales reduce the batch's current stock automatically.</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Sale ID</t>
        </is>
      </c>
      <c r="C4" s="9" t="inlineStr">
        <is>
          <t>Pen ID</t>
        </is>
      </c>
      <c r="D4" s="9" t="inlineStr">
        <is>
          <t>Batch ID</t>
        </is>
      </c>
      <c r="E4" s="9" t="inlineStr">
        <is>
          <t>Product</t>
        </is>
      </c>
      <c r="F4" s="9" t="inlineStr">
        <is>
          <t>Quantity Sold</t>
        </is>
      </c>
      <c r="G4" s="9" t="inlineStr">
        <is>
          <t>Unit Price</t>
        </is>
      </c>
      <c r="H4" s="10" t="inlineStr">
        <is>
          <t>Total Revenue</t>
        </is>
      </c>
      <c r="I4" s="9" t="inlineStr">
        <is>
          <t>Customer</t>
        </is>
      </c>
      <c r="J4" s="9" t="inlineStr">
        <is>
          <t>Payment Method</t>
        </is>
      </c>
      <c r="K4" s="9" t="inlineStr">
        <is>
          <t>Reference</t>
        </is>
      </c>
      <c r="L4" s="9" t="inlineStr">
        <is>
          <t>Notes</t>
        </is>
      </c>
      <c r="M4" s="10" t="inlineStr">
        <is>
          <t>Sale Unit</t>
        </is>
      </c>
      <c r="N4" s="10" t="inlineStr">
        <is>
          <t>Heads Removed</t>
        </is>
      </c>
      <c r="O4" s="10" t="inlineStr">
        <is>
          <t>Animal Type</t>
        </is>
      </c>
      <c r="P4" s="10" t="inlineStr">
        <is>
          <t>Check</t>
        </is>
      </c>
    </row>
    <row r="5">
      <c r="A5" s="16" t="n">
        <v>46252</v>
      </c>
      <c r="B5" s="13">
        <f>"SA-"&amp;TEXT(ROW()-ROW(tSales[[#Headers],[Date]]),"00000")</f>
        <v/>
      </c>
      <c r="C5" s="12" t="inlineStr">
        <is>
          <t>P006</t>
        </is>
      </c>
      <c r="D5" s="12" t="inlineStr">
        <is>
          <t>BROILER-JUL-001</t>
        </is>
      </c>
      <c r="E5" s="12" t="inlineStr">
        <is>
          <t>Live Birds</t>
        </is>
      </c>
      <c r="F5" s="18" t="n">
        <v>290</v>
      </c>
      <c r="G5" s="20" t="n">
        <v>5500</v>
      </c>
      <c r="H5" s="21">
        <f>N(tSales[[#This Row],[Quantity Sold]])*N(tSales[[#This Row],[Unit Price]])</f>
        <v/>
      </c>
      <c r="I5" s="12" t="inlineStr">
        <is>
          <t>Market Trader (sample)</t>
        </is>
      </c>
      <c r="J5" s="12" t="inlineStr">
        <is>
          <t>Transfer</t>
        </is>
      </c>
      <c r="K5" s="12" t="inlineStr">
        <is>
          <t>SL-001</t>
        </is>
      </c>
      <c r="L5" s="12" t="inlineStr">
        <is>
          <t>SAMPLE DATA - delete or replace</t>
        </is>
      </c>
      <c r="M5" s="13">
        <f>IFERROR(INDEX(tProducts[[Sale Unit]],MATCH(tSales[[#This Row],[Product]],tProducts[[Product]],0))&amp;"","")</f>
        <v/>
      </c>
      <c r="N5" s="15">
        <f>IF(IFERROR(INDEX(tProducts[[Reduces Head Count]],MATCH(tSales[[#This Row],[Product]],tProducts[[Product]],0)),"No")="Yes",N(tSales[[#This Row],[Quantity Sold]]),0)</f>
        <v/>
      </c>
      <c r="O5" s="13">
        <f>IFERROR(INDEX(tBatches[[Animal Type]],MATCH(tSales[[#This Row],[Batch ID]],tBatches[[Batch ID]],0)),"")</f>
        <v/>
      </c>
      <c r="P5" s="13">
        <f>IF(AND(tSales[[#This Row],[Date]]="",tSales[[#This Row],[Pen ID]]="",tSales[[#This Row],[Batch ID]]="",tSales[[#This Row],[Product]]="",tSales[[#This Row],[Quantity Sold]]=""),"",IF(tSales[[#This Row],[Date]]="","Missing date",IF(NOT(ISNUMBER(tSales[[#This Row],[Date]])),"Date is not a valid date",IF(tSales[[#This Row],[Product]]="","Missing product",IF(COUNTIF(tProducts[[Product]],tSales[[#This Row],[Product]])=0,"Product not in LISTS",IF(N(tSales[[#This Row],[Quantity Sold]])&lt;=0,"Quantity must be greater than 0",IF(tSales[[#This Row],[Unit Price]]="","Missing unit price",IF(tSales[[#This Row],[Pen ID]]="","Missing Pen ID (or GENERAL)",IF(AND(tSales[[#This Row],[Pen ID]]="GENERAL",tSales[[#This Row],[Batch ID]]&lt;&gt;""),"GENERAL sales cannot carry a batch",IF(AND(tSales[[#This Row],[Pen ID]]="GENERAL",IFERROR(INDEX(tProducts[[Reduces Head Count]],MATCH(tSales[[#This Row],[Product]],tProducts[[Product]],0)),"No")="Yes"),"Animal sales must name the pen &amp; batch",IF(AND(tSales[[#This Row],[Pen ID]]&lt;&gt;"GENERAL",COUNTIF(tPens[[Pen ID]],tSales[[#This Row],[Pen ID]])=0),"Pen "&amp;tSales[[#This Row],[Pen ID]]&amp;" is not in PEN_REGISTER",IF(AND(tSales[[#This Row],[Batch ID]]="",IFERROR(INDEX(tProducts[[Reduces Head Count]],MATCH(tSales[[#This Row],[Product]],tProducts[[Product]],0)),"No")="Yes"),"Missing Batch ID",IF(AND(tSales[[#This Row],[Batch ID]]&lt;&gt;"",COUNTIF(tBatches[[Batch ID]],tSales[[#This Row],[Batch ID]])=0),"Batch is not in BATCH_REGISTER",IF(AND(tSales[[#This Row],[Batch ID]]&lt;&gt;"",COUNTIFS(tBatches[[Batch ID]],tSales[[#This Row],[Batch ID]],tBatches[[Pen ID]],tSales[[#This Row],[Pen ID]])=0),"Batch "&amp;tSales[[#This Row],[Batch ID]]&amp;" belongs to pen "&amp;INDEX(tBatches[[Pen ID]],MATCH(tSales[[#This Row],[Batch ID]],tBatches[[Batch ID]],0)),IF(IFERROR(AND(tSales[[#This Row],[Batch ID]]&lt;&gt;"",tSales[[#This Row],[Date]]&lt;INDEX(tBatches[[Batch Start Date]],MATCH(tSales[[#This Row],[Batch ID]],tBatches[[Batch ID]],0))),FALSE),"Date is before the batch start date",IF(IFERROR(AND(tSales[[#This Row],[Batch ID]]&lt;&gt;"",INDEX(tBatches[[Current Quantity]],MATCH(tSales[[#This Row],[Batch ID]],tBatches[[Batch ID]],0))&lt;0),FALSE),"Sold more animals than the batch holds",IF(tSales[[#This Row],[Payment Method]]="","Missing payment method","OK")))))))))))))))))</f>
        <v/>
      </c>
    </row>
    <row r="6">
      <c r="A6" s="16" t="n">
        <v>46277</v>
      </c>
      <c r="B6" s="13">
        <f>"SA-"&amp;TEXT(ROW()-ROW(tSales[[#Headers],[Date]]),"00000")</f>
        <v/>
      </c>
      <c r="C6" s="12" t="inlineStr">
        <is>
          <t>P005</t>
        </is>
      </c>
      <c r="D6" s="12" t="inlineStr">
        <is>
          <t>LAYER-JUN-001</t>
        </is>
      </c>
      <c r="E6" s="12" t="inlineStr">
        <is>
          <t>Eggs</t>
        </is>
      </c>
      <c r="F6" s="18" t="n">
        <v>20</v>
      </c>
      <c r="G6" s="20" t="n">
        <v>4800</v>
      </c>
      <c r="H6" s="21">
        <f>N(tSales[[#This Row],[Quantity Sold]])*N(tSales[[#This Row],[Unit Price]])</f>
        <v/>
      </c>
      <c r="I6" s="12" t="inlineStr">
        <is>
          <t>Customer A (sample)</t>
        </is>
      </c>
      <c r="J6" s="12" t="inlineStr">
        <is>
          <t>Cash</t>
        </is>
      </c>
      <c r="K6" s="12" t="inlineStr">
        <is>
          <t>SL-002</t>
        </is>
      </c>
      <c r="L6" s="12" t="inlineStr">
        <is>
          <t>SAMPLE DATA - delete or replace</t>
        </is>
      </c>
      <c r="M6" s="13">
        <f>IFERROR(INDEX(tProducts[[Sale Unit]],MATCH(tSales[[#This Row],[Product]],tProducts[[Product]],0))&amp;"","")</f>
        <v/>
      </c>
      <c r="N6" s="15">
        <f>IF(IFERROR(INDEX(tProducts[[Reduces Head Count]],MATCH(tSales[[#This Row],[Product]],tProducts[[Product]],0)),"No")="Yes",N(tSales[[#This Row],[Quantity Sold]]),0)</f>
        <v/>
      </c>
      <c r="O6" s="13">
        <f>IFERROR(INDEX(tBatches[[Animal Type]],MATCH(tSales[[#This Row],[Batch ID]],tBatches[[Batch ID]],0)),"")</f>
        <v/>
      </c>
      <c r="P6" s="13">
        <f>IF(AND(tSales[[#This Row],[Date]]="",tSales[[#This Row],[Pen ID]]="",tSales[[#This Row],[Batch ID]]="",tSales[[#This Row],[Product]]="",tSales[[#This Row],[Quantity Sold]]=""),"",IF(tSales[[#This Row],[Date]]="","Missing date",IF(NOT(ISNUMBER(tSales[[#This Row],[Date]])),"Date is not a valid date",IF(tSales[[#This Row],[Product]]="","Missing product",IF(COUNTIF(tProducts[[Product]],tSales[[#This Row],[Product]])=0,"Product not in LISTS",IF(N(tSales[[#This Row],[Quantity Sold]])&lt;=0,"Quantity must be greater than 0",IF(tSales[[#This Row],[Unit Price]]="","Missing unit price",IF(tSales[[#This Row],[Pen ID]]="","Missing Pen ID (or GENERAL)",IF(AND(tSales[[#This Row],[Pen ID]]="GENERAL",tSales[[#This Row],[Batch ID]]&lt;&gt;""),"GENERAL sales cannot carry a batch",IF(AND(tSales[[#This Row],[Pen ID]]="GENERAL",IFERROR(INDEX(tProducts[[Reduces Head Count]],MATCH(tSales[[#This Row],[Product]],tProducts[[Product]],0)),"No")="Yes"),"Animal sales must name the pen &amp; batch",IF(AND(tSales[[#This Row],[Pen ID]]&lt;&gt;"GENERAL",COUNTIF(tPens[[Pen ID]],tSales[[#This Row],[Pen ID]])=0),"Pen "&amp;tSales[[#This Row],[Pen ID]]&amp;" is not in PEN_REGISTER",IF(AND(tSales[[#This Row],[Batch ID]]="",IFERROR(INDEX(tProducts[[Reduces Head Count]],MATCH(tSales[[#This Row],[Product]],tProducts[[Product]],0)),"No")="Yes"),"Missing Batch ID",IF(AND(tSales[[#This Row],[Batch ID]]&lt;&gt;"",COUNTIF(tBatches[[Batch ID]],tSales[[#This Row],[Batch ID]])=0),"Batch is not in BATCH_REGISTER",IF(AND(tSales[[#This Row],[Batch ID]]&lt;&gt;"",COUNTIFS(tBatches[[Batch ID]],tSales[[#This Row],[Batch ID]],tBatches[[Pen ID]],tSales[[#This Row],[Pen ID]])=0),"Batch "&amp;tSales[[#This Row],[Batch ID]]&amp;" belongs to pen "&amp;INDEX(tBatches[[Pen ID]],MATCH(tSales[[#This Row],[Batch ID]],tBatches[[Batch ID]],0)),IF(IFERROR(AND(tSales[[#This Row],[Batch ID]]&lt;&gt;"",tSales[[#This Row],[Date]]&lt;INDEX(tBatches[[Batch Start Date]],MATCH(tSales[[#This Row],[Batch ID]],tBatches[[Batch ID]],0))),FALSE),"Date is before the batch start date",IF(IFERROR(AND(tSales[[#This Row],[Batch ID]]&lt;&gt;"",INDEX(tBatches[[Current Quantity]],MATCH(tSales[[#This Row],[Batch ID]],tBatches[[Batch ID]],0))&lt;0),FALSE),"Sold more animals than the batch holds",IF(tSales[[#This Row],[Payment Method]]="","Missing payment method","OK")))))))))))))))))</f>
        <v/>
      </c>
    </row>
    <row r="7">
      <c r="A7" s="16" t="n">
        <v>46285</v>
      </c>
      <c r="B7" s="13">
        <f>"SA-"&amp;TEXT(ROW()-ROW(tSales[[#Headers],[Date]]),"00000")</f>
        <v/>
      </c>
      <c r="C7" s="12" t="inlineStr">
        <is>
          <t>GENERAL</t>
        </is>
      </c>
      <c r="D7" s="12" t="n"/>
      <c r="E7" s="12" t="inlineStr">
        <is>
          <t>Manure</t>
        </is>
      </c>
      <c r="F7" s="18" t="n">
        <v>10</v>
      </c>
      <c r="G7" s="20" t="n">
        <v>1000</v>
      </c>
      <c r="H7" s="21">
        <f>N(tSales[[#This Row],[Quantity Sold]])*N(tSales[[#This Row],[Unit Price]])</f>
        <v/>
      </c>
      <c r="I7" s="12" t="inlineStr">
        <is>
          <t>Walk-in Customer</t>
        </is>
      </c>
      <c r="J7" s="12" t="inlineStr">
        <is>
          <t>Cash</t>
        </is>
      </c>
      <c r="K7" s="12" t="inlineStr">
        <is>
          <t>SL-003</t>
        </is>
      </c>
      <c r="L7" s="12" t="inlineStr">
        <is>
          <t>SAMPLE DATA - delete or replace</t>
        </is>
      </c>
      <c r="M7" s="13">
        <f>IFERROR(INDEX(tProducts[[Sale Unit]],MATCH(tSales[[#This Row],[Product]],tProducts[[Product]],0))&amp;"","")</f>
        <v/>
      </c>
      <c r="N7" s="15">
        <f>IF(IFERROR(INDEX(tProducts[[Reduces Head Count]],MATCH(tSales[[#This Row],[Product]],tProducts[[Product]],0)),"No")="Yes",N(tSales[[#This Row],[Quantity Sold]]),0)</f>
        <v/>
      </c>
      <c r="O7" s="13">
        <f>IFERROR(INDEX(tBatches[[Animal Type]],MATCH(tSales[[#This Row],[Batch ID]],tBatches[[Batch ID]],0)),"")</f>
        <v/>
      </c>
      <c r="P7" s="13">
        <f>IF(AND(tSales[[#This Row],[Date]]="",tSales[[#This Row],[Pen ID]]="",tSales[[#This Row],[Batch ID]]="",tSales[[#This Row],[Product]]="",tSales[[#This Row],[Quantity Sold]]=""),"",IF(tSales[[#This Row],[Date]]="","Missing date",IF(NOT(ISNUMBER(tSales[[#This Row],[Date]])),"Date is not a valid date",IF(tSales[[#This Row],[Product]]="","Missing product",IF(COUNTIF(tProducts[[Product]],tSales[[#This Row],[Product]])=0,"Product not in LISTS",IF(N(tSales[[#This Row],[Quantity Sold]])&lt;=0,"Quantity must be greater than 0",IF(tSales[[#This Row],[Unit Price]]="","Missing unit price",IF(tSales[[#This Row],[Pen ID]]="","Missing Pen ID (or GENERAL)",IF(AND(tSales[[#This Row],[Pen ID]]="GENERAL",tSales[[#This Row],[Batch ID]]&lt;&gt;""),"GENERAL sales cannot carry a batch",IF(AND(tSales[[#This Row],[Pen ID]]="GENERAL",IFERROR(INDEX(tProducts[[Reduces Head Count]],MATCH(tSales[[#This Row],[Product]],tProducts[[Product]],0)),"No")="Yes"),"Animal sales must name the pen &amp; batch",IF(AND(tSales[[#This Row],[Pen ID]]&lt;&gt;"GENERAL",COUNTIF(tPens[[Pen ID]],tSales[[#This Row],[Pen ID]])=0),"Pen "&amp;tSales[[#This Row],[Pen ID]]&amp;" is not in PEN_REGISTER",IF(AND(tSales[[#This Row],[Batch ID]]="",IFERROR(INDEX(tProducts[[Reduces Head Count]],MATCH(tSales[[#This Row],[Product]],tProducts[[Product]],0)),"No")="Yes"),"Missing Batch ID",IF(AND(tSales[[#This Row],[Batch ID]]&lt;&gt;"",COUNTIF(tBatches[[Batch ID]],tSales[[#This Row],[Batch ID]])=0),"Batch is not in BATCH_REGISTER",IF(AND(tSales[[#This Row],[Batch ID]]&lt;&gt;"",COUNTIFS(tBatches[[Batch ID]],tSales[[#This Row],[Batch ID]],tBatches[[Pen ID]],tSales[[#This Row],[Pen ID]])=0),"Batch "&amp;tSales[[#This Row],[Batch ID]]&amp;" belongs to pen "&amp;INDEX(tBatches[[Pen ID]],MATCH(tSales[[#This Row],[Batch ID]],tBatches[[Batch ID]],0)),IF(IFERROR(AND(tSales[[#This Row],[Batch ID]]&lt;&gt;"",tSales[[#This Row],[Date]]&lt;INDEX(tBatches[[Batch Start Date]],MATCH(tSales[[#This Row],[Batch ID]],tBatches[[Batch ID]],0))),FALSE),"Date is before the batch start date",IF(IFERROR(AND(tSales[[#This Row],[Batch ID]]&lt;&gt;"",INDEX(tBatches[[Current Quantity]],MATCH(tSales[[#This Row],[Batch ID]],tBatches[[Batch ID]],0))&lt;0),FALSE),"Sold more animals than the batch holds",IF(tSales[[#This Row],[Payment Method]]="","Missing payment method","OK")))))))))))))))))</f>
        <v/>
      </c>
    </row>
    <row r="8">
      <c r="A8" s="16" t="n">
        <v>46290</v>
      </c>
      <c r="B8" s="13">
        <f>"SA-"&amp;TEXT(ROW()-ROW(tSales[[#Headers],[Date]]),"00000")</f>
        <v/>
      </c>
      <c r="C8" s="12" t="inlineStr">
        <is>
          <t>P005</t>
        </is>
      </c>
      <c r="D8" s="12" t="inlineStr">
        <is>
          <t>LAYER-JUN-001</t>
        </is>
      </c>
      <c r="E8" s="12" t="inlineStr">
        <is>
          <t>Eggs</t>
        </is>
      </c>
      <c r="F8" s="18" t="n">
        <v>18</v>
      </c>
      <c r="G8" s="20" t="n">
        <v>4900</v>
      </c>
      <c r="H8" s="21">
        <f>N(tSales[[#This Row],[Quantity Sold]])*N(tSales[[#This Row],[Unit Price]])</f>
        <v/>
      </c>
      <c r="I8" s="12" t="inlineStr">
        <is>
          <t>Customer B (sample)</t>
        </is>
      </c>
      <c r="J8" s="12" t="inlineStr">
        <is>
          <t>Credit</t>
        </is>
      </c>
      <c r="K8" s="12" t="inlineStr">
        <is>
          <t>SL-004</t>
        </is>
      </c>
      <c r="L8" s="12" t="inlineStr">
        <is>
          <t>SAMPLE DATA - delete or replace</t>
        </is>
      </c>
      <c r="M8" s="13">
        <f>IFERROR(INDEX(tProducts[[Sale Unit]],MATCH(tSales[[#This Row],[Product]],tProducts[[Product]],0))&amp;"","")</f>
        <v/>
      </c>
      <c r="N8" s="15">
        <f>IF(IFERROR(INDEX(tProducts[[Reduces Head Count]],MATCH(tSales[[#This Row],[Product]],tProducts[[Product]],0)),"No")="Yes",N(tSales[[#This Row],[Quantity Sold]]),0)</f>
        <v/>
      </c>
      <c r="O8" s="13">
        <f>IFERROR(INDEX(tBatches[[Animal Type]],MATCH(tSales[[#This Row],[Batch ID]],tBatches[[Batch ID]],0)),"")</f>
        <v/>
      </c>
      <c r="P8" s="13">
        <f>IF(AND(tSales[[#This Row],[Date]]="",tSales[[#This Row],[Pen ID]]="",tSales[[#This Row],[Batch ID]]="",tSales[[#This Row],[Product]]="",tSales[[#This Row],[Quantity Sold]]=""),"",IF(tSales[[#This Row],[Date]]="","Missing date",IF(NOT(ISNUMBER(tSales[[#This Row],[Date]])),"Date is not a valid date",IF(tSales[[#This Row],[Product]]="","Missing product",IF(COUNTIF(tProducts[[Product]],tSales[[#This Row],[Product]])=0,"Product not in LISTS",IF(N(tSales[[#This Row],[Quantity Sold]])&lt;=0,"Quantity must be greater than 0",IF(tSales[[#This Row],[Unit Price]]="","Missing unit price",IF(tSales[[#This Row],[Pen ID]]="","Missing Pen ID (or GENERAL)",IF(AND(tSales[[#This Row],[Pen ID]]="GENERAL",tSales[[#This Row],[Batch ID]]&lt;&gt;""),"GENERAL sales cannot carry a batch",IF(AND(tSales[[#This Row],[Pen ID]]="GENERAL",IFERROR(INDEX(tProducts[[Reduces Head Count]],MATCH(tSales[[#This Row],[Product]],tProducts[[Product]],0)),"No")="Yes"),"Animal sales must name the pen &amp; batch",IF(AND(tSales[[#This Row],[Pen ID]]&lt;&gt;"GENERAL",COUNTIF(tPens[[Pen ID]],tSales[[#This Row],[Pen ID]])=0),"Pen "&amp;tSales[[#This Row],[Pen ID]]&amp;" is not in PEN_REGISTER",IF(AND(tSales[[#This Row],[Batch ID]]="",IFERROR(INDEX(tProducts[[Reduces Head Count]],MATCH(tSales[[#This Row],[Product]],tProducts[[Product]],0)),"No")="Yes"),"Missing Batch ID",IF(AND(tSales[[#This Row],[Batch ID]]&lt;&gt;"",COUNTIF(tBatches[[Batch ID]],tSales[[#This Row],[Batch ID]])=0),"Batch is not in BATCH_REGISTER",IF(AND(tSales[[#This Row],[Batch ID]]&lt;&gt;"",COUNTIFS(tBatches[[Batch ID]],tSales[[#This Row],[Batch ID]],tBatches[[Pen ID]],tSales[[#This Row],[Pen ID]])=0),"Batch "&amp;tSales[[#This Row],[Batch ID]]&amp;" belongs to pen "&amp;INDEX(tBatches[[Pen ID]],MATCH(tSales[[#This Row],[Batch ID]],tBatches[[Batch ID]],0)),IF(IFERROR(AND(tSales[[#This Row],[Batch ID]]&lt;&gt;"",tSales[[#This Row],[Date]]&lt;INDEX(tBatches[[Batch Start Date]],MATCH(tSales[[#This Row],[Batch ID]],tBatches[[Batch ID]],0))),FALSE),"Date is before the batch start date",IF(IFERROR(AND(tSales[[#This Row],[Batch ID]]&lt;&gt;"",INDEX(tBatches[[Current Quantity]],MATCH(tSales[[#This Row],[Batch ID]],tBatches[[Batch ID]],0))&lt;0),FALSE),"Sold more animals than the batch holds",IF(tSales[[#This Row],[Payment Method]]="","Missing payment method","OK")))))))))))))))))</f>
        <v/>
      </c>
    </row>
  </sheetData>
  <conditionalFormatting sqref="P5:P5000">
    <cfRule type="expression" priority="1" dxfId="0">
      <formula>AND(P5&lt;&gt;"",P5&lt;&gt;"OK")</formula>
    </cfRule>
    <cfRule type="expression" priority="2" dxfId="1">
      <formula>P5="OK"</formula>
    </cfRule>
  </conditionalFormatting>
  <dataValidations count="8">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L_PensGen</formula1>
    </dataValidation>
    <dataValidation sqref="D5:D5000" showDropDown="0" showInputMessage="0" showErrorMessage="1" allowBlank="1" errorTitle="Not in list" error="Choose a value from the dropdown list (lists are maintained on the LISTS / register sheets)." type="list">
      <formula1>L_Batches</formula1>
    </dataValidation>
    <dataValidation sqref="E5:E5000" showDropDown="0" showInputMessage="0" showErrorMessage="1" allowBlank="1" errorTitle="Not in list" error="Choose a value from the dropdown list (lists are maintained on the LISTS / register sheets)." type="list">
      <formula1>L_Products</formula1>
    </dataValidation>
    <dataValidation sqref="F5:F5000" showDropDown="0" showInputMessage="0" showErrorMessage="1" allowBlank="1" errorTitle="Invalid number" error="Enter a number that is zero or greater (no text, no negative values)." type="decimal" operator="greaterThanOrEqual">
      <formula1>0</formula1>
    </dataValidation>
    <dataValidation sqref="G5:G5000" showDropDown="0" showInputMessage="0" showErrorMessage="1" allowBlank="1" errorTitle="Invalid number" error="Enter a number that is zero or greater (no text, no negative values)." type="decimal" operator="greaterThanOrEqual">
      <formula1>0</formula1>
    </dataValidation>
    <dataValidation sqref="I5:I5000" showDropDown="0" showInputMessage="0" showErrorMessage="0" allowBlank="1" errorTitle="Not in list" error="Choose a value from the dropdown list (lists are maintained on the LISTS / register sheets)." type="list">
      <formula1>L_Customers</formula1>
    </dataValidation>
    <dataValidation sqref="J5:J5000" showDropDown="0" showInputMessage="0" showErrorMessage="1" allowBlank="1" errorTitle="Not in list" error="Choose a value from the dropdown list (lists are maintained on the LISTS / register sheets)." type="list">
      <formula1>L_Pay</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M17"/>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22" customWidth="1" min="3" max="3"/>
    <col width="30" customWidth="1" min="4" max="4"/>
    <col width="10" customWidth="1" min="5" max="5"/>
    <col width="18" customWidth="1" min="6" max="6"/>
    <col width="12" customWidth="1" min="7" max="7"/>
    <col width="10" customWidth="1" min="8" max="8"/>
    <col width="10" customWidth="1" min="9" max="9"/>
    <col width="26" customWidth="1" min="10" max="10"/>
    <col width="16" customWidth="1" min="11" max="11"/>
    <col width="10" customWidth="1" min="12" max="12"/>
    <col width="30" customWidth="1" min="13" max="13"/>
  </cols>
  <sheetData>
    <row r="1">
      <c r="A1" s="1" t="inlineStr">
        <is>
          <t>OTHER EXPENSES</t>
        </is>
      </c>
    </row>
    <row r="2">
      <c r="A2" s="7" t="inlineStr">
        <is>
          <t>All costs other than feed &amp; drugs (chicks, labour, power, repairs...). Use GENERAL for farm-wide costs; add a Batch ID when the cost belongs to one production cycle.</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Expense ID</t>
        </is>
      </c>
      <c r="C4" s="9" t="inlineStr">
        <is>
          <t>Category</t>
        </is>
      </c>
      <c r="D4" s="9" t="inlineStr">
        <is>
          <t>Description</t>
        </is>
      </c>
      <c r="E4" s="9" t="inlineStr">
        <is>
          <t>Pen ID / General</t>
        </is>
      </c>
      <c r="F4" s="9" t="inlineStr">
        <is>
          <t>Batch ID (if applicable)</t>
        </is>
      </c>
      <c r="G4" s="9" t="inlineStr">
        <is>
          <t>Amount</t>
        </is>
      </c>
      <c r="H4" s="9" t="inlineStr">
        <is>
          <t>Payment Method</t>
        </is>
      </c>
      <c r="I4" s="9" t="inlineStr">
        <is>
          <t>Reference</t>
        </is>
      </c>
      <c r="J4" s="9" t="inlineStr">
        <is>
          <t>Notes</t>
        </is>
      </c>
      <c r="K4" s="10" t="inlineStr">
        <is>
          <t>Cost Level</t>
        </is>
      </c>
      <c r="L4" s="10" t="inlineStr">
        <is>
          <t>Animal Type</t>
        </is>
      </c>
      <c r="M4" s="10" t="inlineStr">
        <is>
          <t>Check</t>
        </is>
      </c>
    </row>
    <row r="5">
      <c r="A5" s="16" t="n">
        <v>46174</v>
      </c>
      <c r="B5" s="13">
        <f>"EX-"&amp;TEXT(ROW()-ROW(tExp[[#Headers],[Date]]),"00000")</f>
        <v/>
      </c>
      <c r="C5" s="12" t="inlineStr">
        <is>
          <t>Day-old Chicks / Stock Purchase</t>
        </is>
      </c>
      <c r="D5" s="12" t="inlineStr">
        <is>
          <t>400 point-of-lay pullets</t>
        </is>
      </c>
      <c r="E5" s="12" t="inlineStr">
        <is>
          <t>P005</t>
        </is>
      </c>
      <c r="F5" s="12" t="inlineStr">
        <is>
          <t>LAYER-JUN-001</t>
        </is>
      </c>
      <c r="G5" s="20" t="n">
        <v>1400000</v>
      </c>
      <c r="H5" s="12" t="inlineStr">
        <is>
          <t>Transfer</t>
        </is>
      </c>
      <c r="I5" s="12" t="n"/>
      <c r="J5" s="12" t="inlineStr">
        <is>
          <t>SAMPLE DATA - delete or replace</t>
        </is>
      </c>
      <c r="K5" s="13">
        <f>IF(tExp[[#This Row],[Pen ID / General]]="","",IF(tExp[[#This Row],[Pen ID / General]]="GENERAL","General overhead",IF(tExp[[#This Row],[Batch ID (if applicable)]]="","Pen-level","Batch direct")))</f>
        <v/>
      </c>
      <c r="L5" s="13">
        <f>IF(tExp[[#This Row],[Batch ID (if applicable)]]&lt;&gt;"",IFERROR(INDEX(tBatches[[Animal Type]],MATCH(tExp[[#This Row],[Batch ID (if applicable)]],tBatches[[Batch ID]],0)),""),IFERROR(INDEX(tPens[[Animal Type]],MATCH(tExp[[#This Row],[Pen ID / General]],tPens[[Pen ID]],0))&amp;"",""))</f>
        <v/>
      </c>
      <c r="M5"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6">
      <c r="A6" s="16" t="n">
        <v>46204</v>
      </c>
      <c r="B6" s="13">
        <f>"EX-"&amp;TEXT(ROW()-ROW(tExp[[#Headers],[Date]]),"00000")</f>
        <v/>
      </c>
      <c r="C6" s="12" t="inlineStr">
        <is>
          <t>Day-old Chicks / Stock Purchase</t>
        </is>
      </c>
      <c r="D6" s="12" t="inlineStr">
        <is>
          <t>300 day-old chicks</t>
        </is>
      </c>
      <c r="E6" s="12" t="inlineStr">
        <is>
          <t>P006</t>
        </is>
      </c>
      <c r="F6" s="12" t="inlineStr">
        <is>
          <t>BROILER-JUL-001</t>
        </is>
      </c>
      <c r="G6" s="20" t="n">
        <v>210000</v>
      </c>
      <c r="H6" s="12" t="inlineStr">
        <is>
          <t>Transfer</t>
        </is>
      </c>
      <c r="I6" s="12" t="n"/>
      <c r="J6" s="12" t="inlineStr">
        <is>
          <t>SAMPLE DATA - delete or replace</t>
        </is>
      </c>
      <c r="K6" s="13">
        <f>IF(tExp[[#This Row],[Pen ID / General]]="","",IF(tExp[[#This Row],[Pen ID / General]]="GENERAL","General overhead",IF(tExp[[#This Row],[Batch ID (if applicable)]]="","Pen-level","Batch direct")))</f>
        <v/>
      </c>
      <c r="L6" s="13">
        <f>IF(tExp[[#This Row],[Batch ID (if applicable)]]&lt;&gt;"",IFERROR(INDEX(tBatches[[Animal Type]],MATCH(tExp[[#This Row],[Batch ID (if applicable)]],tBatches[[Batch ID]],0)),""),IFERROR(INDEX(tPens[[Animal Type]],MATCH(tExp[[#This Row],[Pen ID / General]],tPens[[Pen ID]],0))&amp;"",""))</f>
        <v/>
      </c>
      <c r="M6"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7">
      <c r="A7" s="16" t="n">
        <v>46204</v>
      </c>
      <c r="B7" s="13">
        <f>"EX-"&amp;TEXT(ROW()-ROW(tExp[[#Headers],[Date]]),"00000")</f>
        <v/>
      </c>
      <c r="C7" s="12" t="inlineStr">
        <is>
          <t>Litter / Bedding</t>
        </is>
      </c>
      <c r="D7" s="12" t="inlineStr">
        <is>
          <t>Wood shavings</t>
        </is>
      </c>
      <c r="E7" s="12" t="inlineStr">
        <is>
          <t>P006</t>
        </is>
      </c>
      <c r="F7" s="12" t="inlineStr">
        <is>
          <t>BROILER-JUL-001</t>
        </is>
      </c>
      <c r="G7" s="20" t="n">
        <v>12000</v>
      </c>
      <c r="H7" s="12" t="inlineStr">
        <is>
          <t>Cash</t>
        </is>
      </c>
      <c r="I7" s="12" t="n"/>
      <c r="J7" s="12" t="inlineStr">
        <is>
          <t>SAMPLE DATA - delete or replace</t>
        </is>
      </c>
      <c r="K7" s="13">
        <f>IF(tExp[[#This Row],[Pen ID / General]]="","",IF(tExp[[#This Row],[Pen ID / General]]="GENERAL","General overhead",IF(tExp[[#This Row],[Batch ID (if applicable)]]="","Pen-level","Batch direct")))</f>
        <v/>
      </c>
      <c r="L7" s="13">
        <f>IF(tExp[[#This Row],[Batch ID (if applicable)]]&lt;&gt;"",IFERROR(INDEX(tBatches[[Animal Type]],MATCH(tExp[[#This Row],[Batch ID (if applicable)]],tBatches[[Batch ID]],0)),""),IFERROR(INDEX(tPens[[Animal Type]],MATCH(tExp[[#This Row],[Pen ID / General]],tPens[[Pen ID]],0))&amp;"",""))</f>
        <v/>
      </c>
      <c r="M7"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8">
      <c r="A8" s="16" t="n">
        <v>46234</v>
      </c>
      <c r="B8" s="13">
        <f>"EX-"&amp;TEXT(ROW()-ROW(tExp[[#Headers],[Date]]),"00000")</f>
        <v/>
      </c>
      <c r="C8" s="12" t="inlineStr">
        <is>
          <t>Labour</t>
        </is>
      </c>
      <c r="D8" s="12" t="inlineStr">
        <is>
          <t>July wages - all pens</t>
        </is>
      </c>
      <c r="E8" s="12" t="inlineStr">
        <is>
          <t>GENERAL</t>
        </is>
      </c>
      <c r="F8" s="12" t="n"/>
      <c r="G8" s="20" t="n">
        <v>150000</v>
      </c>
      <c r="H8" s="12" t="inlineStr">
        <is>
          <t>Transfer</t>
        </is>
      </c>
      <c r="I8" s="12" t="n"/>
      <c r="J8" s="12" t="inlineStr">
        <is>
          <t>SAMPLE DATA - delete or replace</t>
        </is>
      </c>
      <c r="K8" s="13">
        <f>IF(tExp[[#This Row],[Pen ID / General]]="","",IF(tExp[[#This Row],[Pen ID / General]]="GENERAL","General overhead",IF(tExp[[#This Row],[Batch ID (if applicable)]]="","Pen-level","Batch direct")))</f>
        <v/>
      </c>
      <c r="L8" s="13">
        <f>IF(tExp[[#This Row],[Batch ID (if applicable)]]&lt;&gt;"",IFERROR(INDEX(tBatches[[Animal Type]],MATCH(tExp[[#This Row],[Batch ID (if applicable)]],tBatches[[Batch ID]],0)),""),IFERROR(INDEX(tPens[[Animal Type]],MATCH(tExp[[#This Row],[Pen ID / General]],tPens[[Pen ID]],0))&amp;"",""))</f>
        <v/>
      </c>
      <c r="M8"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9">
      <c r="A9" s="16" t="n">
        <v>46252</v>
      </c>
      <c r="B9" s="13">
        <f>"EX-"&amp;TEXT(ROW()-ROW(tExp[[#Headers],[Date]]),"00000")</f>
        <v/>
      </c>
      <c r="C9" s="12" t="inlineStr">
        <is>
          <t>Transport</t>
        </is>
      </c>
      <c r="D9" s="12" t="inlineStr">
        <is>
          <t>Delivery of birds to market</t>
        </is>
      </c>
      <c r="E9" s="12" t="inlineStr">
        <is>
          <t>P006</t>
        </is>
      </c>
      <c r="F9" s="12" t="inlineStr">
        <is>
          <t>BROILER-JUL-001</t>
        </is>
      </c>
      <c r="G9" s="20" t="n">
        <v>15000</v>
      </c>
      <c r="H9" s="12" t="inlineStr">
        <is>
          <t>Cash</t>
        </is>
      </c>
      <c r="I9" s="12" t="n"/>
      <c r="J9" s="12" t="inlineStr">
        <is>
          <t>SAMPLE DATA - delete or replace</t>
        </is>
      </c>
      <c r="K9" s="13">
        <f>IF(tExp[[#This Row],[Pen ID / General]]="","",IF(tExp[[#This Row],[Pen ID / General]]="GENERAL","General overhead",IF(tExp[[#This Row],[Batch ID (if applicable)]]="","Pen-level","Batch direct")))</f>
        <v/>
      </c>
      <c r="L9" s="13">
        <f>IF(tExp[[#This Row],[Batch ID (if applicable)]]&lt;&gt;"",IFERROR(INDEX(tBatches[[Animal Type]],MATCH(tExp[[#This Row],[Batch ID (if applicable)]],tBatches[[Batch ID]],0)),""),IFERROR(INDEX(tPens[[Animal Type]],MATCH(tExp[[#This Row],[Pen ID / General]],tPens[[Pen ID]],0))&amp;"",""))</f>
        <v/>
      </c>
      <c r="M9"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10">
      <c r="A10" s="16" t="n">
        <v>46265</v>
      </c>
      <c r="B10" s="13">
        <f>"EX-"&amp;TEXT(ROW()-ROW(tExp[[#Headers],[Date]]),"00000")</f>
        <v/>
      </c>
      <c r="C10" s="12" t="inlineStr">
        <is>
          <t>Labour</t>
        </is>
      </c>
      <c r="D10" s="12" t="inlineStr">
        <is>
          <t>August wages - all pens</t>
        </is>
      </c>
      <c r="E10" s="12" t="inlineStr">
        <is>
          <t>GENERAL</t>
        </is>
      </c>
      <c r="F10" s="12" t="n"/>
      <c r="G10" s="20" t="n">
        <v>150000</v>
      </c>
      <c r="H10" s="12" t="inlineStr">
        <is>
          <t>Transfer</t>
        </is>
      </c>
      <c r="I10" s="12" t="n"/>
      <c r="J10" s="12" t="inlineStr">
        <is>
          <t>SAMPLE DATA - delete or replace</t>
        </is>
      </c>
      <c r="K10" s="13">
        <f>IF(tExp[[#This Row],[Pen ID / General]]="","",IF(tExp[[#This Row],[Pen ID / General]]="GENERAL","General overhead",IF(tExp[[#This Row],[Batch ID (if applicable)]]="","Pen-level","Batch direct")))</f>
        <v/>
      </c>
      <c r="L10" s="13">
        <f>IF(tExp[[#This Row],[Batch ID (if applicable)]]&lt;&gt;"",IFERROR(INDEX(tBatches[[Animal Type]],MATCH(tExp[[#This Row],[Batch ID (if applicable)]],tBatches[[Batch ID]],0)),""),IFERROR(INDEX(tPens[[Animal Type]],MATCH(tExp[[#This Row],[Pen ID / General]],tPens[[Pen ID]],0))&amp;"",""))</f>
        <v/>
      </c>
      <c r="M10"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11">
      <c r="A11" s="16" t="n">
        <v>46266</v>
      </c>
      <c r="B11" s="13">
        <f>"EX-"&amp;TEXT(ROW()-ROW(tExp[[#Headers],[Date]]),"00000")</f>
        <v/>
      </c>
      <c r="C11" s="12" t="inlineStr">
        <is>
          <t>Day-old Chicks / Stock Purchase</t>
        </is>
      </c>
      <c r="D11" s="12" t="inlineStr">
        <is>
          <t>500 day-old chicks</t>
        </is>
      </c>
      <c r="E11" s="12" t="inlineStr">
        <is>
          <t>P001</t>
        </is>
      </c>
      <c r="F11" s="12" t="inlineStr">
        <is>
          <t>BROILER-SEP-001</t>
        </is>
      </c>
      <c r="G11" s="20" t="n">
        <v>425000</v>
      </c>
      <c r="H11" s="12" t="inlineStr">
        <is>
          <t>Transfer</t>
        </is>
      </c>
      <c r="I11" s="12" t="n"/>
      <c r="J11" s="12" t="inlineStr">
        <is>
          <t>SAMPLE DATA - delete or replace</t>
        </is>
      </c>
      <c r="K11" s="13">
        <f>IF(tExp[[#This Row],[Pen ID / General]]="","",IF(tExp[[#This Row],[Pen ID / General]]="GENERAL","General overhead",IF(tExp[[#This Row],[Batch ID (if applicable)]]="","Pen-level","Batch direct")))</f>
        <v/>
      </c>
      <c r="L11" s="13">
        <f>IF(tExp[[#This Row],[Batch ID (if applicable)]]&lt;&gt;"",IFERROR(INDEX(tBatches[[Animal Type]],MATCH(tExp[[#This Row],[Batch ID (if applicable)]],tBatches[[Batch ID]],0)),""),IFERROR(INDEX(tPens[[Animal Type]],MATCH(tExp[[#This Row],[Pen ID / General]],tPens[[Pen ID]],0))&amp;"",""))</f>
        <v/>
      </c>
      <c r="M11"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12">
      <c r="A12" s="16" t="n">
        <v>46266</v>
      </c>
      <c r="B12" s="13">
        <f>"EX-"&amp;TEXT(ROW()-ROW(tExp[[#Headers],[Date]]),"00000")</f>
        <v/>
      </c>
      <c r="C12" s="12" t="inlineStr">
        <is>
          <t>Day-old Chicks / Stock Purchase</t>
        </is>
      </c>
      <c r="D12" s="12" t="inlineStr">
        <is>
          <t>600 day-old chicks</t>
        </is>
      </c>
      <c r="E12" s="12" t="inlineStr">
        <is>
          <t>P002</t>
        </is>
      </c>
      <c r="F12" s="12" t="inlineStr">
        <is>
          <t>BROILER-SEP-002</t>
        </is>
      </c>
      <c r="G12" s="20" t="n">
        <v>510000</v>
      </c>
      <c r="H12" s="12" t="inlineStr">
        <is>
          <t>Transfer</t>
        </is>
      </c>
      <c r="I12" s="12" t="n"/>
      <c r="J12" s="12" t="inlineStr">
        <is>
          <t>SAMPLE DATA - delete or replace</t>
        </is>
      </c>
      <c r="K12" s="13">
        <f>IF(tExp[[#This Row],[Pen ID / General]]="","",IF(tExp[[#This Row],[Pen ID / General]]="GENERAL","General overhead",IF(tExp[[#This Row],[Batch ID (if applicable)]]="","Pen-level","Batch direct")))</f>
        <v/>
      </c>
      <c r="L12" s="13">
        <f>IF(tExp[[#This Row],[Batch ID (if applicable)]]&lt;&gt;"",IFERROR(INDEX(tBatches[[Animal Type]],MATCH(tExp[[#This Row],[Batch ID (if applicable)]],tBatches[[Batch ID]],0)),""),IFERROR(INDEX(tPens[[Animal Type]],MATCH(tExp[[#This Row],[Pen ID / General]],tPens[[Pen ID]],0))&amp;"",""))</f>
        <v/>
      </c>
      <c r="M12"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13">
      <c r="A13" s="16" t="n">
        <v>46267</v>
      </c>
      <c r="B13" s="13">
        <f>"EX-"&amp;TEXT(ROW()-ROW(tExp[[#Headers],[Date]]),"00000")</f>
        <v/>
      </c>
      <c r="C13" s="12" t="inlineStr">
        <is>
          <t>Day-old Chicks / Stock Purchase</t>
        </is>
      </c>
      <c r="D13" s="12" t="inlineStr">
        <is>
          <t>450 day-old chicks</t>
        </is>
      </c>
      <c r="E13" s="12" t="inlineStr">
        <is>
          <t>P003</t>
        </is>
      </c>
      <c r="F13" s="12" t="inlineStr">
        <is>
          <t>BROILER-SEP-003</t>
        </is>
      </c>
      <c r="G13" s="20" t="n">
        <v>382500</v>
      </c>
      <c r="H13" s="12" t="inlineStr">
        <is>
          <t>Transfer</t>
        </is>
      </c>
      <c r="I13" s="12" t="n"/>
      <c r="J13" s="12" t="inlineStr">
        <is>
          <t>SAMPLE DATA - delete or replace</t>
        </is>
      </c>
      <c r="K13" s="13">
        <f>IF(tExp[[#This Row],[Pen ID / General]]="","",IF(tExp[[#This Row],[Pen ID / General]]="GENERAL","General overhead",IF(tExp[[#This Row],[Batch ID (if applicable)]]="","Pen-level","Batch direct")))</f>
        <v/>
      </c>
      <c r="L13" s="13">
        <f>IF(tExp[[#This Row],[Batch ID (if applicable)]]&lt;&gt;"",IFERROR(INDEX(tBatches[[Animal Type]],MATCH(tExp[[#This Row],[Batch ID (if applicable)]],tBatches[[Batch ID]],0)),""),IFERROR(INDEX(tPens[[Animal Type]],MATCH(tExp[[#This Row],[Pen ID / General]],tPens[[Pen ID]],0))&amp;"",""))</f>
        <v/>
      </c>
      <c r="M13"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14">
      <c r="A14" s="16" t="n">
        <v>46267</v>
      </c>
      <c r="B14" s="13">
        <f>"EX-"&amp;TEXT(ROW()-ROW(tExp[[#Headers],[Date]]),"00000")</f>
        <v/>
      </c>
      <c r="C14" s="12" t="inlineStr">
        <is>
          <t>Day-old Chicks / Stock Purchase</t>
        </is>
      </c>
      <c r="D14" s="12" t="inlineStr">
        <is>
          <t>550 day-old chicks</t>
        </is>
      </c>
      <c r="E14" s="12" t="inlineStr">
        <is>
          <t>P004</t>
        </is>
      </c>
      <c r="F14" s="12" t="inlineStr">
        <is>
          <t>BROILER-SEP-004</t>
        </is>
      </c>
      <c r="G14" s="20" t="n">
        <v>467500</v>
      </c>
      <c r="H14" s="12" t="inlineStr">
        <is>
          <t>Transfer</t>
        </is>
      </c>
      <c r="I14" s="12" t="n"/>
      <c r="J14" s="12" t="inlineStr">
        <is>
          <t>SAMPLE DATA - delete or replace</t>
        </is>
      </c>
      <c r="K14" s="13">
        <f>IF(tExp[[#This Row],[Pen ID / General]]="","",IF(tExp[[#This Row],[Pen ID / General]]="GENERAL","General overhead",IF(tExp[[#This Row],[Batch ID (if applicable)]]="","Pen-level","Batch direct")))</f>
        <v/>
      </c>
      <c r="L14" s="13">
        <f>IF(tExp[[#This Row],[Batch ID (if applicable)]]&lt;&gt;"",IFERROR(INDEX(tBatches[[Animal Type]],MATCH(tExp[[#This Row],[Batch ID (if applicable)]],tBatches[[Batch ID]],0)),""),IFERROR(INDEX(tPens[[Animal Type]],MATCH(tExp[[#This Row],[Pen ID / General]],tPens[[Pen ID]],0))&amp;"",""))</f>
        <v/>
      </c>
      <c r="M14"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15">
      <c r="A15" s="16" t="n">
        <v>46266</v>
      </c>
      <c r="B15" s="13">
        <f>"EX-"&amp;TEXT(ROW()-ROW(tExp[[#Headers],[Date]]),"00000")</f>
        <v/>
      </c>
      <c r="C15" s="12" t="inlineStr">
        <is>
          <t>Litter / Bedding</t>
        </is>
      </c>
      <c r="D15" s="12" t="inlineStr">
        <is>
          <t>Wood shavings</t>
        </is>
      </c>
      <c r="E15" s="12" t="inlineStr">
        <is>
          <t>P001</t>
        </is>
      </c>
      <c r="F15" s="12" t="inlineStr">
        <is>
          <t>BROILER-SEP-001</t>
        </is>
      </c>
      <c r="G15" s="20" t="n">
        <v>12000</v>
      </c>
      <c r="H15" s="12" t="inlineStr">
        <is>
          <t>Cash</t>
        </is>
      </c>
      <c r="I15" s="12" t="n"/>
      <c r="J15" s="12" t="inlineStr">
        <is>
          <t>SAMPLE DATA - delete or replace</t>
        </is>
      </c>
      <c r="K15" s="13">
        <f>IF(tExp[[#This Row],[Pen ID / General]]="","",IF(tExp[[#This Row],[Pen ID / General]]="GENERAL","General overhead",IF(tExp[[#This Row],[Batch ID (if applicable)]]="","Pen-level","Batch direct")))</f>
        <v/>
      </c>
      <c r="L15" s="13">
        <f>IF(tExp[[#This Row],[Batch ID (if applicable)]]&lt;&gt;"",IFERROR(INDEX(tBatches[[Animal Type]],MATCH(tExp[[#This Row],[Batch ID (if applicable)]],tBatches[[Batch ID]],0)),""),IFERROR(INDEX(tPens[[Animal Type]],MATCH(tExp[[#This Row],[Pen ID / General]],tPens[[Pen ID]],0))&amp;"",""))</f>
        <v/>
      </c>
      <c r="M15"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16">
      <c r="A16" s="16" t="n">
        <v>46276</v>
      </c>
      <c r="B16" s="13">
        <f>"EX-"&amp;TEXT(ROW()-ROW(tExp[[#Headers],[Date]]),"00000")</f>
        <v/>
      </c>
      <c r="C16" s="12" t="inlineStr">
        <is>
          <t>Repairs</t>
        </is>
      </c>
      <c r="D16" s="12" t="inlineStr">
        <is>
          <t>Roof repair - P002 (pen-level, no batch)</t>
        </is>
      </c>
      <c r="E16" s="12" t="inlineStr">
        <is>
          <t>P002</t>
        </is>
      </c>
      <c r="F16" s="12" t="n"/>
      <c r="G16" s="20" t="n">
        <v>18000</v>
      </c>
      <c r="H16" s="12" t="inlineStr">
        <is>
          <t>Cash</t>
        </is>
      </c>
      <c r="I16" s="12" t="n"/>
      <c r="J16" s="12" t="inlineStr">
        <is>
          <t>SAMPLE DATA - delete or replace</t>
        </is>
      </c>
      <c r="K16" s="13">
        <f>IF(tExp[[#This Row],[Pen ID / General]]="","",IF(tExp[[#This Row],[Pen ID / General]]="GENERAL","General overhead",IF(tExp[[#This Row],[Batch ID (if applicable)]]="","Pen-level","Batch direct")))</f>
        <v/>
      </c>
      <c r="L16" s="13">
        <f>IF(tExp[[#This Row],[Batch ID (if applicable)]]&lt;&gt;"",IFERROR(INDEX(tBatches[[Animal Type]],MATCH(tExp[[#This Row],[Batch ID (if applicable)]],tBatches[[Batch ID]],0)),""),IFERROR(INDEX(tPens[[Animal Type]],MATCH(tExp[[#This Row],[Pen ID / General]],tPens[[Pen ID]],0))&amp;"",""))</f>
        <v/>
      </c>
      <c r="M16"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row r="17">
      <c r="A17" s="16" t="n">
        <v>46291</v>
      </c>
      <c r="B17" s="13">
        <f>"EX-"&amp;TEXT(ROW()-ROW(tExp[[#Headers],[Date]]),"00000")</f>
        <v/>
      </c>
      <c r="C17" s="12" t="inlineStr">
        <is>
          <t>Electricity</t>
        </is>
      </c>
      <c r="D17" s="12" t="inlineStr">
        <is>
          <t>September electricity bill</t>
        </is>
      </c>
      <c r="E17" s="12" t="inlineStr">
        <is>
          <t>GENERAL</t>
        </is>
      </c>
      <c r="F17" s="12" t="n"/>
      <c r="G17" s="20" t="n">
        <v>35000</v>
      </c>
      <c r="H17" s="12" t="inlineStr">
        <is>
          <t>Transfer</t>
        </is>
      </c>
      <c r="I17" s="12" t="n"/>
      <c r="J17" s="12" t="inlineStr">
        <is>
          <t>SAMPLE DATA - delete or replace</t>
        </is>
      </c>
      <c r="K17" s="13">
        <f>IF(tExp[[#This Row],[Pen ID / General]]="","",IF(tExp[[#This Row],[Pen ID / General]]="GENERAL","General overhead",IF(tExp[[#This Row],[Batch ID (if applicable)]]="","Pen-level","Batch direct")))</f>
        <v/>
      </c>
      <c r="L17" s="13">
        <f>IF(tExp[[#This Row],[Batch ID (if applicable)]]&lt;&gt;"",IFERROR(INDEX(tBatches[[Animal Type]],MATCH(tExp[[#This Row],[Batch ID (if applicable)]],tBatches[[Batch ID]],0)),""),IFERROR(INDEX(tPens[[Animal Type]],MATCH(tExp[[#This Row],[Pen ID / General]],tPens[[Pen ID]],0))&amp;"",""))</f>
        <v/>
      </c>
      <c r="M17" s="13">
        <f>IF(AND(tExp[[#This Row],[Date]]="",tExp[[#This Row],[Category]]="",tExp[[#This Row],[Pen ID / General]]="",tExp[[#This Row],[Amount]]=""),"",IF(tExp[[#This Row],[Date]]="","Missing date",IF(NOT(ISNUMBER(tExp[[#This Row],[Date]])),"Date is not a valid date",IF(tExp[[#This Row],[Category]]="","Missing category",IF(N(tExp[[#This Row],[Amount]])&lt;=0,"Amount must be greater than 0",IF(tExp[[#This Row],[Pen ID / General]]="","Enter a Pen ID or GENERAL",IF(AND(tExp[[#This Row],[Pen ID / General]]&lt;&gt;"GENERAL",COUNTIF(tPens[[Pen ID]],tExp[[#This Row],[Pen ID / General]])=0),"Pen "&amp;tExp[[#This Row],[Pen ID / General]]&amp;" is not in PEN_REGISTER",IF(AND(tExp[[#This Row],[Pen ID / General]]="GENERAL",tExp[[#This Row],[Batch ID (if applicable)]]&lt;&gt;""),"GENERAL expenses cannot carry a batch",IF(AND(tExp[[#This Row],[Batch ID (if applicable)]]&lt;&gt;"",COUNTIF(tBatches[[Batch ID]],tExp[[#This Row],[Batch ID (if applicable)]])=0),"Batch is not in BATCH_REGISTER",IF(AND(tExp[[#This Row],[Batch ID (if applicable)]]&lt;&gt;"",COUNTIFS(tBatches[[Batch ID]],tExp[[#This Row],[Batch ID (if applicable)]],tBatches[[Pen ID]],tExp[[#This Row],[Pen ID / General]])=0),"Batch "&amp;tExp[[#This Row],[Batch ID (if applicable)]]&amp;" belongs to pen "&amp;INDEX(tBatches[[Pen ID]],MATCH(tExp[[#This Row],[Batch ID (if applicable)]],tBatches[[Batch ID]],0)),IF(tExp[[#This Row],[Payment Method]]="","Missing payment method","OK")))))))))))</f>
        <v/>
      </c>
    </row>
  </sheetData>
  <conditionalFormatting sqref="M5:M5000">
    <cfRule type="expression" priority="1" dxfId="0">
      <formula>AND(M5&lt;&gt;"",M5&lt;&gt;"OK")</formula>
    </cfRule>
    <cfRule type="expression" priority="2" dxfId="1">
      <formula>M5="OK"</formula>
    </cfRule>
  </conditionalFormatting>
  <dataValidations count="6">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L_ExpCat</formula1>
    </dataValidation>
    <dataValidation sqref="E5:E5000" showDropDown="0" showInputMessage="0" showErrorMessage="1" allowBlank="1" errorTitle="Not in list" error="Choose a value from the dropdown list (lists are maintained on the LISTS / register sheets)." type="list">
      <formula1>L_PensGen</formula1>
    </dataValidation>
    <dataValidation sqref="F5:F5000" showDropDown="0" showInputMessage="0" showErrorMessage="1" allowBlank="1" errorTitle="Not in list" error="Choose a value from the dropdown list (lists are maintained on the LISTS / register sheets)." type="list">
      <formula1>L_Batches</formula1>
    </dataValidation>
    <dataValidation sqref="G5:G5000" showDropDown="0" showInputMessage="0" showErrorMessage="1" allowBlank="1" errorTitle="Invalid number" error="Enter a number that is zero or greater (no text, no negative values)." type="decimal" operator="greaterThanOrEqual">
      <formula1>0</formula1>
    </dataValidation>
    <dataValidation sqref="H5:H5000" showDropDown="0" showInputMessage="0" showErrorMessage="1" allowBlank="1" errorTitle="Not in list" error="Choose a value from the dropdown list (lists are maintained on the LISTS / register sheets)." type="list">
      <formula1>L_Pay</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32"/>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20" customWidth="1" min="3" max="3"/>
    <col width="20" customWidth="1" min="4" max="4"/>
    <col width="32" customWidth="1" min="5" max="5"/>
    <col width="10" customWidth="1" min="6" max="6"/>
    <col width="13" customWidth="1" min="7" max="7"/>
    <col width="13" customWidth="1" min="8" max="8"/>
    <col width="14" customWidth="1" min="9" max="9"/>
    <col width="10" customWidth="1" min="10" max="10"/>
    <col width="12" customWidth="1" min="11" max="11"/>
    <col width="28" customWidth="1" min="12" max="12"/>
  </cols>
  <sheetData>
    <row r="1">
      <c r="A1" s="1" t="inlineStr">
        <is>
          <t>CASHBOOK</t>
        </is>
      </c>
    </row>
    <row r="2">
      <c r="A2" s="7" t="inlineStr">
        <is>
          <t>Actual money in and out (cash + bank) in date order. This is cash movement, NOT profit: buying feed is cash out today but becomes cost only when the feed is issued.</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Entry ID</t>
        </is>
      </c>
      <c r="C4" s="9" t="inlineStr">
        <is>
          <t>Type</t>
        </is>
      </c>
      <c r="D4" s="9" t="inlineStr">
        <is>
          <t>Category</t>
        </is>
      </c>
      <c r="E4" s="9" t="inlineStr">
        <is>
          <t>Description</t>
        </is>
      </c>
      <c r="F4" s="9" t="inlineStr">
        <is>
          <t>Pen ID / General</t>
        </is>
      </c>
      <c r="G4" s="9" t="inlineStr">
        <is>
          <t>Money In</t>
        </is>
      </c>
      <c r="H4" s="9" t="inlineStr">
        <is>
          <t>Money Out</t>
        </is>
      </c>
      <c r="I4" s="10" t="inlineStr">
        <is>
          <t>Running Balance</t>
        </is>
      </c>
      <c r="J4" s="9" t="inlineStr">
        <is>
          <t>Payment Method</t>
        </is>
      </c>
      <c r="K4" s="9" t="inlineStr">
        <is>
          <t>Reference</t>
        </is>
      </c>
      <c r="L4" s="10" t="inlineStr">
        <is>
          <t>Check</t>
        </is>
      </c>
    </row>
    <row r="5">
      <c r="A5" s="16" t="n">
        <v>46173</v>
      </c>
      <c r="B5" s="13">
        <f>"CB-"&amp;TEXT(ROW()-ROW(tCash[[#Headers],[Date]]),"00000")</f>
        <v/>
      </c>
      <c r="C5" s="12" t="inlineStr">
        <is>
          <t>Opening Balance</t>
        </is>
      </c>
      <c r="D5" s="12" t="inlineStr"/>
      <c r="E5" s="12" t="inlineStr">
        <is>
          <t>Opening cash &amp; bank balance</t>
        </is>
      </c>
      <c r="F5" s="12" t="inlineStr">
        <is>
          <t>GENERAL</t>
        </is>
      </c>
      <c r="G5" s="20" t="n">
        <v>5000000</v>
      </c>
      <c r="H5" s="20" t="n"/>
      <c r="I5" s="21">
        <f>SUM(INDEX(tCash[[Money In]],1):tCash[[#This Row],[Money In]])-SUM(INDEX(tCash[[Money Out]],1):tCash[[#This Row],[Money Out]])</f>
        <v/>
      </c>
      <c r="J5" s="12" t="inlineStr">
        <is>
          <t>Transfer</t>
        </is>
      </c>
      <c r="K5" s="12" t="inlineStr">
        <is>
          <t>OB</t>
        </is>
      </c>
      <c r="L5"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6">
      <c r="A6" s="16" t="n">
        <v>46174</v>
      </c>
      <c r="B6" s="13">
        <f>"CB-"&amp;TEXT(ROW()-ROW(tCash[[#Headers],[Date]]),"00000")</f>
        <v/>
      </c>
      <c r="C6" s="12" t="inlineStr">
        <is>
          <t>Drug Purchase</t>
        </is>
      </c>
      <c r="D6" s="12" t="inlineStr">
        <is>
          <t>Drugs</t>
        </is>
      </c>
      <c r="E6" s="12" t="inlineStr">
        <is>
          <t>Dewormer</t>
        </is>
      </c>
      <c r="F6" s="12" t="inlineStr">
        <is>
          <t>GENERAL</t>
        </is>
      </c>
      <c r="G6" s="20" t="n"/>
      <c r="H6" s="20" t="n">
        <v>3000</v>
      </c>
      <c r="I6" s="21">
        <f>SUM(INDEX(tCash[[Money In]],1):tCash[[#This Row],[Money In]])-SUM(INDEX(tCash[[Money Out]],1):tCash[[#This Row],[Money Out]])</f>
        <v/>
      </c>
      <c r="J6" s="12" t="inlineStr">
        <is>
          <t>Cash</t>
        </is>
      </c>
      <c r="K6" s="12" t="inlineStr">
        <is>
          <t>DW0601</t>
        </is>
      </c>
      <c r="L6"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7">
      <c r="A7" s="16" t="n">
        <v>46174</v>
      </c>
      <c r="B7" s="13">
        <f>"CB-"&amp;TEXT(ROW()-ROW(tCash[[#Headers],[Date]]),"00000")</f>
        <v/>
      </c>
      <c r="C7" s="12" t="inlineStr">
        <is>
          <t>Expense Payment</t>
        </is>
      </c>
      <c r="D7" s="12" t="inlineStr">
        <is>
          <t>Day-old Chicks / Stock Purchase</t>
        </is>
      </c>
      <c r="E7" s="12" t="inlineStr">
        <is>
          <t>400 point-of-lay pullets</t>
        </is>
      </c>
      <c r="F7" s="12" t="inlineStr">
        <is>
          <t>P005</t>
        </is>
      </c>
      <c r="G7" s="20" t="n"/>
      <c r="H7" s="20" t="n">
        <v>1400000</v>
      </c>
      <c r="I7" s="21">
        <f>SUM(INDEX(tCash[[Money In]],1):tCash[[#This Row],[Money In]])-SUM(INDEX(tCash[[Money Out]],1):tCash[[#This Row],[Money Out]])</f>
        <v/>
      </c>
      <c r="J7" s="12" t="inlineStr">
        <is>
          <t>Transfer</t>
        </is>
      </c>
      <c r="K7" s="12" t="inlineStr"/>
      <c r="L7"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8">
      <c r="A8" s="16" t="n">
        <v>46204</v>
      </c>
      <c r="B8" s="13">
        <f>"CB-"&amp;TEXT(ROW()-ROW(tCash[[#Headers],[Date]]),"00000")</f>
        <v/>
      </c>
      <c r="C8" s="12" t="inlineStr">
        <is>
          <t>Feed Purchase</t>
        </is>
      </c>
      <c r="D8" s="12" t="inlineStr">
        <is>
          <t>Feed</t>
        </is>
      </c>
      <c r="E8" s="12" t="inlineStr">
        <is>
          <t>12 bags Starter</t>
        </is>
      </c>
      <c r="F8" s="12" t="inlineStr">
        <is>
          <t>GENERAL</t>
        </is>
      </c>
      <c r="G8" s="20" t="n"/>
      <c r="H8" s="20" t="n">
        <v>168000</v>
      </c>
      <c r="I8" s="21">
        <f>SUM(INDEX(tCash[[Money In]],1):tCash[[#This Row],[Money In]])-SUM(INDEX(tCash[[Money Out]],1):tCash[[#This Row],[Money Out]])</f>
        <v/>
      </c>
      <c r="J8" s="12" t="inlineStr">
        <is>
          <t>Transfer</t>
        </is>
      </c>
      <c r="K8" s="12" t="inlineStr">
        <is>
          <t>INV-1001</t>
        </is>
      </c>
      <c r="L8"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9">
      <c r="A9" s="16" t="n">
        <v>46204</v>
      </c>
      <c r="B9" s="13">
        <f>"CB-"&amp;TEXT(ROW()-ROW(tCash[[#Headers],[Date]]),"00000")</f>
        <v/>
      </c>
      <c r="C9" s="12" t="inlineStr">
        <is>
          <t>Feed Purchase</t>
        </is>
      </c>
      <c r="D9" s="12" t="inlineStr">
        <is>
          <t>Feed</t>
        </is>
      </c>
      <c r="E9" s="12" t="inlineStr">
        <is>
          <t>20 bags Layer Mash</t>
        </is>
      </c>
      <c r="F9" s="12" t="inlineStr">
        <is>
          <t>GENERAL</t>
        </is>
      </c>
      <c r="G9" s="20" t="n"/>
      <c r="H9" s="20" t="n">
        <v>270000</v>
      </c>
      <c r="I9" s="21">
        <f>SUM(INDEX(tCash[[Money In]],1):tCash[[#This Row],[Money In]])-SUM(INDEX(tCash[[Money Out]],1):tCash[[#This Row],[Money Out]])</f>
        <v/>
      </c>
      <c r="J9" s="12" t="inlineStr">
        <is>
          <t>Transfer</t>
        </is>
      </c>
      <c r="K9" s="12" t="inlineStr">
        <is>
          <t>INV-1002</t>
        </is>
      </c>
      <c r="L9"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0">
      <c r="A10" s="16" t="n">
        <v>46204</v>
      </c>
      <c r="B10" s="13">
        <f>"CB-"&amp;TEXT(ROW()-ROW(tCash[[#Headers],[Date]]),"00000")</f>
        <v/>
      </c>
      <c r="C10" s="12" t="inlineStr">
        <is>
          <t>Drug Purchase</t>
        </is>
      </c>
      <c r="D10" s="12" t="inlineStr">
        <is>
          <t>Drugs</t>
        </is>
      </c>
      <c r="E10" s="12" t="inlineStr">
        <is>
          <t>Anticoccidial</t>
        </is>
      </c>
      <c r="F10" s="12" t="inlineStr">
        <is>
          <t>GENERAL</t>
        </is>
      </c>
      <c r="G10" s="20" t="n"/>
      <c r="H10" s="20" t="n">
        <v>6000</v>
      </c>
      <c r="I10" s="21">
        <f>SUM(INDEX(tCash[[Money In]],1):tCash[[#This Row],[Money In]])-SUM(INDEX(tCash[[Money Out]],1):tCash[[#This Row],[Money Out]])</f>
        <v/>
      </c>
      <c r="J10" s="12" t="inlineStr">
        <is>
          <t>Cash</t>
        </is>
      </c>
      <c r="K10" s="12" t="inlineStr">
        <is>
          <t>AC0701</t>
        </is>
      </c>
      <c r="L10"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1">
      <c r="A11" s="16" t="n">
        <v>46204</v>
      </c>
      <c r="B11" s="13">
        <f>"CB-"&amp;TEXT(ROW()-ROW(tCash[[#Headers],[Date]]),"00000")</f>
        <v/>
      </c>
      <c r="C11" s="12" t="inlineStr">
        <is>
          <t>Expense Payment</t>
        </is>
      </c>
      <c r="D11" s="12" t="inlineStr">
        <is>
          <t>Day-old Chicks / Stock Purchase</t>
        </is>
      </c>
      <c r="E11" s="12" t="inlineStr">
        <is>
          <t>300 day-old chicks</t>
        </is>
      </c>
      <c r="F11" s="12" t="inlineStr">
        <is>
          <t>P006</t>
        </is>
      </c>
      <c r="G11" s="20" t="n"/>
      <c r="H11" s="20" t="n">
        <v>210000</v>
      </c>
      <c r="I11" s="21">
        <f>SUM(INDEX(tCash[[Money In]],1):tCash[[#This Row],[Money In]])-SUM(INDEX(tCash[[Money Out]],1):tCash[[#This Row],[Money Out]])</f>
        <v/>
      </c>
      <c r="J11" s="12" t="inlineStr">
        <is>
          <t>Transfer</t>
        </is>
      </c>
      <c r="K11" s="12" t="inlineStr"/>
      <c r="L11"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2">
      <c r="A12" s="16" t="n">
        <v>46204</v>
      </c>
      <c r="B12" s="13">
        <f>"CB-"&amp;TEXT(ROW()-ROW(tCash[[#Headers],[Date]]),"00000")</f>
        <v/>
      </c>
      <c r="C12" s="12" t="inlineStr">
        <is>
          <t>Expense Payment</t>
        </is>
      </c>
      <c r="D12" s="12" t="inlineStr">
        <is>
          <t>Litter / Bedding</t>
        </is>
      </c>
      <c r="E12" s="12" t="inlineStr">
        <is>
          <t>Wood shavings</t>
        </is>
      </c>
      <c r="F12" s="12" t="inlineStr">
        <is>
          <t>P006</t>
        </is>
      </c>
      <c r="G12" s="20" t="n"/>
      <c r="H12" s="20" t="n">
        <v>12000</v>
      </c>
      <c r="I12" s="21">
        <f>SUM(INDEX(tCash[[Money In]],1):tCash[[#This Row],[Money In]])-SUM(INDEX(tCash[[Money Out]],1):tCash[[#This Row],[Money Out]])</f>
        <v/>
      </c>
      <c r="J12" s="12" t="inlineStr">
        <is>
          <t>Cash</t>
        </is>
      </c>
      <c r="K12" s="12" t="inlineStr"/>
      <c r="L12"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3">
      <c r="A13" s="16" t="n">
        <v>46223</v>
      </c>
      <c r="B13" s="13">
        <f>"CB-"&amp;TEXT(ROW()-ROW(tCash[[#Headers],[Date]]),"00000")</f>
        <v/>
      </c>
      <c r="C13" s="12" t="inlineStr">
        <is>
          <t>Feed Purchase</t>
        </is>
      </c>
      <c r="D13" s="12" t="inlineStr">
        <is>
          <t>Feed</t>
        </is>
      </c>
      <c r="E13" s="12" t="inlineStr">
        <is>
          <t>12 bags Finisher</t>
        </is>
      </c>
      <c r="F13" s="12" t="inlineStr">
        <is>
          <t>GENERAL</t>
        </is>
      </c>
      <c r="G13" s="20" t="n"/>
      <c r="H13" s="20" t="n">
        <v>174000</v>
      </c>
      <c r="I13" s="21">
        <f>SUM(INDEX(tCash[[Money In]],1):tCash[[#This Row],[Money In]])-SUM(INDEX(tCash[[Money Out]],1):tCash[[#This Row],[Money Out]])</f>
        <v/>
      </c>
      <c r="J13" s="12" t="inlineStr">
        <is>
          <t>Cash</t>
        </is>
      </c>
      <c r="K13" s="12" t="inlineStr">
        <is>
          <t>RCPT-220</t>
        </is>
      </c>
      <c r="L13"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4">
      <c r="A14" s="16" t="n">
        <v>46234</v>
      </c>
      <c r="B14" s="13">
        <f>"CB-"&amp;TEXT(ROW()-ROW(tCash[[#Headers],[Date]]),"00000")</f>
        <v/>
      </c>
      <c r="C14" s="12" t="inlineStr">
        <is>
          <t>Expense Payment</t>
        </is>
      </c>
      <c r="D14" s="12" t="inlineStr">
        <is>
          <t>Labour</t>
        </is>
      </c>
      <c r="E14" s="12" t="inlineStr">
        <is>
          <t>July wages - all pens</t>
        </is>
      </c>
      <c r="F14" s="12" t="inlineStr">
        <is>
          <t>GENERAL</t>
        </is>
      </c>
      <c r="G14" s="20" t="n"/>
      <c r="H14" s="20" t="n">
        <v>150000</v>
      </c>
      <c r="I14" s="21">
        <f>SUM(INDEX(tCash[[Money In]],1):tCash[[#This Row],[Money In]])-SUM(INDEX(tCash[[Money Out]],1):tCash[[#This Row],[Money Out]])</f>
        <v/>
      </c>
      <c r="J14" s="12" t="inlineStr">
        <is>
          <t>Transfer</t>
        </is>
      </c>
      <c r="K14" s="12" t="inlineStr"/>
      <c r="L14"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5">
      <c r="A15" s="16" t="n">
        <v>46252</v>
      </c>
      <c r="B15" s="13">
        <f>"CB-"&amp;TEXT(ROW()-ROW(tCash[[#Headers],[Date]]),"00000")</f>
        <v/>
      </c>
      <c r="C15" s="12" t="inlineStr">
        <is>
          <t>Expense Payment</t>
        </is>
      </c>
      <c r="D15" s="12" t="inlineStr">
        <is>
          <t>Transport</t>
        </is>
      </c>
      <c r="E15" s="12" t="inlineStr">
        <is>
          <t>Delivery of birds to market</t>
        </is>
      </c>
      <c r="F15" s="12" t="inlineStr">
        <is>
          <t>P006</t>
        </is>
      </c>
      <c r="G15" s="20" t="n"/>
      <c r="H15" s="20" t="n">
        <v>15000</v>
      </c>
      <c r="I15" s="21">
        <f>SUM(INDEX(tCash[[Money In]],1):tCash[[#This Row],[Money In]])-SUM(INDEX(tCash[[Money Out]],1):tCash[[#This Row],[Money Out]])</f>
        <v/>
      </c>
      <c r="J15" s="12" t="inlineStr">
        <is>
          <t>Cash</t>
        </is>
      </c>
      <c r="K15" s="12" t="inlineStr"/>
      <c r="L15"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6">
      <c r="A16" s="16" t="n">
        <v>46252</v>
      </c>
      <c r="B16" s="13">
        <f>"CB-"&amp;TEXT(ROW()-ROW(tCash[[#Headers],[Date]]),"00000")</f>
        <v/>
      </c>
      <c r="C16" s="12" t="inlineStr">
        <is>
          <t>Sale Receipt</t>
        </is>
      </c>
      <c r="D16" s="12" t="inlineStr">
        <is>
          <t>Sales</t>
        </is>
      </c>
      <c r="E16" s="12" t="inlineStr">
        <is>
          <t>290 Live Birds</t>
        </is>
      </c>
      <c r="F16" s="12" t="inlineStr">
        <is>
          <t>P006</t>
        </is>
      </c>
      <c r="G16" s="20" t="n">
        <v>1595000</v>
      </c>
      <c r="H16" s="20" t="n"/>
      <c r="I16" s="21">
        <f>SUM(INDEX(tCash[[Money In]],1):tCash[[#This Row],[Money In]])-SUM(INDEX(tCash[[Money Out]],1):tCash[[#This Row],[Money Out]])</f>
        <v/>
      </c>
      <c r="J16" s="12" t="inlineStr">
        <is>
          <t>Transfer</t>
        </is>
      </c>
      <c r="K16" s="12" t="inlineStr">
        <is>
          <t>SL-001</t>
        </is>
      </c>
      <c r="L16"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7">
      <c r="A17" s="16" t="n">
        <v>46262</v>
      </c>
      <c r="B17" s="13">
        <f>"CB-"&amp;TEXT(ROW()-ROW(tCash[[#Headers],[Date]]),"00000")</f>
        <v/>
      </c>
      <c r="C17" s="12" t="inlineStr">
        <is>
          <t>Drug Purchase</t>
        </is>
      </c>
      <c r="D17" s="12" t="inlineStr">
        <is>
          <t>Drugs</t>
        </is>
      </c>
      <c r="E17" s="12" t="inlineStr">
        <is>
          <t>Multivitamin</t>
        </is>
      </c>
      <c r="F17" s="12" t="inlineStr">
        <is>
          <t>GENERAL</t>
        </is>
      </c>
      <c r="G17" s="20" t="n"/>
      <c r="H17" s="20" t="n">
        <v>8000</v>
      </c>
      <c r="I17" s="21">
        <f>SUM(INDEX(tCash[[Money In]],1):tCash[[#This Row],[Money In]])-SUM(INDEX(tCash[[Money Out]],1):tCash[[#This Row],[Money Out]])</f>
        <v/>
      </c>
      <c r="J17" s="12" t="inlineStr">
        <is>
          <t>Transfer</t>
        </is>
      </c>
      <c r="K17" s="12" t="inlineStr">
        <is>
          <t>MV2408</t>
        </is>
      </c>
      <c r="L17"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8">
      <c r="A18" s="16" t="n">
        <v>46262</v>
      </c>
      <c r="B18" s="13">
        <f>"CB-"&amp;TEXT(ROW()-ROW(tCash[[#Headers],[Date]]),"00000")</f>
        <v/>
      </c>
      <c r="C18" s="12" t="inlineStr">
        <is>
          <t>Drug Purchase</t>
        </is>
      </c>
      <c r="D18" s="12" t="inlineStr">
        <is>
          <t>Drugs</t>
        </is>
      </c>
      <c r="E18" s="12" t="inlineStr">
        <is>
          <t>Antibiotic A</t>
        </is>
      </c>
      <c r="F18" s="12" t="inlineStr">
        <is>
          <t>GENERAL</t>
        </is>
      </c>
      <c r="G18" s="20" t="n"/>
      <c r="H18" s="20" t="n">
        <v>15000</v>
      </c>
      <c r="I18" s="21">
        <f>SUM(INDEX(tCash[[Money In]],1):tCash[[#This Row],[Money In]])-SUM(INDEX(tCash[[Money Out]],1):tCash[[#This Row],[Money Out]])</f>
        <v/>
      </c>
      <c r="J18" s="12" t="inlineStr">
        <is>
          <t>Transfer</t>
        </is>
      </c>
      <c r="K18" s="12" t="inlineStr">
        <is>
          <t>AB0826</t>
        </is>
      </c>
      <c r="L18"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19">
      <c r="A19" s="16" t="n">
        <v>46262</v>
      </c>
      <c r="B19" s="13">
        <f>"CB-"&amp;TEXT(ROW()-ROW(tCash[[#Headers],[Date]]),"00000")</f>
        <v/>
      </c>
      <c r="C19" s="12" t="inlineStr">
        <is>
          <t>Drug Purchase</t>
        </is>
      </c>
      <c r="D19" s="12" t="inlineStr">
        <is>
          <t>Drugs</t>
        </is>
      </c>
      <c r="E19" s="12" t="inlineStr">
        <is>
          <t>ND Vaccine (Lasota)</t>
        </is>
      </c>
      <c r="F19" s="12" t="inlineStr">
        <is>
          <t>GENERAL</t>
        </is>
      </c>
      <c r="G19" s="20" t="n"/>
      <c r="H19" s="20" t="n">
        <v>10000</v>
      </c>
      <c r="I19" s="21">
        <f>SUM(INDEX(tCash[[Money In]],1):tCash[[#This Row],[Money In]])-SUM(INDEX(tCash[[Money Out]],1):tCash[[#This Row],[Money Out]])</f>
        <v/>
      </c>
      <c r="J19" s="12" t="inlineStr">
        <is>
          <t>Transfer</t>
        </is>
      </c>
      <c r="K19" s="12" t="inlineStr">
        <is>
          <t>ND1001</t>
        </is>
      </c>
      <c r="L19"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0">
      <c r="A20" s="16" t="n">
        <v>46264</v>
      </c>
      <c r="B20" s="13">
        <f>"CB-"&amp;TEXT(ROW()-ROW(tCash[[#Headers],[Date]]),"00000")</f>
        <v/>
      </c>
      <c r="C20" s="12" t="inlineStr">
        <is>
          <t>Feed Purchase</t>
        </is>
      </c>
      <c r="D20" s="12" t="inlineStr">
        <is>
          <t>Feed</t>
        </is>
      </c>
      <c r="E20" s="12" t="inlineStr">
        <is>
          <t>20 bags Starter</t>
        </is>
      </c>
      <c r="F20" s="12" t="inlineStr">
        <is>
          <t>GENERAL</t>
        </is>
      </c>
      <c r="G20" s="20" t="n"/>
      <c r="H20" s="20" t="n">
        <v>310000</v>
      </c>
      <c r="I20" s="21">
        <f>SUM(INDEX(tCash[[Money In]],1):tCash[[#This Row],[Money In]])-SUM(INDEX(tCash[[Money Out]],1):tCash[[#This Row],[Money Out]])</f>
        <v/>
      </c>
      <c r="J20" s="12" t="inlineStr">
        <is>
          <t>Transfer</t>
        </is>
      </c>
      <c r="K20" s="12" t="inlineStr">
        <is>
          <t>INV-1088</t>
        </is>
      </c>
      <c r="L20"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1">
      <c r="A21" s="16" t="n">
        <v>46265</v>
      </c>
      <c r="B21" s="13">
        <f>"CB-"&amp;TEXT(ROW()-ROW(tCash[[#Headers],[Date]]),"00000")</f>
        <v/>
      </c>
      <c r="C21" s="12" t="inlineStr">
        <is>
          <t>Expense Payment</t>
        </is>
      </c>
      <c r="D21" s="12" t="inlineStr">
        <is>
          <t>Labour</t>
        </is>
      </c>
      <c r="E21" s="12" t="inlineStr">
        <is>
          <t>August wages - all pens</t>
        </is>
      </c>
      <c r="F21" s="12" t="inlineStr">
        <is>
          <t>GENERAL</t>
        </is>
      </c>
      <c r="G21" s="20" t="n"/>
      <c r="H21" s="20" t="n">
        <v>150000</v>
      </c>
      <c r="I21" s="21">
        <f>SUM(INDEX(tCash[[Money In]],1):tCash[[#This Row],[Money In]])-SUM(INDEX(tCash[[Money Out]],1):tCash[[#This Row],[Money Out]])</f>
        <v/>
      </c>
      <c r="J21" s="12" t="inlineStr">
        <is>
          <t>Transfer</t>
        </is>
      </c>
      <c r="K21" s="12" t="inlineStr"/>
      <c r="L21"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2">
      <c r="A22" s="16" t="n">
        <v>46266</v>
      </c>
      <c r="B22" s="13">
        <f>"CB-"&amp;TEXT(ROW()-ROW(tCash[[#Headers],[Date]]),"00000")</f>
        <v/>
      </c>
      <c r="C22" s="12" t="inlineStr">
        <is>
          <t>Expense Payment</t>
        </is>
      </c>
      <c r="D22" s="12" t="inlineStr">
        <is>
          <t>Day-old Chicks / Stock Purchase</t>
        </is>
      </c>
      <c r="E22" s="12" t="inlineStr">
        <is>
          <t>500 day-old chicks</t>
        </is>
      </c>
      <c r="F22" s="12" t="inlineStr">
        <is>
          <t>P001</t>
        </is>
      </c>
      <c r="G22" s="20" t="n"/>
      <c r="H22" s="20" t="n">
        <v>425000</v>
      </c>
      <c r="I22" s="21">
        <f>SUM(INDEX(tCash[[Money In]],1):tCash[[#This Row],[Money In]])-SUM(INDEX(tCash[[Money Out]],1):tCash[[#This Row],[Money Out]])</f>
        <v/>
      </c>
      <c r="J22" s="12" t="inlineStr">
        <is>
          <t>Transfer</t>
        </is>
      </c>
      <c r="K22" s="12" t="inlineStr"/>
      <c r="L22"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3">
      <c r="A23" s="16" t="n">
        <v>46266</v>
      </c>
      <c r="B23" s="13">
        <f>"CB-"&amp;TEXT(ROW()-ROW(tCash[[#Headers],[Date]]),"00000")</f>
        <v/>
      </c>
      <c r="C23" s="12" t="inlineStr">
        <is>
          <t>Expense Payment</t>
        </is>
      </c>
      <c r="D23" s="12" t="inlineStr">
        <is>
          <t>Day-old Chicks / Stock Purchase</t>
        </is>
      </c>
      <c r="E23" s="12" t="inlineStr">
        <is>
          <t>600 day-old chicks</t>
        </is>
      </c>
      <c r="F23" s="12" t="inlineStr">
        <is>
          <t>P002</t>
        </is>
      </c>
      <c r="G23" s="20" t="n"/>
      <c r="H23" s="20" t="n">
        <v>510000</v>
      </c>
      <c r="I23" s="21">
        <f>SUM(INDEX(tCash[[Money In]],1):tCash[[#This Row],[Money In]])-SUM(INDEX(tCash[[Money Out]],1):tCash[[#This Row],[Money Out]])</f>
        <v/>
      </c>
      <c r="J23" s="12" t="inlineStr">
        <is>
          <t>Transfer</t>
        </is>
      </c>
      <c r="K23" s="12" t="inlineStr"/>
      <c r="L23"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4">
      <c r="A24" s="16" t="n">
        <v>46266</v>
      </c>
      <c r="B24" s="13">
        <f>"CB-"&amp;TEXT(ROW()-ROW(tCash[[#Headers],[Date]]),"00000")</f>
        <v/>
      </c>
      <c r="C24" s="12" t="inlineStr">
        <is>
          <t>Expense Payment</t>
        </is>
      </c>
      <c r="D24" s="12" t="inlineStr">
        <is>
          <t>Litter / Bedding</t>
        </is>
      </c>
      <c r="E24" s="12" t="inlineStr">
        <is>
          <t>Wood shavings</t>
        </is>
      </c>
      <c r="F24" s="12" t="inlineStr">
        <is>
          <t>P001</t>
        </is>
      </c>
      <c r="G24" s="20" t="n"/>
      <c r="H24" s="20" t="n">
        <v>12000</v>
      </c>
      <c r="I24" s="21">
        <f>SUM(INDEX(tCash[[Money In]],1):tCash[[#This Row],[Money In]])-SUM(INDEX(tCash[[Money Out]],1):tCash[[#This Row],[Money Out]])</f>
        <v/>
      </c>
      <c r="J24" s="12" t="inlineStr">
        <is>
          <t>Cash</t>
        </is>
      </c>
      <c r="K24" s="12" t="inlineStr"/>
      <c r="L24"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5">
      <c r="A25" s="16" t="n">
        <v>46267</v>
      </c>
      <c r="B25" s="13">
        <f>"CB-"&amp;TEXT(ROW()-ROW(tCash[[#Headers],[Date]]),"00000")</f>
        <v/>
      </c>
      <c r="C25" s="12" t="inlineStr">
        <is>
          <t>Expense Payment</t>
        </is>
      </c>
      <c r="D25" s="12" t="inlineStr">
        <is>
          <t>Day-old Chicks / Stock Purchase</t>
        </is>
      </c>
      <c r="E25" s="12" t="inlineStr">
        <is>
          <t>450 day-old chicks</t>
        </is>
      </c>
      <c r="F25" s="12" t="inlineStr">
        <is>
          <t>P003</t>
        </is>
      </c>
      <c r="G25" s="20" t="n"/>
      <c r="H25" s="20" t="n">
        <v>382500</v>
      </c>
      <c r="I25" s="21">
        <f>SUM(INDEX(tCash[[Money In]],1):tCash[[#This Row],[Money In]])-SUM(INDEX(tCash[[Money Out]],1):tCash[[#This Row],[Money Out]])</f>
        <v/>
      </c>
      <c r="J25" s="12" t="inlineStr">
        <is>
          <t>Transfer</t>
        </is>
      </c>
      <c r="K25" s="12" t="inlineStr"/>
      <c r="L25"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6">
      <c r="A26" s="16" t="n">
        <v>46267</v>
      </c>
      <c r="B26" s="13">
        <f>"CB-"&amp;TEXT(ROW()-ROW(tCash[[#Headers],[Date]]),"00000")</f>
        <v/>
      </c>
      <c r="C26" s="12" t="inlineStr">
        <is>
          <t>Expense Payment</t>
        </is>
      </c>
      <c r="D26" s="12" t="inlineStr">
        <is>
          <t>Day-old Chicks / Stock Purchase</t>
        </is>
      </c>
      <c r="E26" s="12" t="inlineStr">
        <is>
          <t>550 day-old chicks</t>
        </is>
      </c>
      <c r="F26" s="12" t="inlineStr">
        <is>
          <t>P004</t>
        </is>
      </c>
      <c r="G26" s="20" t="n"/>
      <c r="H26" s="20" t="n">
        <v>467500</v>
      </c>
      <c r="I26" s="21">
        <f>SUM(INDEX(tCash[[Money In]],1):tCash[[#This Row],[Money In]])-SUM(INDEX(tCash[[Money Out]],1):tCash[[#This Row],[Money Out]])</f>
        <v/>
      </c>
      <c r="J26" s="12" t="inlineStr">
        <is>
          <t>Transfer</t>
        </is>
      </c>
      <c r="K26" s="12" t="inlineStr"/>
      <c r="L26"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7">
      <c r="A27" s="16" t="n">
        <v>46276</v>
      </c>
      <c r="B27" s="13">
        <f>"CB-"&amp;TEXT(ROW()-ROW(tCash[[#Headers],[Date]]),"00000")</f>
        <v/>
      </c>
      <c r="C27" s="12" t="inlineStr">
        <is>
          <t>Expense Payment</t>
        </is>
      </c>
      <c r="D27" s="12" t="inlineStr">
        <is>
          <t>Repairs</t>
        </is>
      </c>
      <c r="E27" s="12" t="inlineStr">
        <is>
          <t>Roof repair - P002 (pen-level, no batch)</t>
        </is>
      </c>
      <c r="F27" s="12" t="inlineStr">
        <is>
          <t>P002</t>
        </is>
      </c>
      <c r="G27" s="20" t="n"/>
      <c r="H27" s="20" t="n">
        <v>18000</v>
      </c>
      <c r="I27" s="21">
        <f>SUM(INDEX(tCash[[Money In]],1):tCash[[#This Row],[Money In]])-SUM(INDEX(tCash[[Money Out]],1):tCash[[#This Row],[Money Out]])</f>
        <v/>
      </c>
      <c r="J27" s="12" t="inlineStr">
        <is>
          <t>Cash</t>
        </is>
      </c>
      <c r="K27" s="12" t="inlineStr"/>
      <c r="L27"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8">
      <c r="A28" s="16" t="n">
        <v>46277</v>
      </c>
      <c r="B28" s="13">
        <f>"CB-"&amp;TEXT(ROW()-ROW(tCash[[#Headers],[Date]]),"00000")</f>
        <v/>
      </c>
      <c r="C28" s="12" t="inlineStr">
        <is>
          <t>Sale Receipt</t>
        </is>
      </c>
      <c r="D28" s="12" t="inlineStr">
        <is>
          <t>Sales</t>
        </is>
      </c>
      <c r="E28" s="12" t="inlineStr">
        <is>
          <t>20 Eggs</t>
        </is>
      </c>
      <c r="F28" s="12" t="inlineStr">
        <is>
          <t>P005</t>
        </is>
      </c>
      <c r="G28" s="20" t="n">
        <v>96000</v>
      </c>
      <c r="H28" s="20" t="n"/>
      <c r="I28" s="21">
        <f>SUM(INDEX(tCash[[Money In]],1):tCash[[#This Row],[Money In]])-SUM(INDEX(tCash[[Money Out]],1):tCash[[#This Row],[Money Out]])</f>
        <v/>
      </c>
      <c r="J28" s="12" t="inlineStr">
        <is>
          <t>Cash</t>
        </is>
      </c>
      <c r="K28" s="12" t="inlineStr">
        <is>
          <t>SL-002</t>
        </is>
      </c>
      <c r="L28"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29">
      <c r="A29" s="16" t="n">
        <v>46280</v>
      </c>
      <c r="B29" s="13">
        <f>"CB-"&amp;TEXT(ROW()-ROW(tCash[[#Headers],[Date]]),"00000")</f>
        <v/>
      </c>
      <c r="C29" s="12" t="inlineStr">
        <is>
          <t>Feed Purchase</t>
        </is>
      </c>
      <c r="D29" s="12" t="inlineStr">
        <is>
          <t>Feed</t>
        </is>
      </c>
      <c r="E29" s="12" t="inlineStr">
        <is>
          <t>10 bags Starter</t>
        </is>
      </c>
      <c r="F29" s="12" t="inlineStr">
        <is>
          <t>GENERAL</t>
        </is>
      </c>
      <c r="G29" s="20" t="n"/>
      <c r="H29" s="20" t="n">
        <v>165000</v>
      </c>
      <c r="I29" s="21">
        <f>SUM(INDEX(tCash[[Money In]],1):tCash[[#This Row],[Money In]])-SUM(INDEX(tCash[[Money Out]],1):tCash[[#This Row],[Money Out]])</f>
        <v/>
      </c>
      <c r="J29" s="12" t="inlineStr">
        <is>
          <t>POS</t>
        </is>
      </c>
      <c r="K29" s="12" t="inlineStr">
        <is>
          <t>RCPT-301</t>
        </is>
      </c>
      <c r="L29"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30">
      <c r="A30" s="16" t="n">
        <v>46285</v>
      </c>
      <c r="B30" s="13">
        <f>"CB-"&amp;TEXT(ROW()-ROW(tCash[[#Headers],[Date]]),"00000")</f>
        <v/>
      </c>
      <c r="C30" s="12" t="inlineStr">
        <is>
          <t>Sale Receipt</t>
        </is>
      </c>
      <c r="D30" s="12" t="inlineStr">
        <is>
          <t>Sales</t>
        </is>
      </c>
      <c r="E30" s="12" t="inlineStr">
        <is>
          <t>10 Manure</t>
        </is>
      </c>
      <c r="F30" s="12" t="inlineStr">
        <is>
          <t>GENERAL</t>
        </is>
      </c>
      <c r="G30" s="20" t="n">
        <v>10000</v>
      </c>
      <c r="H30" s="20" t="n"/>
      <c r="I30" s="21">
        <f>SUM(INDEX(tCash[[Money In]],1):tCash[[#This Row],[Money In]])-SUM(INDEX(tCash[[Money Out]],1):tCash[[#This Row],[Money Out]])</f>
        <v/>
      </c>
      <c r="J30" s="12" t="inlineStr">
        <is>
          <t>Cash</t>
        </is>
      </c>
      <c r="K30" s="12" t="inlineStr">
        <is>
          <t>SL-003</t>
        </is>
      </c>
      <c r="L30"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31">
      <c r="A31" s="16" t="n">
        <v>46291</v>
      </c>
      <c r="B31" s="13">
        <f>"CB-"&amp;TEXT(ROW()-ROW(tCash[[#Headers],[Date]]),"00000")</f>
        <v/>
      </c>
      <c r="C31" s="12" t="inlineStr">
        <is>
          <t>Expense Payment</t>
        </is>
      </c>
      <c r="D31" s="12" t="inlineStr">
        <is>
          <t>Electricity</t>
        </is>
      </c>
      <c r="E31" s="12" t="inlineStr">
        <is>
          <t>September electricity bill</t>
        </is>
      </c>
      <c r="F31" s="12" t="inlineStr">
        <is>
          <t>GENERAL</t>
        </is>
      </c>
      <c r="G31" s="20" t="n"/>
      <c r="H31" s="20" t="n">
        <v>35000</v>
      </c>
      <c r="I31" s="21">
        <f>SUM(INDEX(tCash[[Money In]],1):tCash[[#This Row],[Money In]])-SUM(INDEX(tCash[[Money Out]],1):tCash[[#This Row],[Money Out]])</f>
        <v/>
      </c>
      <c r="J31" s="12" t="inlineStr">
        <is>
          <t>Transfer</t>
        </is>
      </c>
      <c r="K31" s="12" t="inlineStr"/>
      <c r="L31"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row r="32">
      <c r="A32" s="16" t="n">
        <v>46292</v>
      </c>
      <c r="B32" s="13">
        <f>"CB-"&amp;TEXT(ROW()-ROW(tCash[[#Headers],[Date]]),"00000")</f>
        <v/>
      </c>
      <c r="C32" s="12" t="inlineStr">
        <is>
          <t>Supplier Credit Payment</t>
        </is>
      </c>
      <c r="D32" s="12" t="inlineStr">
        <is>
          <t>Feed</t>
        </is>
      </c>
      <c r="E32" s="12" t="inlineStr">
        <is>
          <t>Part payment for INV-1102 (Grower on credit)</t>
        </is>
      </c>
      <c r="F32" s="12" t="inlineStr">
        <is>
          <t>GENERAL</t>
        </is>
      </c>
      <c r="G32" s="20" t="n"/>
      <c r="H32" s="20" t="n">
        <v>200000</v>
      </c>
      <c r="I32" s="21">
        <f>SUM(INDEX(tCash[[Money In]],1):tCash[[#This Row],[Money In]])-SUM(INDEX(tCash[[Money Out]],1):tCash[[#This Row],[Money Out]])</f>
        <v/>
      </c>
      <c r="J32" s="12" t="inlineStr">
        <is>
          <t>Transfer</t>
        </is>
      </c>
      <c r="K32" s="12" t="inlineStr">
        <is>
          <t>INV-1102</t>
        </is>
      </c>
      <c r="L32" s="13">
        <f>IF(AND(tCash[[#This Row],[Date]]="",tCash[[#This Row],[Type]]="",tCash[[#This Row],[Money In]]="",tCash[[#This Row],[Money Out]]=""),"",IF(tCash[[#This Row],[Date]]="","Missing date",IF(NOT(ISNUMBER(tCash[[#This Row],[Date]])),"Date is not a valid date",IF(tCash[[#This Row],[Type]]="","Missing type",IF(AND(N(tCash[[#This Row],[Money In]])&gt;0,N(tCash[[#This Row],[Money Out]])&gt;0),"Use one row for In and another for Out",IF(N(tCash[[#This Row],[Money In]])+N(tCash[[#This Row],[Money Out]])=0,"Enter an amount",IF(AND(IFERROR(INDEX(tCashTypes[[Direction]],MATCH(tCash[[#This Row],[Type]],tCashTypes[[Cash Type]],0)),"")="In",N(tCash[[#This Row],[Money Out]])&gt;0),"This type is money IN",IF(AND(IFERROR(INDEX(tCashTypes[[Direction]],MATCH(tCash[[#This Row],[Type]],tCashTypes[[Cash Type]],0)),"")="Out",N(tCash[[#This Row],[Money In]])&gt;0),"This type is money OUT",IF(tCash[[#This Row],[Running Balance]]&lt;0,"Balance is negative - check entries",IF(AND(ROW()&gt;ROW(tCash[[#Headers],[Date]])+1,tCash[[#This Row],[Date]]&lt;INDEX(tCash[[Date]],ROW()-ROW(tCash[[#Headers],[Date]])-1)),"Date earlier than previous row","OK"))))))))))</f>
        <v/>
      </c>
    </row>
  </sheetData>
  <conditionalFormatting sqref="L5:L5000">
    <cfRule type="expression" priority="1" dxfId="0">
      <formula>AND(L5&lt;&gt;"",L5&lt;&gt;"OK")</formula>
    </cfRule>
    <cfRule type="expression" priority="2" dxfId="1">
      <formula>L5="OK"</formula>
    </cfRule>
  </conditionalFormatting>
  <dataValidations count="7">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L_CashTypes</formula1>
    </dataValidation>
    <dataValidation sqref="D5:D5000" showDropDown="0" showInputMessage="0" showErrorMessage="0" allowBlank="1" errorTitle="Not in list" error="Choose a value from the dropdown list (lists are maintained on the LISTS / register sheets)." type="list">
      <formula1>L_ExpCat</formula1>
    </dataValidation>
    <dataValidation sqref="F5:F5000" showDropDown="0" showInputMessage="0" showErrorMessage="1" allowBlank="1" errorTitle="Not in list" error="Choose a value from the dropdown list (lists are maintained on the LISTS / register sheets)." type="list">
      <formula1>L_PensGen</formula1>
    </dataValidation>
    <dataValidation sqref="G5:G5000" showDropDown="0" showInputMessage="0" showErrorMessage="1" allowBlank="1" errorTitle="Invalid number" error="Enter a number that is zero or greater (no text, no negative values)." type="decimal" operator="greaterThanOrEqual">
      <formula1>0</formula1>
    </dataValidation>
    <dataValidation sqref="H5:H5000" showDropDown="0" showInputMessage="0" showErrorMessage="1" allowBlank="1" errorTitle="Invalid number" error="Enter a number that is zero or greater (no text, no negative values)." type="decimal" operator="greaterThanOrEqual">
      <formula1>0</formula1>
    </dataValidation>
    <dataValidation sqref="J5:J5000" showDropDown="0" showInputMessage="0" showErrorMessage="1" allowBlank="1" errorTitle="Not in list" error="Choose a value from the dropdown list (lists are maintained on the LISTS / register sheets)." type="list">
      <formula1>L_Pay</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tabColor rgb="002F75B5"/>
    <outlinePr summaryBelow="1" summaryRight="1"/>
    <pageSetUpPr/>
  </sheetPr>
  <dimension ref="A1:M86"/>
  <sheetViews>
    <sheetView showGridLines="0" tabSelected="0" zoomScale="9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4" customWidth="1" min="3" max="3"/>
    <col width="12" customWidth="1" min="4" max="4"/>
    <col width="14" customWidth="1" min="5" max="5"/>
    <col width="12" customWidth="1" min="6" max="6"/>
    <col width="11" customWidth="1" min="7" max="7"/>
    <col width="12" customWidth="1" min="8" max="8"/>
    <col width="14" customWidth="1" min="9" max="9"/>
    <col width="11" customWidth="1" min="10" max="10"/>
    <col width="16" customWidth="1" min="11" max="11"/>
    <col width="12" customWidth="1" min="12" max="12"/>
    <col width="22" customWidth="1" min="13" max="13"/>
  </cols>
  <sheetData>
    <row r="1">
      <c r="A1" s="1" t="inlineStr">
        <is>
          <t>INVENTORY (automatic)</t>
        </is>
      </c>
    </row>
    <row r="2">
      <c r="A2" s="7" t="inlineStr">
        <is>
          <t>Store balances calculated from purchases minus issues/usage. Nothing to type here - reorder levels are set on LISTS. Costing: moving weighted average.</t>
        </is>
      </c>
    </row>
    <row r="4">
      <c r="A4" s="25" t="inlineStr">
        <is>
          <t>FEED STORE (kg)</t>
        </is>
      </c>
    </row>
    <row r="5" ht="30" customHeight="1">
      <c r="A5" s="26" t="inlineStr">
        <is>
          <t>Feed Type</t>
        </is>
      </c>
      <c r="B5" s="26" t="inlineStr">
        <is>
          <t>Purchased kg</t>
        </is>
      </c>
      <c r="C5" s="26" t="inlineStr">
        <is>
          <t>Purchased Cost</t>
        </is>
      </c>
      <c r="D5" s="26" t="inlineStr">
        <is>
          <t>Issued kg</t>
        </is>
      </c>
      <c r="E5" s="26" t="inlineStr">
        <is>
          <t>Issued Cost (to pens)</t>
        </is>
      </c>
      <c r="F5" s="26" t="inlineStr">
        <is>
          <t>Remaining kg</t>
        </is>
      </c>
      <c r="G5" s="26" t="inlineStr">
        <is>
          <t>Remaining Bags (approx.)</t>
        </is>
      </c>
      <c r="H5" s="26" t="inlineStr">
        <is>
          <t>Current Avg Cost per kg</t>
        </is>
      </c>
      <c r="I5" s="26" t="inlineStr">
        <is>
          <t>Inventory Value</t>
        </is>
      </c>
      <c r="J5" s="26" t="inlineStr">
        <is>
          <t>Reorder Level kg</t>
        </is>
      </c>
      <c r="K5" s="26" t="inlineStr">
        <is>
          <t>Status</t>
        </is>
      </c>
      <c r="L5" s="26" t="inlineStr">
        <is>
          <t>Last Purchase</t>
        </is>
      </c>
    </row>
    <row r="6">
      <c r="A6" s="27">
        <f>IFERROR(INDEX(tFeedTypes[[Feed Type]],1)&amp;"","")</f>
        <v/>
      </c>
      <c r="B6" s="28">
        <f>IF($A6="","",SUMIFS(tFeedPur[[Total Quantity in kg]],tFeedPur[[Feed Type]],$A6))</f>
        <v/>
      </c>
      <c r="C6" s="29">
        <f>IF($A6="","",SUMIFS(tFeedPur[[Total Cost]],tFeedPur[[Feed Type]],$A6))</f>
        <v/>
      </c>
      <c r="D6" s="28">
        <f>IF($A6="","",SUMIFS(tFeedIss[[Quantity Issued in kg]],tFeedIss[[Feed Type]],$A6))</f>
        <v/>
      </c>
      <c r="E6" s="29">
        <f>IF($A6="","",SUMIFS(tFeedIss[[Total Cost]],tFeedIss[[Feed Type]],$A6))</f>
        <v/>
      </c>
      <c r="F6" s="28">
        <f>IF($A6="","",B6-D6)</f>
        <v/>
      </c>
      <c r="G6" s="28">
        <f>IF($A6="","",IFERROR(F6/INDEX(tFeedTypes[[Default Bag Size kg]],1),""))</f>
        <v/>
      </c>
      <c r="H6" s="30">
        <f>IF($A6="","",IFERROR(LOOKUP(2,1/((tFeedPur[[Feed Type]]=$A6)*(tFeedPur[[Date]]&lt;=2958465)),tFeedPur[[Avg Cost per kg After Purchase]]),0))</f>
        <v/>
      </c>
      <c r="I6" s="29">
        <f>IF($A6="","",C6-E6)</f>
        <v/>
      </c>
      <c r="J6" s="28">
        <f>IF($A6="","",N(INDEX(tFeedTypes[[Reorder Level kg]],1)))</f>
        <v/>
      </c>
      <c r="K6" s="27">
        <f>IF($A6="","",IF(AND(B6=0,D6=0),"Not stocked",IF(F6&lt;-0.0001,"NEGATIVE - CHECK",IF(F6&lt;=J6,"REORDER","OK"))))</f>
        <v/>
      </c>
      <c r="L6" s="31">
        <f>IF($A6="","",IF(COUNTIF(tFeedPur[[Feed Type]],$A6)=0,"",_xlfn.MAXIFS(tFeedPur[[Date]],tFeedPur[[Feed Type]],$A6)))</f>
        <v/>
      </c>
    </row>
    <row r="7">
      <c r="A7" s="27">
        <f>IFERROR(INDEX(tFeedTypes[[Feed Type]],2)&amp;"","")</f>
        <v/>
      </c>
      <c r="B7" s="28">
        <f>IF($A7="","",SUMIFS(tFeedPur[[Total Quantity in kg]],tFeedPur[[Feed Type]],$A7))</f>
        <v/>
      </c>
      <c r="C7" s="29">
        <f>IF($A7="","",SUMIFS(tFeedPur[[Total Cost]],tFeedPur[[Feed Type]],$A7))</f>
        <v/>
      </c>
      <c r="D7" s="28">
        <f>IF($A7="","",SUMIFS(tFeedIss[[Quantity Issued in kg]],tFeedIss[[Feed Type]],$A7))</f>
        <v/>
      </c>
      <c r="E7" s="29">
        <f>IF($A7="","",SUMIFS(tFeedIss[[Total Cost]],tFeedIss[[Feed Type]],$A7))</f>
        <v/>
      </c>
      <c r="F7" s="28">
        <f>IF($A7="","",B7-D7)</f>
        <v/>
      </c>
      <c r="G7" s="28">
        <f>IF($A7="","",IFERROR(F7/INDEX(tFeedTypes[[Default Bag Size kg]],2),""))</f>
        <v/>
      </c>
      <c r="H7" s="30">
        <f>IF($A7="","",IFERROR(LOOKUP(2,1/((tFeedPur[[Feed Type]]=$A7)*(tFeedPur[[Date]]&lt;=2958465)),tFeedPur[[Avg Cost per kg After Purchase]]),0))</f>
        <v/>
      </c>
      <c r="I7" s="29">
        <f>IF($A7="","",C7-E7)</f>
        <v/>
      </c>
      <c r="J7" s="28">
        <f>IF($A7="","",N(INDEX(tFeedTypes[[Reorder Level kg]],2)))</f>
        <v/>
      </c>
      <c r="K7" s="27">
        <f>IF($A7="","",IF(AND(B7=0,D7=0),"Not stocked",IF(F7&lt;-0.0001,"NEGATIVE - CHECK",IF(F7&lt;=J7,"REORDER","OK"))))</f>
        <v/>
      </c>
      <c r="L7" s="31">
        <f>IF($A7="","",IF(COUNTIF(tFeedPur[[Feed Type]],$A7)=0,"",_xlfn.MAXIFS(tFeedPur[[Date]],tFeedPur[[Feed Type]],$A7)))</f>
        <v/>
      </c>
    </row>
    <row r="8">
      <c r="A8" s="27">
        <f>IFERROR(INDEX(tFeedTypes[[Feed Type]],3)&amp;"","")</f>
        <v/>
      </c>
      <c r="B8" s="28">
        <f>IF($A8="","",SUMIFS(tFeedPur[[Total Quantity in kg]],tFeedPur[[Feed Type]],$A8))</f>
        <v/>
      </c>
      <c r="C8" s="29">
        <f>IF($A8="","",SUMIFS(tFeedPur[[Total Cost]],tFeedPur[[Feed Type]],$A8))</f>
        <v/>
      </c>
      <c r="D8" s="28">
        <f>IF($A8="","",SUMIFS(tFeedIss[[Quantity Issued in kg]],tFeedIss[[Feed Type]],$A8))</f>
        <v/>
      </c>
      <c r="E8" s="29">
        <f>IF($A8="","",SUMIFS(tFeedIss[[Total Cost]],tFeedIss[[Feed Type]],$A8))</f>
        <v/>
      </c>
      <c r="F8" s="28">
        <f>IF($A8="","",B8-D8)</f>
        <v/>
      </c>
      <c r="G8" s="28">
        <f>IF($A8="","",IFERROR(F8/INDEX(tFeedTypes[[Default Bag Size kg]],3),""))</f>
        <v/>
      </c>
      <c r="H8" s="30">
        <f>IF($A8="","",IFERROR(LOOKUP(2,1/((tFeedPur[[Feed Type]]=$A8)*(tFeedPur[[Date]]&lt;=2958465)),tFeedPur[[Avg Cost per kg After Purchase]]),0))</f>
        <v/>
      </c>
      <c r="I8" s="29">
        <f>IF($A8="","",C8-E8)</f>
        <v/>
      </c>
      <c r="J8" s="28">
        <f>IF($A8="","",N(INDEX(tFeedTypes[[Reorder Level kg]],3)))</f>
        <v/>
      </c>
      <c r="K8" s="27">
        <f>IF($A8="","",IF(AND(B8=0,D8=0),"Not stocked",IF(F8&lt;-0.0001,"NEGATIVE - CHECK",IF(F8&lt;=J8,"REORDER","OK"))))</f>
        <v/>
      </c>
      <c r="L8" s="31">
        <f>IF($A8="","",IF(COUNTIF(tFeedPur[[Feed Type]],$A8)=0,"",_xlfn.MAXIFS(tFeedPur[[Date]],tFeedPur[[Feed Type]],$A8)))</f>
        <v/>
      </c>
    </row>
    <row r="9">
      <c r="A9" s="27">
        <f>IFERROR(INDEX(tFeedTypes[[Feed Type]],4)&amp;"","")</f>
        <v/>
      </c>
      <c r="B9" s="28">
        <f>IF($A9="","",SUMIFS(tFeedPur[[Total Quantity in kg]],tFeedPur[[Feed Type]],$A9))</f>
        <v/>
      </c>
      <c r="C9" s="29">
        <f>IF($A9="","",SUMIFS(tFeedPur[[Total Cost]],tFeedPur[[Feed Type]],$A9))</f>
        <v/>
      </c>
      <c r="D9" s="28">
        <f>IF($A9="","",SUMIFS(tFeedIss[[Quantity Issued in kg]],tFeedIss[[Feed Type]],$A9))</f>
        <v/>
      </c>
      <c r="E9" s="29">
        <f>IF($A9="","",SUMIFS(tFeedIss[[Total Cost]],tFeedIss[[Feed Type]],$A9))</f>
        <v/>
      </c>
      <c r="F9" s="28">
        <f>IF($A9="","",B9-D9)</f>
        <v/>
      </c>
      <c r="G9" s="28">
        <f>IF($A9="","",IFERROR(F9/INDEX(tFeedTypes[[Default Bag Size kg]],4),""))</f>
        <v/>
      </c>
      <c r="H9" s="30">
        <f>IF($A9="","",IFERROR(LOOKUP(2,1/((tFeedPur[[Feed Type]]=$A9)*(tFeedPur[[Date]]&lt;=2958465)),tFeedPur[[Avg Cost per kg After Purchase]]),0))</f>
        <v/>
      </c>
      <c r="I9" s="29">
        <f>IF($A9="","",C9-E9)</f>
        <v/>
      </c>
      <c r="J9" s="28">
        <f>IF($A9="","",N(INDEX(tFeedTypes[[Reorder Level kg]],4)))</f>
        <v/>
      </c>
      <c r="K9" s="27">
        <f>IF($A9="","",IF(AND(B9=0,D9=0),"Not stocked",IF(F9&lt;-0.0001,"NEGATIVE - CHECK",IF(F9&lt;=J9,"REORDER","OK"))))</f>
        <v/>
      </c>
      <c r="L9" s="31">
        <f>IF($A9="","",IF(COUNTIF(tFeedPur[[Feed Type]],$A9)=0,"",_xlfn.MAXIFS(tFeedPur[[Date]],tFeedPur[[Feed Type]],$A9)))</f>
        <v/>
      </c>
    </row>
    <row r="10">
      <c r="A10" s="27">
        <f>IFERROR(INDEX(tFeedTypes[[Feed Type]],5)&amp;"","")</f>
        <v/>
      </c>
      <c r="B10" s="28">
        <f>IF($A10="","",SUMIFS(tFeedPur[[Total Quantity in kg]],tFeedPur[[Feed Type]],$A10))</f>
        <v/>
      </c>
      <c r="C10" s="29">
        <f>IF($A10="","",SUMIFS(tFeedPur[[Total Cost]],tFeedPur[[Feed Type]],$A10))</f>
        <v/>
      </c>
      <c r="D10" s="28">
        <f>IF($A10="","",SUMIFS(tFeedIss[[Quantity Issued in kg]],tFeedIss[[Feed Type]],$A10))</f>
        <v/>
      </c>
      <c r="E10" s="29">
        <f>IF($A10="","",SUMIFS(tFeedIss[[Total Cost]],tFeedIss[[Feed Type]],$A10))</f>
        <v/>
      </c>
      <c r="F10" s="28">
        <f>IF($A10="","",B10-D10)</f>
        <v/>
      </c>
      <c r="G10" s="28">
        <f>IF($A10="","",IFERROR(F10/INDEX(tFeedTypes[[Default Bag Size kg]],5),""))</f>
        <v/>
      </c>
      <c r="H10" s="30">
        <f>IF($A10="","",IFERROR(LOOKUP(2,1/((tFeedPur[[Feed Type]]=$A10)*(tFeedPur[[Date]]&lt;=2958465)),tFeedPur[[Avg Cost per kg After Purchase]]),0))</f>
        <v/>
      </c>
      <c r="I10" s="29">
        <f>IF($A10="","",C10-E10)</f>
        <v/>
      </c>
      <c r="J10" s="28">
        <f>IF($A10="","",N(INDEX(tFeedTypes[[Reorder Level kg]],5)))</f>
        <v/>
      </c>
      <c r="K10" s="27">
        <f>IF($A10="","",IF(AND(B10=0,D10=0),"Not stocked",IF(F10&lt;-0.0001,"NEGATIVE - CHECK",IF(F10&lt;=J10,"REORDER","OK"))))</f>
        <v/>
      </c>
      <c r="L10" s="31">
        <f>IF($A10="","",IF(COUNTIF(tFeedPur[[Feed Type]],$A10)=0,"",_xlfn.MAXIFS(tFeedPur[[Date]],tFeedPur[[Feed Type]],$A10)))</f>
        <v/>
      </c>
    </row>
    <row r="11">
      <c r="A11" s="27">
        <f>IFERROR(INDEX(tFeedTypes[[Feed Type]],6)&amp;"","")</f>
        <v/>
      </c>
      <c r="B11" s="28">
        <f>IF($A11="","",SUMIFS(tFeedPur[[Total Quantity in kg]],tFeedPur[[Feed Type]],$A11))</f>
        <v/>
      </c>
      <c r="C11" s="29">
        <f>IF($A11="","",SUMIFS(tFeedPur[[Total Cost]],tFeedPur[[Feed Type]],$A11))</f>
        <v/>
      </c>
      <c r="D11" s="28">
        <f>IF($A11="","",SUMIFS(tFeedIss[[Quantity Issued in kg]],tFeedIss[[Feed Type]],$A11))</f>
        <v/>
      </c>
      <c r="E11" s="29">
        <f>IF($A11="","",SUMIFS(tFeedIss[[Total Cost]],tFeedIss[[Feed Type]],$A11))</f>
        <v/>
      </c>
      <c r="F11" s="28">
        <f>IF($A11="","",B11-D11)</f>
        <v/>
      </c>
      <c r="G11" s="28">
        <f>IF($A11="","",IFERROR(F11/INDEX(tFeedTypes[[Default Bag Size kg]],6),""))</f>
        <v/>
      </c>
      <c r="H11" s="30">
        <f>IF($A11="","",IFERROR(LOOKUP(2,1/((tFeedPur[[Feed Type]]=$A11)*(tFeedPur[[Date]]&lt;=2958465)),tFeedPur[[Avg Cost per kg After Purchase]]),0))</f>
        <v/>
      </c>
      <c r="I11" s="29">
        <f>IF($A11="","",C11-E11)</f>
        <v/>
      </c>
      <c r="J11" s="28">
        <f>IF($A11="","",N(INDEX(tFeedTypes[[Reorder Level kg]],6)))</f>
        <v/>
      </c>
      <c r="K11" s="27">
        <f>IF($A11="","",IF(AND(B11=0,D11=0),"Not stocked",IF(F11&lt;-0.0001,"NEGATIVE - CHECK",IF(F11&lt;=J11,"REORDER","OK"))))</f>
        <v/>
      </c>
      <c r="L11" s="31">
        <f>IF($A11="","",IF(COUNTIF(tFeedPur[[Feed Type]],$A11)=0,"",_xlfn.MAXIFS(tFeedPur[[Date]],tFeedPur[[Feed Type]],$A11)))</f>
        <v/>
      </c>
    </row>
    <row r="12">
      <c r="A12" s="27">
        <f>IFERROR(INDEX(tFeedTypes[[Feed Type]],7)&amp;"","")</f>
        <v/>
      </c>
      <c r="B12" s="28">
        <f>IF($A12="","",SUMIFS(tFeedPur[[Total Quantity in kg]],tFeedPur[[Feed Type]],$A12))</f>
        <v/>
      </c>
      <c r="C12" s="29">
        <f>IF($A12="","",SUMIFS(tFeedPur[[Total Cost]],tFeedPur[[Feed Type]],$A12))</f>
        <v/>
      </c>
      <c r="D12" s="28">
        <f>IF($A12="","",SUMIFS(tFeedIss[[Quantity Issued in kg]],tFeedIss[[Feed Type]],$A12))</f>
        <v/>
      </c>
      <c r="E12" s="29">
        <f>IF($A12="","",SUMIFS(tFeedIss[[Total Cost]],tFeedIss[[Feed Type]],$A12))</f>
        <v/>
      </c>
      <c r="F12" s="28">
        <f>IF($A12="","",B12-D12)</f>
        <v/>
      </c>
      <c r="G12" s="28">
        <f>IF($A12="","",IFERROR(F12/INDEX(tFeedTypes[[Default Bag Size kg]],7),""))</f>
        <v/>
      </c>
      <c r="H12" s="30">
        <f>IF($A12="","",IFERROR(LOOKUP(2,1/((tFeedPur[[Feed Type]]=$A12)*(tFeedPur[[Date]]&lt;=2958465)),tFeedPur[[Avg Cost per kg After Purchase]]),0))</f>
        <v/>
      </c>
      <c r="I12" s="29">
        <f>IF($A12="","",C12-E12)</f>
        <v/>
      </c>
      <c r="J12" s="28">
        <f>IF($A12="","",N(INDEX(tFeedTypes[[Reorder Level kg]],7)))</f>
        <v/>
      </c>
      <c r="K12" s="27">
        <f>IF($A12="","",IF(AND(B12=0,D12=0),"Not stocked",IF(F12&lt;-0.0001,"NEGATIVE - CHECK",IF(F12&lt;=J12,"REORDER","OK"))))</f>
        <v/>
      </c>
      <c r="L12" s="31">
        <f>IF($A12="","",IF(COUNTIF(tFeedPur[[Feed Type]],$A12)=0,"",_xlfn.MAXIFS(tFeedPur[[Date]],tFeedPur[[Feed Type]],$A12)))</f>
        <v/>
      </c>
    </row>
    <row r="13">
      <c r="A13" s="27">
        <f>IFERROR(INDEX(tFeedTypes[[Feed Type]],8)&amp;"","")</f>
        <v/>
      </c>
      <c r="B13" s="28">
        <f>IF($A13="","",SUMIFS(tFeedPur[[Total Quantity in kg]],tFeedPur[[Feed Type]],$A13))</f>
        <v/>
      </c>
      <c r="C13" s="29">
        <f>IF($A13="","",SUMIFS(tFeedPur[[Total Cost]],tFeedPur[[Feed Type]],$A13))</f>
        <v/>
      </c>
      <c r="D13" s="28">
        <f>IF($A13="","",SUMIFS(tFeedIss[[Quantity Issued in kg]],tFeedIss[[Feed Type]],$A13))</f>
        <v/>
      </c>
      <c r="E13" s="29">
        <f>IF($A13="","",SUMIFS(tFeedIss[[Total Cost]],tFeedIss[[Feed Type]],$A13))</f>
        <v/>
      </c>
      <c r="F13" s="28">
        <f>IF($A13="","",B13-D13)</f>
        <v/>
      </c>
      <c r="G13" s="28">
        <f>IF($A13="","",IFERROR(F13/INDEX(tFeedTypes[[Default Bag Size kg]],8),""))</f>
        <v/>
      </c>
      <c r="H13" s="30">
        <f>IF($A13="","",IFERROR(LOOKUP(2,1/((tFeedPur[[Feed Type]]=$A13)*(tFeedPur[[Date]]&lt;=2958465)),tFeedPur[[Avg Cost per kg After Purchase]]),0))</f>
        <v/>
      </c>
      <c r="I13" s="29">
        <f>IF($A13="","",C13-E13)</f>
        <v/>
      </c>
      <c r="J13" s="28">
        <f>IF($A13="","",N(INDEX(tFeedTypes[[Reorder Level kg]],8)))</f>
        <v/>
      </c>
      <c r="K13" s="27">
        <f>IF($A13="","",IF(AND(B13=0,D13=0),"Not stocked",IF(F13&lt;-0.0001,"NEGATIVE - CHECK",IF(F13&lt;=J13,"REORDER","OK"))))</f>
        <v/>
      </c>
      <c r="L13" s="31">
        <f>IF($A13="","",IF(COUNTIF(tFeedPur[[Feed Type]],$A13)=0,"",_xlfn.MAXIFS(tFeedPur[[Date]],tFeedPur[[Feed Type]],$A13)))</f>
        <v/>
      </c>
    </row>
    <row r="14">
      <c r="A14" s="27">
        <f>IFERROR(INDEX(tFeedTypes[[Feed Type]],9)&amp;"","")</f>
        <v/>
      </c>
      <c r="B14" s="28">
        <f>IF($A14="","",SUMIFS(tFeedPur[[Total Quantity in kg]],tFeedPur[[Feed Type]],$A14))</f>
        <v/>
      </c>
      <c r="C14" s="29">
        <f>IF($A14="","",SUMIFS(tFeedPur[[Total Cost]],tFeedPur[[Feed Type]],$A14))</f>
        <v/>
      </c>
      <c r="D14" s="28">
        <f>IF($A14="","",SUMIFS(tFeedIss[[Quantity Issued in kg]],tFeedIss[[Feed Type]],$A14))</f>
        <v/>
      </c>
      <c r="E14" s="29">
        <f>IF($A14="","",SUMIFS(tFeedIss[[Total Cost]],tFeedIss[[Feed Type]],$A14))</f>
        <v/>
      </c>
      <c r="F14" s="28">
        <f>IF($A14="","",B14-D14)</f>
        <v/>
      </c>
      <c r="G14" s="28">
        <f>IF($A14="","",IFERROR(F14/INDEX(tFeedTypes[[Default Bag Size kg]],9),""))</f>
        <v/>
      </c>
      <c r="H14" s="30">
        <f>IF($A14="","",IFERROR(LOOKUP(2,1/((tFeedPur[[Feed Type]]=$A14)*(tFeedPur[[Date]]&lt;=2958465)),tFeedPur[[Avg Cost per kg After Purchase]]),0))</f>
        <v/>
      </c>
      <c r="I14" s="29">
        <f>IF($A14="","",C14-E14)</f>
        <v/>
      </c>
      <c r="J14" s="28">
        <f>IF($A14="","",N(INDEX(tFeedTypes[[Reorder Level kg]],9)))</f>
        <v/>
      </c>
      <c r="K14" s="27">
        <f>IF($A14="","",IF(AND(B14=0,D14=0),"Not stocked",IF(F14&lt;-0.0001,"NEGATIVE - CHECK",IF(F14&lt;=J14,"REORDER","OK"))))</f>
        <v/>
      </c>
      <c r="L14" s="31">
        <f>IF($A14="","",IF(COUNTIF(tFeedPur[[Feed Type]],$A14)=0,"",_xlfn.MAXIFS(tFeedPur[[Date]],tFeedPur[[Feed Type]],$A14)))</f>
        <v/>
      </c>
    </row>
    <row r="15">
      <c r="A15" s="27">
        <f>IFERROR(INDEX(tFeedTypes[[Feed Type]],10)&amp;"","")</f>
        <v/>
      </c>
      <c r="B15" s="28">
        <f>IF($A15="","",SUMIFS(tFeedPur[[Total Quantity in kg]],tFeedPur[[Feed Type]],$A15))</f>
        <v/>
      </c>
      <c r="C15" s="29">
        <f>IF($A15="","",SUMIFS(tFeedPur[[Total Cost]],tFeedPur[[Feed Type]],$A15))</f>
        <v/>
      </c>
      <c r="D15" s="28">
        <f>IF($A15="","",SUMIFS(tFeedIss[[Quantity Issued in kg]],tFeedIss[[Feed Type]],$A15))</f>
        <v/>
      </c>
      <c r="E15" s="29">
        <f>IF($A15="","",SUMIFS(tFeedIss[[Total Cost]],tFeedIss[[Feed Type]],$A15))</f>
        <v/>
      </c>
      <c r="F15" s="28">
        <f>IF($A15="","",B15-D15)</f>
        <v/>
      </c>
      <c r="G15" s="28">
        <f>IF($A15="","",IFERROR(F15/INDEX(tFeedTypes[[Default Bag Size kg]],10),""))</f>
        <v/>
      </c>
      <c r="H15" s="30">
        <f>IF($A15="","",IFERROR(LOOKUP(2,1/((tFeedPur[[Feed Type]]=$A15)*(tFeedPur[[Date]]&lt;=2958465)),tFeedPur[[Avg Cost per kg After Purchase]]),0))</f>
        <v/>
      </c>
      <c r="I15" s="29">
        <f>IF($A15="","",C15-E15)</f>
        <v/>
      </c>
      <c r="J15" s="28">
        <f>IF($A15="","",N(INDEX(tFeedTypes[[Reorder Level kg]],10)))</f>
        <v/>
      </c>
      <c r="K15" s="27">
        <f>IF($A15="","",IF(AND(B15=0,D15=0),"Not stocked",IF(F15&lt;-0.0001,"NEGATIVE - CHECK",IF(F15&lt;=J15,"REORDER","OK"))))</f>
        <v/>
      </c>
      <c r="L15" s="31">
        <f>IF($A15="","",IF(COUNTIF(tFeedPur[[Feed Type]],$A15)=0,"",_xlfn.MAXIFS(tFeedPur[[Date]],tFeedPur[[Feed Type]],$A15)))</f>
        <v/>
      </c>
    </row>
    <row r="16">
      <c r="A16" s="27">
        <f>IFERROR(INDEX(tFeedTypes[[Feed Type]],11)&amp;"","")</f>
        <v/>
      </c>
      <c r="B16" s="28">
        <f>IF($A16="","",SUMIFS(tFeedPur[[Total Quantity in kg]],tFeedPur[[Feed Type]],$A16))</f>
        <v/>
      </c>
      <c r="C16" s="29">
        <f>IF($A16="","",SUMIFS(tFeedPur[[Total Cost]],tFeedPur[[Feed Type]],$A16))</f>
        <v/>
      </c>
      <c r="D16" s="28">
        <f>IF($A16="","",SUMIFS(tFeedIss[[Quantity Issued in kg]],tFeedIss[[Feed Type]],$A16))</f>
        <v/>
      </c>
      <c r="E16" s="29">
        <f>IF($A16="","",SUMIFS(tFeedIss[[Total Cost]],tFeedIss[[Feed Type]],$A16))</f>
        <v/>
      </c>
      <c r="F16" s="28">
        <f>IF($A16="","",B16-D16)</f>
        <v/>
      </c>
      <c r="G16" s="28">
        <f>IF($A16="","",IFERROR(F16/INDEX(tFeedTypes[[Default Bag Size kg]],11),""))</f>
        <v/>
      </c>
      <c r="H16" s="30">
        <f>IF($A16="","",IFERROR(LOOKUP(2,1/((tFeedPur[[Feed Type]]=$A16)*(tFeedPur[[Date]]&lt;=2958465)),tFeedPur[[Avg Cost per kg After Purchase]]),0))</f>
        <v/>
      </c>
      <c r="I16" s="29">
        <f>IF($A16="","",C16-E16)</f>
        <v/>
      </c>
      <c r="J16" s="28">
        <f>IF($A16="","",N(INDEX(tFeedTypes[[Reorder Level kg]],11)))</f>
        <v/>
      </c>
      <c r="K16" s="27">
        <f>IF($A16="","",IF(AND(B16=0,D16=0),"Not stocked",IF(F16&lt;-0.0001,"NEGATIVE - CHECK",IF(F16&lt;=J16,"REORDER","OK"))))</f>
        <v/>
      </c>
      <c r="L16" s="31">
        <f>IF($A16="","",IF(COUNTIF(tFeedPur[[Feed Type]],$A16)=0,"",_xlfn.MAXIFS(tFeedPur[[Date]],tFeedPur[[Feed Type]],$A16)))</f>
        <v/>
      </c>
    </row>
    <row r="17">
      <c r="A17" s="27">
        <f>IFERROR(INDEX(tFeedTypes[[Feed Type]],12)&amp;"","")</f>
        <v/>
      </c>
      <c r="B17" s="28">
        <f>IF($A17="","",SUMIFS(tFeedPur[[Total Quantity in kg]],tFeedPur[[Feed Type]],$A17))</f>
        <v/>
      </c>
      <c r="C17" s="29">
        <f>IF($A17="","",SUMIFS(tFeedPur[[Total Cost]],tFeedPur[[Feed Type]],$A17))</f>
        <v/>
      </c>
      <c r="D17" s="28">
        <f>IF($A17="","",SUMIFS(tFeedIss[[Quantity Issued in kg]],tFeedIss[[Feed Type]],$A17))</f>
        <v/>
      </c>
      <c r="E17" s="29">
        <f>IF($A17="","",SUMIFS(tFeedIss[[Total Cost]],tFeedIss[[Feed Type]],$A17))</f>
        <v/>
      </c>
      <c r="F17" s="28">
        <f>IF($A17="","",B17-D17)</f>
        <v/>
      </c>
      <c r="G17" s="28">
        <f>IF($A17="","",IFERROR(F17/INDEX(tFeedTypes[[Default Bag Size kg]],12),""))</f>
        <v/>
      </c>
      <c r="H17" s="30">
        <f>IF($A17="","",IFERROR(LOOKUP(2,1/((tFeedPur[[Feed Type]]=$A17)*(tFeedPur[[Date]]&lt;=2958465)),tFeedPur[[Avg Cost per kg After Purchase]]),0))</f>
        <v/>
      </c>
      <c r="I17" s="29">
        <f>IF($A17="","",C17-E17)</f>
        <v/>
      </c>
      <c r="J17" s="28">
        <f>IF($A17="","",N(INDEX(tFeedTypes[[Reorder Level kg]],12)))</f>
        <v/>
      </c>
      <c r="K17" s="27">
        <f>IF($A17="","",IF(AND(B17=0,D17=0),"Not stocked",IF(F17&lt;-0.0001,"NEGATIVE - CHECK",IF(F17&lt;=J17,"REORDER","OK"))))</f>
        <v/>
      </c>
      <c r="L17" s="31">
        <f>IF($A17="","",IF(COUNTIF(tFeedPur[[Feed Type]],$A17)=0,"",_xlfn.MAXIFS(tFeedPur[[Date]],tFeedPur[[Feed Type]],$A17)))</f>
        <v/>
      </c>
    </row>
    <row r="18">
      <c r="A18" s="27">
        <f>IFERROR(INDEX(tFeedTypes[[Feed Type]],13)&amp;"","")</f>
        <v/>
      </c>
      <c r="B18" s="28">
        <f>IF($A18="","",SUMIFS(tFeedPur[[Total Quantity in kg]],tFeedPur[[Feed Type]],$A18))</f>
        <v/>
      </c>
      <c r="C18" s="29">
        <f>IF($A18="","",SUMIFS(tFeedPur[[Total Cost]],tFeedPur[[Feed Type]],$A18))</f>
        <v/>
      </c>
      <c r="D18" s="28">
        <f>IF($A18="","",SUMIFS(tFeedIss[[Quantity Issued in kg]],tFeedIss[[Feed Type]],$A18))</f>
        <v/>
      </c>
      <c r="E18" s="29">
        <f>IF($A18="","",SUMIFS(tFeedIss[[Total Cost]],tFeedIss[[Feed Type]],$A18))</f>
        <v/>
      </c>
      <c r="F18" s="28">
        <f>IF($A18="","",B18-D18)</f>
        <v/>
      </c>
      <c r="G18" s="28">
        <f>IF($A18="","",IFERROR(F18/INDEX(tFeedTypes[[Default Bag Size kg]],13),""))</f>
        <v/>
      </c>
      <c r="H18" s="30">
        <f>IF($A18="","",IFERROR(LOOKUP(2,1/((tFeedPur[[Feed Type]]=$A18)*(tFeedPur[[Date]]&lt;=2958465)),tFeedPur[[Avg Cost per kg After Purchase]]),0))</f>
        <v/>
      </c>
      <c r="I18" s="29">
        <f>IF($A18="","",C18-E18)</f>
        <v/>
      </c>
      <c r="J18" s="28">
        <f>IF($A18="","",N(INDEX(tFeedTypes[[Reorder Level kg]],13)))</f>
        <v/>
      </c>
      <c r="K18" s="27">
        <f>IF($A18="","",IF(AND(B18=0,D18=0),"Not stocked",IF(F18&lt;-0.0001,"NEGATIVE - CHECK",IF(F18&lt;=J18,"REORDER","OK"))))</f>
        <v/>
      </c>
      <c r="L18" s="31">
        <f>IF($A18="","",IF(COUNTIF(tFeedPur[[Feed Type]],$A18)=0,"",_xlfn.MAXIFS(tFeedPur[[Date]],tFeedPur[[Feed Type]],$A18)))</f>
        <v/>
      </c>
    </row>
    <row r="19">
      <c r="A19" s="27">
        <f>IFERROR(INDEX(tFeedTypes[[Feed Type]],14)&amp;"","")</f>
        <v/>
      </c>
      <c r="B19" s="28">
        <f>IF($A19="","",SUMIFS(tFeedPur[[Total Quantity in kg]],tFeedPur[[Feed Type]],$A19))</f>
        <v/>
      </c>
      <c r="C19" s="29">
        <f>IF($A19="","",SUMIFS(tFeedPur[[Total Cost]],tFeedPur[[Feed Type]],$A19))</f>
        <v/>
      </c>
      <c r="D19" s="28">
        <f>IF($A19="","",SUMIFS(tFeedIss[[Quantity Issued in kg]],tFeedIss[[Feed Type]],$A19))</f>
        <v/>
      </c>
      <c r="E19" s="29">
        <f>IF($A19="","",SUMIFS(tFeedIss[[Total Cost]],tFeedIss[[Feed Type]],$A19))</f>
        <v/>
      </c>
      <c r="F19" s="28">
        <f>IF($A19="","",B19-D19)</f>
        <v/>
      </c>
      <c r="G19" s="28">
        <f>IF($A19="","",IFERROR(F19/INDEX(tFeedTypes[[Default Bag Size kg]],14),""))</f>
        <v/>
      </c>
      <c r="H19" s="30">
        <f>IF($A19="","",IFERROR(LOOKUP(2,1/((tFeedPur[[Feed Type]]=$A19)*(tFeedPur[[Date]]&lt;=2958465)),tFeedPur[[Avg Cost per kg After Purchase]]),0))</f>
        <v/>
      </c>
      <c r="I19" s="29">
        <f>IF($A19="","",C19-E19)</f>
        <v/>
      </c>
      <c r="J19" s="28">
        <f>IF($A19="","",N(INDEX(tFeedTypes[[Reorder Level kg]],14)))</f>
        <v/>
      </c>
      <c r="K19" s="27">
        <f>IF($A19="","",IF(AND(B19=0,D19=0),"Not stocked",IF(F19&lt;-0.0001,"NEGATIVE - CHECK",IF(F19&lt;=J19,"REORDER","OK"))))</f>
        <v/>
      </c>
      <c r="L19" s="31">
        <f>IF($A19="","",IF(COUNTIF(tFeedPur[[Feed Type]],$A19)=0,"",_xlfn.MAXIFS(tFeedPur[[Date]],tFeedPur[[Feed Type]],$A19)))</f>
        <v/>
      </c>
    </row>
    <row r="20">
      <c r="A20" s="27">
        <f>IFERROR(INDEX(tFeedTypes[[Feed Type]],15)&amp;"","")</f>
        <v/>
      </c>
      <c r="B20" s="28">
        <f>IF($A20="","",SUMIFS(tFeedPur[[Total Quantity in kg]],tFeedPur[[Feed Type]],$A20))</f>
        <v/>
      </c>
      <c r="C20" s="29">
        <f>IF($A20="","",SUMIFS(tFeedPur[[Total Cost]],tFeedPur[[Feed Type]],$A20))</f>
        <v/>
      </c>
      <c r="D20" s="28">
        <f>IF($A20="","",SUMIFS(tFeedIss[[Quantity Issued in kg]],tFeedIss[[Feed Type]],$A20))</f>
        <v/>
      </c>
      <c r="E20" s="29">
        <f>IF($A20="","",SUMIFS(tFeedIss[[Total Cost]],tFeedIss[[Feed Type]],$A20))</f>
        <v/>
      </c>
      <c r="F20" s="28">
        <f>IF($A20="","",B20-D20)</f>
        <v/>
      </c>
      <c r="G20" s="28">
        <f>IF($A20="","",IFERROR(F20/INDEX(tFeedTypes[[Default Bag Size kg]],15),""))</f>
        <v/>
      </c>
      <c r="H20" s="30">
        <f>IF($A20="","",IFERROR(LOOKUP(2,1/((tFeedPur[[Feed Type]]=$A20)*(tFeedPur[[Date]]&lt;=2958465)),tFeedPur[[Avg Cost per kg After Purchase]]),0))</f>
        <v/>
      </c>
      <c r="I20" s="29">
        <f>IF($A20="","",C20-E20)</f>
        <v/>
      </c>
      <c r="J20" s="28">
        <f>IF($A20="","",N(INDEX(tFeedTypes[[Reorder Level kg]],15)))</f>
        <v/>
      </c>
      <c r="K20" s="27">
        <f>IF($A20="","",IF(AND(B20=0,D20=0),"Not stocked",IF(F20&lt;-0.0001,"NEGATIVE - CHECK",IF(F20&lt;=J20,"REORDER","OK"))))</f>
        <v/>
      </c>
      <c r="L20" s="31">
        <f>IF($A20="","",IF(COUNTIF(tFeedPur[[Feed Type]],$A20)=0,"",_xlfn.MAXIFS(tFeedPur[[Date]],tFeedPur[[Feed Type]],$A20)))</f>
        <v/>
      </c>
    </row>
    <row r="21">
      <c r="A21" s="27">
        <f>IFERROR(INDEX(tFeedTypes[[Feed Type]],16)&amp;"","")</f>
        <v/>
      </c>
      <c r="B21" s="28">
        <f>IF($A21="","",SUMIFS(tFeedPur[[Total Quantity in kg]],tFeedPur[[Feed Type]],$A21))</f>
        <v/>
      </c>
      <c r="C21" s="29">
        <f>IF($A21="","",SUMIFS(tFeedPur[[Total Cost]],tFeedPur[[Feed Type]],$A21))</f>
        <v/>
      </c>
      <c r="D21" s="28">
        <f>IF($A21="","",SUMIFS(tFeedIss[[Quantity Issued in kg]],tFeedIss[[Feed Type]],$A21))</f>
        <v/>
      </c>
      <c r="E21" s="29">
        <f>IF($A21="","",SUMIFS(tFeedIss[[Total Cost]],tFeedIss[[Feed Type]],$A21))</f>
        <v/>
      </c>
      <c r="F21" s="28">
        <f>IF($A21="","",B21-D21)</f>
        <v/>
      </c>
      <c r="G21" s="28">
        <f>IF($A21="","",IFERROR(F21/INDEX(tFeedTypes[[Default Bag Size kg]],16),""))</f>
        <v/>
      </c>
      <c r="H21" s="30">
        <f>IF($A21="","",IFERROR(LOOKUP(2,1/((tFeedPur[[Feed Type]]=$A21)*(tFeedPur[[Date]]&lt;=2958465)),tFeedPur[[Avg Cost per kg After Purchase]]),0))</f>
        <v/>
      </c>
      <c r="I21" s="29">
        <f>IF($A21="","",C21-E21)</f>
        <v/>
      </c>
      <c r="J21" s="28">
        <f>IF($A21="","",N(INDEX(tFeedTypes[[Reorder Level kg]],16)))</f>
        <v/>
      </c>
      <c r="K21" s="27">
        <f>IF($A21="","",IF(AND(B21=0,D21=0),"Not stocked",IF(F21&lt;-0.0001,"NEGATIVE - CHECK",IF(F21&lt;=J21,"REORDER","OK"))))</f>
        <v/>
      </c>
      <c r="L21" s="31">
        <f>IF($A21="","",IF(COUNTIF(tFeedPur[[Feed Type]],$A21)=0,"",_xlfn.MAXIFS(tFeedPur[[Date]],tFeedPur[[Feed Type]],$A21)))</f>
        <v/>
      </c>
    </row>
    <row r="22">
      <c r="A22" s="27">
        <f>IFERROR(INDEX(tFeedTypes[[Feed Type]],17)&amp;"","")</f>
        <v/>
      </c>
      <c r="B22" s="28">
        <f>IF($A22="","",SUMIFS(tFeedPur[[Total Quantity in kg]],tFeedPur[[Feed Type]],$A22))</f>
        <v/>
      </c>
      <c r="C22" s="29">
        <f>IF($A22="","",SUMIFS(tFeedPur[[Total Cost]],tFeedPur[[Feed Type]],$A22))</f>
        <v/>
      </c>
      <c r="D22" s="28">
        <f>IF($A22="","",SUMIFS(tFeedIss[[Quantity Issued in kg]],tFeedIss[[Feed Type]],$A22))</f>
        <v/>
      </c>
      <c r="E22" s="29">
        <f>IF($A22="","",SUMIFS(tFeedIss[[Total Cost]],tFeedIss[[Feed Type]],$A22))</f>
        <v/>
      </c>
      <c r="F22" s="28">
        <f>IF($A22="","",B22-D22)</f>
        <v/>
      </c>
      <c r="G22" s="28">
        <f>IF($A22="","",IFERROR(F22/INDEX(tFeedTypes[[Default Bag Size kg]],17),""))</f>
        <v/>
      </c>
      <c r="H22" s="30">
        <f>IF($A22="","",IFERROR(LOOKUP(2,1/((tFeedPur[[Feed Type]]=$A22)*(tFeedPur[[Date]]&lt;=2958465)),tFeedPur[[Avg Cost per kg After Purchase]]),0))</f>
        <v/>
      </c>
      <c r="I22" s="29">
        <f>IF($A22="","",C22-E22)</f>
        <v/>
      </c>
      <c r="J22" s="28">
        <f>IF($A22="","",N(INDEX(tFeedTypes[[Reorder Level kg]],17)))</f>
        <v/>
      </c>
      <c r="K22" s="27">
        <f>IF($A22="","",IF(AND(B22=0,D22=0),"Not stocked",IF(F22&lt;-0.0001,"NEGATIVE - CHECK",IF(F22&lt;=J22,"REORDER","OK"))))</f>
        <v/>
      </c>
      <c r="L22" s="31">
        <f>IF($A22="","",IF(COUNTIF(tFeedPur[[Feed Type]],$A22)=0,"",_xlfn.MAXIFS(tFeedPur[[Date]],tFeedPur[[Feed Type]],$A22)))</f>
        <v/>
      </c>
    </row>
    <row r="23">
      <c r="A23" s="27">
        <f>IFERROR(INDEX(tFeedTypes[[Feed Type]],18)&amp;"","")</f>
        <v/>
      </c>
      <c r="B23" s="28">
        <f>IF($A23="","",SUMIFS(tFeedPur[[Total Quantity in kg]],tFeedPur[[Feed Type]],$A23))</f>
        <v/>
      </c>
      <c r="C23" s="29">
        <f>IF($A23="","",SUMIFS(tFeedPur[[Total Cost]],tFeedPur[[Feed Type]],$A23))</f>
        <v/>
      </c>
      <c r="D23" s="28">
        <f>IF($A23="","",SUMIFS(tFeedIss[[Quantity Issued in kg]],tFeedIss[[Feed Type]],$A23))</f>
        <v/>
      </c>
      <c r="E23" s="29">
        <f>IF($A23="","",SUMIFS(tFeedIss[[Total Cost]],tFeedIss[[Feed Type]],$A23))</f>
        <v/>
      </c>
      <c r="F23" s="28">
        <f>IF($A23="","",B23-D23)</f>
        <v/>
      </c>
      <c r="G23" s="28">
        <f>IF($A23="","",IFERROR(F23/INDEX(tFeedTypes[[Default Bag Size kg]],18),""))</f>
        <v/>
      </c>
      <c r="H23" s="30">
        <f>IF($A23="","",IFERROR(LOOKUP(2,1/((tFeedPur[[Feed Type]]=$A23)*(tFeedPur[[Date]]&lt;=2958465)),tFeedPur[[Avg Cost per kg After Purchase]]),0))</f>
        <v/>
      </c>
      <c r="I23" s="29">
        <f>IF($A23="","",C23-E23)</f>
        <v/>
      </c>
      <c r="J23" s="28">
        <f>IF($A23="","",N(INDEX(tFeedTypes[[Reorder Level kg]],18)))</f>
        <v/>
      </c>
      <c r="K23" s="27">
        <f>IF($A23="","",IF(AND(B23=0,D23=0),"Not stocked",IF(F23&lt;-0.0001,"NEGATIVE - CHECK",IF(F23&lt;=J23,"REORDER","OK"))))</f>
        <v/>
      </c>
      <c r="L23" s="31">
        <f>IF($A23="","",IF(COUNTIF(tFeedPur[[Feed Type]],$A23)=0,"",_xlfn.MAXIFS(tFeedPur[[Date]],tFeedPur[[Feed Type]],$A23)))</f>
        <v/>
      </c>
    </row>
    <row r="24">
      <c r="A24" s="27">
        <f>IFERROR(INDEX(tFeedTypes[[Feed Type]],19)&amp;"","")</f>
        <v/>
      </c>
      <c r="B24" s="28">
        <f>IF($A24="","",SUMIFS(tFeedPur[[Total Quantity in kg]],tFeedPur[[Feed Type]],$A24))</f>
        <v/>
      </c>
      <c r="C24" s="29">
        <f>IF($A24="","",SUMIFS(tFeedPur[[Total Cost]],tFeedPur[[Feed Type]],$A24))</f>
        <v/>
      </c>
      <c r="D24" s="28">
        <f>IF($A24="","",SUMIFS(tFeedIss[[Quantity Issued in kg]],tFeedIss[[Feed Type]],$A24))</f>
        <v/>
      </c>
      <c r="E24" s="29">
        <f>IF($A24="","",SUMIFS(tFeedIss[[Total Cost]],tFeedIss[[Feed Type]],$A24))</f>
        <v/>
      </c>
      <c r="F24" s="28">
        <f>IF($A24="","",B24-D24)</f>
        <v/>
      </c>
      <c r="G24" s="28">
        <f>IF($A24="","",IFERROR(F24/INDEX(tFeedTypes[[Default Bag Size kg]],19),""))</f>
        <v/>
      </c>
      <c r="H24" s="30">
        <f>IF($A24="","",IFERROR(LOOKUP(2,1/((tFeedPur[[Feed Type]]=$A24)*(tFeedPur[[Date]]&lt;=2958465)),tFeedPur[[Avg Cost per kg After Purchase]]),0))</f>
        <v/>
      </c>
      <c r="I24" s="29">
        <f>IF($A24="","",C24-E24)</f>
        <v/>
      </c>
      <c r="J24" s="28">
        <f>IF($A24="","",N(INDEX(tFeedTypes[[Reorder Level kg]],19)))</f>
        <v/>
      </c>
      <c r="K24" s="27">
        <f>IF($A24="","",IF(AND(B24=0,D24=0),"Not stocked",IF(F24&lt;-0.0001,"NEGATIVE - CHECK",IF(F24&lt;=J24,"REORDER","OK"))))</f>
        <v/>
      </c>
      <c r="L24" s="31">
        <f>IF($A24="","",IF(COUNTIF(tFeedPur[[Feed Type]],$A24)=0,"",_xlfn.MAXIFS(tFeedPur[[Date]],tFeedPur[[Feed Type]],$A24)))</f>
        <v/>
      </c>
    </row>
    <row r="25">
      <c r="A25" s="27">
        <f>IFERROR(INDEX(tFeedTypes[[Feed Type]],20)&amp;"","")</f>
        <v/>
      </c>
      <c r="B25" s="28">
        <f>IF($A25="","",SUMIFS(tFeedPur[[Total Quantity in kg]],tFeedPur[[Feed Type]],$A25))</f>
        <v/>
      </c>
      <c r="C25" s="29">
        <f>IF($A25="","",SUMIFS(tFeedPur[[Total Cost]],tFeedPur[[Feed Type]],$A25))</f>
        <v/>
      </c>
      <c r="D25" s="28">
        <f>IF($A25="","",SUMIFS(tFeedIss[[Quantity Issued in kg]],tFeedIss[[Feed Type]],$A25))</f>
        <v/>
      </c>
      <c r="E25" s="29">
        <f>IF($A25="","",SUMIFS(tFeedIss[[Total Cost]],tFeedIss[[Feed Type]],$A25))</f>
        <v/>
      </c>
      <c r="F25" s="28">
        <f>IF($A25="","",B25-D25)</f>
        <v/>
      </c>
      <c r="G25" s="28">
        <f>IF($A25="","",IFERROR(F25/INDEX(tFeedTypes[[Default Bag Size kg]],20),""))</f>
        <v/>
      </c>
      <c r="H25" s="30">
        <f>IF($A25="","",IFERROR(LOOKUP(2,1/((tFeedPur[[Feed Type]]=$A25)*(tFeedPur[[Date]]&lt;=2958465)),tFeedPur[[Avg Cost per kg After Purchase]]),0))</f>
        <v/>
      </c>
      <c r="I25" s="29">
        <f>IF($A25="","",C25-E25)</f>
        <v/>
      </c>
      <c r="J25" s="28">
        <f>IF($A25="","",N(INDEX(tFeedTypes[[Reorder Level kg]],20)))</f>
        <v/>
      </c>
      <c r="K25" s="27">
        <f>IF($A25="","",IF(AND(B25=0,D25=0),"Not stocked",IF(F25&lt;-0.0001,"NEGATIVE - CHECK",IF(F25&lt;=J25,"REORDER","OK"))))</f>
        <v/>
      </c>
      <c r="L25" s="31">
        <f>IF($A25="","",IF(COUNTIF(tFeedPur[[Feed Type]],$A25)=0,"",_xlfn.MAXIFS(tFeedPur[[Date]],tFeedPur[[Feed Type]],$A25)))</f>
        <v/>
      </c>
    </row>
    <row r="26">
      <c r="A26" s="32" t="inlineStr">
        <is>
          <t>TOTAL FEED</t>
        </is>
      </c>
      <c r="B26" s="33">
        <f>SUM(B6:B25)</f>
        <v/>
      </c>
      <c r="C26" s="34">
        <f>SUM(C6:C25)</f>
        <v/>
      </c>
      <c r="D26" s="33">
        <f>SUM(D6:D25)</f>
        <v/>
      </c>
      <c r="E26" s="34">
        <f>SUM(E6:E25)</f>
        <v/>
      </c>
      <c r="F26" s="33">
        <f>SUM(F6:F25)</f>
        <v/>
      </c>
      <c r="G26" s="35" t="n"/>
      <c r="H26" s="35" t="n"/>
      <c r="I26" s="34">
        <f>SUM(I6:I25)</f>
        <v/>
      </c>
      <c r="J26" s="35" t="n"/>
      <c r="K26" s="32">
        <f>COUNTIF(K6:K25,"REORDER")&amp;" to reorder"</f>
        <v/>
      </c>
      <c r="L26" s="35" t="n"/>
    </row>
    <row r="29">
      <c r="A29" s="25" t="inlineStr">
        <is>
          <t>DRUG STORE (in each drug's stock unit)</t>
        </is>
      </c>
    </row>
    <row r="30" ht="30" customHeight="1">
      <c r="A30" s="26" t="inlineStr">
        <is>
          <t>Drug Name</t>
        </is>
      </c>
      <c r="B30" s="26" t="inlineStr">
        <is>
          <t>Unit</t>
        </is>
      </c>
      <c r="C30" s="26" t="inlineStr">
        <is>
          <t>Purchased Qty</t>
        </is>
      </c>
      <c r="D30" s="26" t="inlineStr">
        <is>
          <t>Purchased Cost</t>
        </is>
      </c>
      <c r="E30" s="26" t="inlineStr">
        <is>
          <t>Used Qty</t>
        </is>
      </c>
      <c r="F30" s="26" t="inlineStr">
        <is>
          <t>Used Cost (to pens)</t>
        </is>
      </c>
      <c r="G30" s="26" t="inlineStr">
        <is>
          <t>Remaining Qty</t>
        </is>
      </c>
      <c r="H30" s="26" t="inlineStr">
        <is>
          <t>Current Avg Cost per Unit</t>
        </is>
      </c>
      <c r="I30" s="26" t="inlineStr">
        <is>
          <t>Inventory Value</t>
        </is>
      </c>
      <c r="J30" s="26" t="inlineStr">
        <is>
          <t>Reorder Level</t>
        </is>
      </c>
      <c r="K30" s="26" t="inlineStr">
        <is>
          <t>Stock Status</t>
        </is>
      </c>
      <c r="L30" s="26" t="inlineStr">
        <is>
          <t>Nearest Unexpired Expiry</t>
        </is>
      </c>
      <c r="M30" s="26" t="inlineStr">
        <is>
          <t>Expiry Alert</t>
        </is>
      </c>
    </row>
    <row r="31">
      <c r="A31" s="27">
        <f>IFERROR(INDEX(tDrugs[[Drug Name]],1)&amp;"","")</f>
        <v/>
      </c>
      <c r="B31" s="36">
        <f>IF($A31="","",INDEX(tDrugs[[Stock Unit]],1)&amp;"")</f>
        <v/>
      </c>
      <c r="C31" s="28">
        <f>IF($A31="","",SUMIFS(tDrugPur[[Quantity Purchased]],tDrugPur[[Drug Name]],$A31))</f>
        <v/>
      </c>
      <c r="D31" s="29">
        <f>IF($A31="","",SUMIFS(tDrugPur[[Total Cost]],tDrugPur[[Drug Name]],$A31))</f>
        <v/>
      </c>
      <c r="E31" s="28">
        <f>IF($A31="","",SUMIFS(tDrugUse[[Quantity Used]],tDrugUse[[Drug Name]],$A31))</f>
        <v/>
      </c>
      <c r="F31" s="29">
        <f>IF($A31="","",SUMIFS(tDrugUse[[Total Cost]],tDrugUse[[Drug Name]],$A31))</f>
        <v/>
      </c>
      <c r="G31" s="28">
        <f>IF($A31="","",C31-E31)</f>
        <v/>
      </c>
      <c r="H31" s="30">
        <f>IF($A31="","",IFERROR(LOOKUP(2,1/((tDrugPur[[Drug Name]]=$A31)*(tDrugPur[[Date]]&lt;=2958465)),tDrugPur[[Avg Cost per Unit After Purchase]]),0))</f>
        <v/>
      </c>
      <c r="I31" s="29">
        <f>IF($A31="","",D31-F31)</f>
        <v/>
      </c>
      <c r="J31" s="28">
        <f>IF($A31="","",N(INDEX(tDrugs[[Reorder Level]],1)))</f>
        <v/>
      </c>
      <c r="K31" s="27">
        <f>IF($A31="","",IF(AND(C31=0,E31=0),"Not stocked",IF(G31&lt;-0.0001,"NEGATIVE - CHECK",IF(G31&lt;=J31,"REORDER","OK"))))</f>
        <v/>
      </c>
      <c r="L31" s="31">
        <f>IF($A31="","",IF(_xlfn.MINIFS(tDrugPur[[Expiry Date]],tDrugPur[[Drug Name]],$A31,tDrugPur[[Expiry Date]],"&gt;="&amp;TODAY(),tDrugPur[[Expiry Status]],"&lt;&gt;Used up")=0,"",_xlfn.MINIFS(tDrugPur[[Expiry Date]],tDrugPur[[Drug Name]],$A31,tDrugPur[[Expiry Date]],"&gt;="&amp;TODAY(),tDrugPur[[Expiry Status]],"&lt;&gt;Used up")))</f>
        <v/>
      </c>
      <c r="M31" s="27">
        <f>IF($A31="","",IF(COUNTIFS(tDrugPur[[Drug Name]],$A31,tDrugPur[[Expiry Status]],"EXPIRED")&gt;0,COUNTIFS(tDrugPur[[Drug Name]],$A31,tDrugPur[[Expiry Status]],"EXPIRED")&amp;" EXPIRED lot(s) in stock",IF(COUNTIFS(tDrugPur[[Drug Name]],$A31,tDrugPur[[Expiry Status]],"Expires*")&gt;0,"Expiring within "&amp;ExpiryWarnDays&amp;" days","OK")))</f>
        <v/>
      </c>
    </row>
    <row r="32">
      <c r="A32" s="27">
        <f>IFERROR(INDEX(tDrugs[[Drug Name]],2)&amp;"","")</f>
        <v/>
      </c>
      <c r="B32" s="36">
        <f>IF($A32="","",INDEX(tDrugs[[Stock Unit]],2)&amp;"")</f>
        <v/>
      </c>
      <c r="C32" s="28">
        <f>IF($A32="","",SUMIFS(tDrugPur[[Quantity Purchased]],tDrugPur[[Drug Name]],$A32))</f>
        <v/>
      </c>
      <c r="D32" s="29">
        <f>IF($A32="","",SUMIFS(tDrugPur[[Total Cost]],tDrugPur[[Drug Name]],$A32))</f>
        <v/>
      </c>
      <c r="E32" s="28">
        <f>IF($A32="","",SUMIFS(tDrugUse[[Quantity Used]],tDrugUse[[Drug Name]],$A32))</f>
        <v/>
      </c>
      <c r="F32" s="29">
        <f>IF($A32="","",SUMIFS(tDrugUse[[Total Cost]],tDrugUse[[Drug Name]],$A32))</f>
        <v/>
      </c>
      <c r="G32" s="28">
        <f>IF($A32="","",C32-E32)</f>
        <v/>
      </c>
      <c r="H32" s="30">
        <f>IF($A32="","",IFERROR(LOOKUP(2,1/((tDrugPur[[Drug Name]]=$A32)*(tDrugPur[[Date]]&lt;=2958465)),tDrugPur[[Avg Cost per Unit After Purchase]]),0))</f>
        <v/>
      </c>
      <c r="I32" s="29">
        <f>IF($A32="","",D32-F32)</f>
        <v/>
      </c>
      <c r="J32" s="28">
        <f>IF($A32="","",N(INDEX(tDrugs[[Reorder Level]],2)))</f>
        <v/>
      </c>
      <c r="K32" s="27">
        <f>IF($A32="","",IF(AND(C32=0,E32=0),"Not stocked",IF(G32&lt;-0.0001,"NEGATIVE - CHECK",IF(G32&lt;=J32,"REORDER","OK"))))</f>
        <v/>
      </c>
      <c r="L32" s="31">
        <f>IF($A32="","",IF(_xlfn.MINIFS(tDrugPur[[Expiry Date]],tDrugPur[[Drug Name]],$A32,tDrugPur[[Expiry Date]],"&gt;="&amp;TODAY(),tDrugPur[[Expiry Status]],"&lt;&gt;Used up")=0,"",_xlfn.MINIFS(tDrugPur[[Expiry Date]],tDrugPur[[Drug Name]],$A32,tDrugPur[[Expiry Date]],"&gt;="&amp;TODAY(),tDrugPur[[Expiry Status]],"&lt;&gt;Used up")))</f>
        <v/>
      </c>
      <c r="M32" s="27">
        <f>IF($A32="","",IF(COUNTIFS(tDrugPur[[Drug Name]],$A32,tDrugPur[[Expiry Status]],"EXPIRED")&gt;0,COUNTIFS(tDrugPur[[Drug Name]],$A32,tDrugPur[[Expiry Status]],"EXPIRED")&amp;" EXPIRED lot(s) in stock",IF(COUNTIFS(tDrugPur[[Drug Name]],$A32,tDrugPur[[Expiry Status]],"Expires*")&gt;0,"Expiring within "&amp;ExpiryWarnDays&amp;" days","OK")))</f>
        <v/>
      </c>
    </row>
    <row r="33">
      <c r="A33" s="27">
        <f>IFERROR(INDEX(tDrugs[[Drug Name]],3)&amp;"","")</f>
        <v/>
      </c>
      <c r="B33" s="36">
        <f>IF($A33="","",INDEX(tDrugs[[Stock Unit]],3)&amp;"")</f>
        <v/>
      </c>
      <c r="C33" s="28">
        <f>IF($A33="","",SUMIFS(tDrugPur[[Quantity Purchased]],tDrugPur[[Drug Name]],$A33))</f>
        <v/>
      </c>
      <c r="D33" s="29">
        <f>IF($A33="","",SUMIFS(tDrugPur[[Total Cost]],tDrugPur[[Drug Name]],$A33))</f>
        <v/>
      </c>
      <c r="E33" s="28">
        <f>IF($A33="","",SUMIFS(tDrugUse[[Quantity Used]],tDrugUse[[Drug Name]],$A33))</f>
        <v/>
      </c>
      <c r="F33" s="29">
        <f>IF($A33="","",SUMIFS(tDrugUse[[Total Cost]],tDrugUse[[Drug Name]],$A33))</f>
        <v/>
      </c>
      <c r="G33" s="28">
        <f>IF($A33="","",C33-E33)</f>
        <v/>
      </c>
      <c r="H33" s="30">
        <f>IF($A33="","",IFERROR(LOOKUP(2,1/((tDrugPur[[Drug Name]]=$A33)*(tDrugPur[[Date]]&lt;=2958465)),tDrugPur[[Avg Cost per Unit After Purchase]]),0))</f>
        <v/>
      </c>
      <c r="I33" s="29">
        <f>IF($A33="","",D33-F33)</f>
        <v/>
      </c>
      <c r="J33" s="28">
        <f>IF($A33="","",N(INDEX(tDrugs[[Reorder Level]],3)))</f>
        <v/>
      </c>
      <c r="K33" s="27">
        <f>IF($A33="","",IF(AND(C33=0,E33=0),"Not stocked",IF(G33&lt;-0.0001,"NEGATIVE - CHECK",IF(G33&lt;=J33,"REORDER","OK"))))</f>
        <v/>
      </c>
      <c r="L33" s="31">
        <f>IF($A33="","",IF(_xlfn.MINIFS(tDrugPur[[Expiry Date]],tDrugPur[[Drug Name]],$A33,tDrugPur[[Expiry Date]],"&gt;="&amp;TODAY(),tDrugPur[[Expiry Status]],"&lt;&gt;Used up")=0,"",_xlfn.MINIFS(tDrugPur[[Expiry Date]],tDrugPur[[Drug Name]],$A33,tDrugPur[[Expiry Date]],"&gt;="&amp;TODAY(),tDrugPur[[Expiry Status]],"&lt;&gt;Used up")))</f>
        <v/>
      </c>
      <c r="M33" s="27">
        <f>IF($A33="","",IF(COUNTIFS(tDrugPur[[Drug Name]],$A33,tDrugPur[[Expiry Status]],"EXPIRED")&gt;0,COUNTIFS(tDrugPur[[Drug Name]],$A33,tDrugPur[[Expiry Status]],"EXPIRED")&amp;" EXPIRED lot(s) in stock",IF(COUNTIFS(tDrugPur[[Drug Name]],$A33,tDrugPur[[Expiry Status]],"Expires*")&gt;0,"Expiring within "&amp;ExpiryWarnDays&amp;" days","OK")))</f>
        <v/>
      </c>
    </row>
    <row r="34">
      <c r="A34" s="27">
        <f>IFERROR(INDEX(tDrugs[[Drug Name]],4)&amp;"","")</f>
        <v/>
      </c>
      <c r="B34" s="36">
        <f>IF($A34="","",INDEX(tDrugs[[Stock Unit]],4)&amp;"")</f>
        <v/>
      </c>
      <c r="C34" s="28">
        <f>IF($A34="","",SUMIFS(tDrugPur[[Quantity Purchased]],tDrugPur[[Drug Name]],$A34))</f>
        <v/>
      </c>
      <c r="D34" s="29">
        <f>IF($A34="","",SUMIFS(tDrugPur[[Total Cost]],tDrugPur[[Drug Name]],$A34))</f>
        <v/>
      </c>
      <c r="E34" s="28">
        <f>IF($A34="","",SUMIFS(tDrugUse[[Quantity Used]],tDrugUse[[Drug Name]],$A34))</f>
        <v/>
      </c>
      <c r="F34" s="29">
        <f>IF($A34="","",SUMIFS(tDrugUse[[Total Cost]],tDrugUse[[Drug Name]],$A34))</f>
        <v/>
      </c>
      <c r="G34" s="28">
        <f>IF($A34="","",C34-E34)</f>
        <v/>
      </c>
      <c r="H34" s="30">
        <f>IF($A34="","",IFERROR(LOOKUP(2,1/((tDrugPur[[Drug Name]]=$A34)*(tDrugPur[[Date]]&lt;=2958465)),tDrugPur[[Avg Cost per Unit After Purchase]]),0))</f>
        <v/>
      </c>
      <c r="I34" s="29">
        <f>IF($A34="","",D34-F34)</f>
        <v/>
      </c>
      <c r="J34" s="28">
        <f>IF($A34="","",N(INDEX(tDrugs[[Reorder Level]],4)))</f>
        <v/>
      </c>
      <c r="K34" s="27">
        <f>IF($A34="","",IF(AND(C34=0,E34=0),"Not stocked",IF(G34&lt;-0.0001,"NEGATIVE - CHECK",IF(G34&lt;=J34,"REORDER","OK"))))</f>
        <v/>
      </c>
      <c r="L34" s="31">
        <f>IF($A34="","",IF(_xlfn.MINIFS(tDrugPur[[Expiry Date]],tDrugPur[[Drug Name]],$A34,tDrugPur[[Expiry Date]],"&gt;="&amp;TODAY(),tDrugPur[[Expiry Status]],"&lt;&gt;Used up")=0,"",_xlfn.MINIFS(tDrugPur[[Expiry Date]],tDrugPur[[Drug Name]],$A34,tDrugPur[[Expiry Date]],"&gt;="&amp;TODAY(),tDrugPur[[Expiry Status]],"&lt;&gt;Used up")))</f>
        <v/>
      </c>
      <c r="M34" s="27">
        <f>IF($A34="","",IF(COUNTIFS(tDrugPur[[Drug Name]],$A34,tDrugPur[[Expiry Status]],"EXPIRED")&gt;0,COUNTIFS(tDrugPur[[Drug Name]],$A34,tDrugPur[[Expiry Status]],"EXPIRED")&amp;" EXPIRED lot(s) in stock",IF(COUNTIFS(tDrugPur[[Drug Name]],$A34,tDrugPur[[Expiry Status]],"Expires*")&gt;0,"Expiring within "&amp;ExpiryWarnDays&amp;" days","OK")))</f>
        <v/>
      </c>
    </row>
    <row r="35">
      <c r="A35" s="27">
        <f>IFERROR(INDEX(tDrugs[[Drug Name]],5)&amp;"","")</f>
        <v/>
      </c>
      <c r="B35" s="36">
        <f>IF($A35="","",INDEX(tDrugs[[Stock Unit]],5)&amp;"")</f>
        <v/>
      </c>
      <c r="C35" s="28">
        <f>IF($A35="","",SUMIFS(tDrugPur[[Quantity Purchased]],tDrugPur[[Drug Name]],$A35))</f>
        <v/>
      </c>
      <c r="D35" s="29">
        <f>IF($A35="","",SUMIFS(tDrugPur[[Total Cost]],tDrugPur[[Drug Name]],$A35))</f>
        <v/>
      </c>
      <c r="E35" s="28">
        <f>IF($A35="","",SUMIFS(tDrugUse[[Quantity Used]],tDrugUse[[Drug Name]],$A35))</f>
        <v/>
      </c>
      <c r="F35" s="29">
        <f>IF($A35="","",SUMIFS(tDrugUse[[Total Cost]],tDrugUse[[Drug Name]],$A35))</f>
        <v/>
      </c>
      <c r="G35" s="28">
        <f>IF($A35="","",C35-E35)</f>
        <v/>
      </c>
      <c r="H35" s="30">
        <f>IF($A35="","",IFERROR(LOOKUP(2,1/((tDrugPur[[Drug Name]]=$A35)*(tDrugPur[[Date]]&lt;=2958465)),tDrugPur[[Avg Cost per Unit After Purchase]]),0))</f>
        <v/>
      </c>
      <c r="I35" s="29">
        <f>IF($A35="","",D35-F35)</f>
        <v/>
      </c>
      <c r="J35" s="28">
        <f>IF($A35="","",N(INDEX(tDrugs[[Reorder Level]],5)))</f>
        <v/>
      </c>
      <c r="K35" s="27">
        <f>IF($A35="","",IF(AND(C35=0,E35=0),"Not stocked",IF(G35&lt;-0.0001,"NEGATIVE - CHECK",IF(G35&lt;=J35,"REORDER","OK"))))</f>
        <v/>
      </c>
      <c r="L35" s="31">
        <f>IF($A35="","",IF(_xlfn.MINIFS(tDrugPur[[Expiry Date]],tDrugPur[[Drug Name]],$A35,tDrugPur[[Expiry Date]],"&gt;="&amp;TODAY(),tDrugPur[[Expiry Status]],"&lt;&gt;Used up")=0,"",_xlfn.MINIFS(tDrugPur[[Expiry Date]],tDrugPur[[Drug Name]],$A35,tDrugPur[[Expiry Date]],"&gt;="&amp;TODAY(),tDrugPur[[Expiry Status]],"&lt;&gt;Used up")))</f>
        <v/>
      </c>
      <c r="M35" s="27">
        <f>IF($A35="","",IF(COUNTIFS(tDrugPur[[Drug Name]],$A35,tDrugPur[[Expiry Status]],"EXPIRED")&gt;0,COUNTIFS(tDrugPur[[Drug Name]],$A35,tDrugPur[[Expiry Status]],"EXPIRED")&amp;" EXPIRED lot(s) in stock",IF(COUNTIFS(tDrugPur[[Drug Name]],$A35,tDrugPur[[Expiry Status]],"Expires*")&gt;0,"Expiring within "&amp;ExpiryWarnDays&amp;" days","OK")))</f>
        <v/>
      </c>
    </row>
    <row r="36">
      <c r="A36" s="27">
        <f>IFERROR(INDEX(tDrugs[[Drug Name]],6)&amp;"","")</f>
        <v/>
      </c>
      <c r="B36" s="36">
        <f>IF($A36="","",INDEX(tDrugs[[Stock Unit]],6)&amp;"")</f>
        <v/>
      </c>
      <c r="C36" s="28">
        <f>IF($A36="","",SUMIFS(tDrugPur[[Quantity Purchased]],tDrugPur[[Drug Name]],$A36))</f>
        <v/>
      </c>
      <c r="D36" s="29">
        <f>IF($A36="","",SUMIFS(tDrugPur[[Total Cost]],tDrugPur[[Drug Name]],$A36))</f>
        <v/>
      </c>
      <c r="E36" s="28">
        <f>IF($A36="","",SUMIFS(tDrugUse[[Quantity Used]],tDrugUse[[Drug Name]],$A36))</f>
        <v/>
      </c>
      <c r="F36" s="29">
        <f>IF($A36="","",SUMIFS(tDrugUse[[Total Cost]],tDrugUse[[Drug Name]],$A36))</f>
        <v/>
      </c>
      <c r="G36" s="28">
        <f>IF($A36="","",C36-E36)</f>
        <v/>
      </c>
      <c r="H36" s="30">
        <f>IF($A36="","",IFERROR(LOOKUP(2,1/((tDrugPur[[Drug Name]]=$A36)*(tDrugPur[[Date]]&lt;=2958465)),tDrugPur[[Avg Cost per Unit After Purchase]]),0))</f>
        <v/>
      </c>
      <c r="I36" s="29">
        <f>IF($A36="","",D36-F36)</f>
        <v/>
      </c>
      <c r="J36" s="28">
        <f>IF($A36="","",N(INDEX(tDrugs[[Reorder Level]],6)))</f>
        <v/>
      </c>
      <c r="K36" s="27">
        <f>IF($A36="","",IF(AND(C36=0,E36=0),"Not stocked",IF(G36&lt;-0.0001,"NEGATIVE - CHECK",IF(G36&lt;=J36,"REORDER","OK"))))</f>
        <v/>
      </c>
      <c r="L36" s="31">
        <f>IF($A36="","",IF(_xlfn.MINIFS(tDrugPur[[Expiry Date]],tDrugPur[[Drug Name]],$A36,tDrugPur[[Expiry Date]],"&gt;="&amp;TODAY(),tDrugPur[[Expiry Status]],"&lt;&gt;Used up")=0,"",_xlfn.MINIFS(tDrugPur[[Expiry Date]],tDrugPur[[Drug Name]],$A36,tDrugPur[[Expiry Date]],"&gt;="&amp;TODAY(),tDrugPur[[Expiry Status]],"&lt;&gt;Used up")))</f>
        <v/>
      </c>
      <c r="M36" s="27">
        <f>IF($A36="","",IF(COUNTIFS(tDrugPur[[Drug Name]],$A36,tDrugPur[[Expiry Status]],"EXPIRED")&gt;0,COUNTIFS(tDrugPur[[Drug Name]],$A36,tDrugPur[[Expiry Status]],"EXPIRED")&amp;" EXPIRED lot(s) in stock",IF(COUNTIFS(tDrugPur[[Drug Name]],$A36,tDrugPur[[Expiry Status]],"Expires*")&gt;0,"Expiring within "&amp;ExpiryWarnDays&amp;" days","OK")))</f>
        <v/>
      </c>
    </row>
    <row r="37">
      <c r="A37" s="27">
        <f>IFERROR(INDEX(tDrugs[[Drug Name]],7)&amp;"","")</f>
        <v/>
      </c>
      <c r="B37" s="36">
        <f>IF($A37="","",INDEX(tDrugs[[Stock Unit]],7)&amp;"")</f>
        <v/>
      </c>
      <c r="C37" s="28">
        <f>IF($A37="","",SUMIFS(tDrugPur[[Quantity Purchased]],tDrugPur[[Drug Name]],$A37))</f>
        <v/>
      </c>
      <c r="D37" s="29">
        <f>IF($A37="","",SUMIFS(tDrugPur[[Total Cost]],tDrugPur[[Drug Name]],$A37))</f>
        <v/>
      </c>
      <c r="E37" s="28">
        <f>IF($A37="","",SUMIFS(tDrugUse[[Quantity Used]],tDrugUse[[Drug Name]],$A37))</f>
        <v/>
      </c>
      <c r="F37" s="29">
        <f>IF($A37="","",SUMIFS(tDrugUse[[Total Cost]],tDrugUse[[Drug Name]],$A37))</f>
        <v/>
      </c>
      <c r="G37" s="28">
        <f>IF($A37="","",C37-E37)</f>
        <v/>
      </c>
      <c r="H37" s="30">
        <f>IF($A37="","",IFERROR(LOOKUP(2,1/((tDrugPur[[Drug Name]]=$A37)*(tDrugPur[[Date]]&lt;=2958465)),tDrugPur[[Avg Cost per Unit After Purchase]]),0))</f>
        <v/>
      </c>
      <c r="I37" s="29">
        <f>IF($A37="","",D37-F37)</f>
        <v/>
      </c>
      <c r="J37" s="28">
        <f>IF($A37="","",N(INDEX(tDrugs[[Reorder Level]],7)))</f>
        <v/>
      </c>
      <c r="K37" s="27">
        <f>IF($A37="","",IF(AND(C37=0,E37=0),"Not stocked",IF(G37&lt;-0.0001,"NEGATIVE - CHECK",IF(G37&lt;=J37,"REORDER","OK"))))</f>
        <v/>
      </c>
      <c r="L37" s="31">
        <f>IF($A37="","",IF(_xlfn.MINIFS(tDrugPur[[Expiry Date]],tDrugPur[[Drug Name]],$A37,tDrugPur[[Expiry Date]],"&gt;="&amp;TODAY(),tDrugPur[[Expiry Status]],"&lt;&gt;Used up")=0,"",_xlfn.MINIFS(tDrugPur[[Expiry Date]],tDrugPur[[Drug Name]],$A37,tDrugPur[[Expiry Date]],"&gt;="&amp;TODAY(),tDrugPur[[Expiry Status]],"&lt;&gt;Used up")))</f>
        <v/>
      </c>
      <c r="M37" s="27">
        <f>IF($A37="","",IF(COUNTIFS(tDrugPur[[Drug Name]],$A37,tDrugPur[[Expiry Status]],"EXPIRED")&gt;0,COUNTIFS(tDrugPur[[Drug Name]],$A37,tDrugPur[[Expiry Status]],"EXPIRED")&amp;" EXPIRED lot(s) in stock",IF(COUNTIFS(tDrugPur[[Drug Name]],$A37,tDrugPur[[Expiry Status]],"Expires*")&gt;0,"Expiring within "&amp;ExpiryWarnDays&amp;" days","OK")))</f>
        <v/>
      </c>
    </row>
    <row r="38">
      <c r="A38" s="27">
        <f>IFERROR(INDEX(tDrugs[[Drug Name]],8)&amp;"","")</f>
        <v/>
      </c>
      <c r="B38" s="36">
        <f>IF($A38="","",INDEX(tDrugs[[Stock Unit]],8)&amp;"")</f>
        <v/>
      </c>
      <c r="C38" s="28">
        <f>IF($A38="","",SUMIFS(tDrugPur[[Quantity Purchased]],tDrugPur[[Drug Name]],$A38))</f>
        <v/>
      </c>
      <c r="D38" s="29">
        <f>IF($A38="","",SUMIFS(tDrugPur[[Total Cost]],tDrugPur[[Drug Name]],$A38))</f>
        <v/>
      </c>
      <c r="E38" s="28">
        <f>IF($A38="","",SUMIFS(tDrugUse[[Quantity Used]],tDrugUse[[Drug Name]],$A38))</f>
        <v/>
      </c>
      <c r="F38" s="29">
        <f>IF($A38="","",SUMIFS(tDrugUse[[Total Cost]],tDrugUse[[Drug Name]],$A38))</f>
        <v/>
      </c>
      <c r="G38" s="28">
        <f>IF($A38="","",C38-E38)</f>
        <v/>
      </c>
      <c r="H38" s="30">
        <f>IF($A38="","",IFERROR(LOOKUP(2,1/((tDrugPur[[Drug Name]]=$A38)*(tDrugPur[[Date]]&lt;=2958465)),tDrugPur[[Avg Cost per Unit After Purchase]]),0))</f>
        <v/>
      </c>
      <c r="I38" s="29">
        <f>IF($A38="","",D38-F38)</f>
        <v/>
      </c>
      <c r="J38" s="28">
        <f>IF($A38="","",N(INDEX(tDrugs[[Reorder Level]],8)))</f>
        <v/>
      </c>
      <c r="K38" s="27">
        <f>IF($A38="","",IF(AND(C38=0,E38=0),"Not stocked",IF(G38&lt;-0.0001,"NEGATIVE - CHECK",IF(G38&lt;=J38,"REORDER","OK"))))</f>
        <v/>
      </c>
      <c r="L38" s="31">
        <f>IF($A38="","",IF(_xlfn.MINIFS(tDrugPur[[Expiry Date]],tDrugPur[[Drug Name]],$A38,tDrugPur[[Expiry Date]],"&gt;="&amp;TODAY(),tDrugPur[[Expiry Status]],"&lt;&gt;Used up")=0,"",_xlfn.MINIFS(tDrugPur[[Expiry Date]],tDrugPur[[Drug Name]],$A38,tDrugPur[[Expiry Date]],"&gt;="&amp;TODAY(),tDrugPur[[Expiry Status]],"&lt;&gt;Used up")))</f>
        <v/>
      </c>
      <c r="M38" s="27">
        <f>IF($A38="","",IF(COUNTIFS(tDrugPur[[Drug Name]],$A38,tDrugPur[[Expiry Status]],"EXPIRED")&gt;0,COUNTIFS(tDrugPur[[Drug Name]],$A38,tDrugPur[[Expiry Status]],"EXPIRED")&amp;" EXPIRED lot(s) in stock",IF(COUNTIFS(tDrugPur[[Drug Name]],$A38,tDrugPur[[Expiry Status]],"Expires*")&gt;0,"Expiring within "&amp;ExpiryWarnDays&amp;" days","OK")))</f>
        <v/>
      </c>
    </row>
    <row r="39">
      <c r="A39" s="27">
        <f>IFERROR(INDEX(tDrugs[[Drug Name]],9)&amp;"","")</f>
        <v/>
      </c>
      <c r="B39" s="36">
        <f>IF($A39="","",INDEX(tDrugs[[Stock Unit]],9)&amp;"")</f>
        <v/>
      </c>
      <c r="C39" s="28">
        <f>IF($A39="","",SUMIFS(tDrugPur[[Quantity Purchased]],tDrugPur[[Drug Name]],$A39))</f>
        <v/>
      </c>
      <c r="D39" s="29">
        <f>IF($A39="","",SUMIFS(tDrugPur[[Total Cost]],tDrugPur[[Drug Name]],$A39))</f>
        <v/>
      </c>
      <c r="E39" s="28">
        <f>IF($A39="","",SUMIFS(tDrugUse[[Quantity Used]],tDrugUse[[Drug Name]],$A39))</f>
        <v/>
      </c>
      <c r="F39" s="29">
        <f>IF($A39="","",SUMIFS(tDrugUse[[Total Cost]],tDrugUse[[Drug Name]],$A39))</f>
        <v/>
      </c>
      <c r="G39" s="28">
        <f>IF($A39="","",C39-E39)</f>
        <v/>
      </c>
      <c r="H39" s="30">
        <f>IF($A39="","",IFERROR(LOOKUP(2,1/((tDrugPur[[Drug Name]]=$A39)*(tDrugPur[[Date]]&lt;=2958465)),tDrugPur[[Avg Cost per Unit After Purchase]]),0))</f>
        <v/>
      </c>
      <c r="I39" s="29">
        <f>IF($A39="","",D39-F39)</f>
        <v/>
      </c>
      <c r="J39" s="28">
        <f>IF($A39="","",N(INDEX(tDrugs[[Reorder Level]],9)))</f>
        <v/>
      </c>
      <c r="K39" s="27">
        <f>IF($A39="","",IF(AND(C39=0,E39=0),"Not stocked",IF(G39&lt;-0.0001,"NEGATIVE - CHECK",IF(G39&lt;=J39,"REORDER","OK"))))</f>
        <v/>
      </c>
      <c r="L39" s="31">
        <f>IF($A39="","",IF(_xlfn.MINIFS(tDrugPur[[Expiry Date]],tDrugPur[[Drug Name]],$A39,tDrugPur[[Expiry Date]],"&gt;="&amp;TODAY(),tDrugPur[[Expiry Status]],"&lt;&gt;Used up")=0,"",_xlfn.MINIFS(tDrugPur[[Expiry Date]],tDrugPur[[Drug Name]],$A39,tDrugPur[[Expiry Date]],"&gt;="&amp;TODAY(),tDrugPur[[Expiry Status]],"&lt;&gt;Used up")))</f>
        <v/>
      </c>
      <c r="M39" s="27">
        <f>IF($A39="","",IF(COUNTIFS(tDrugPur[[Drug Name]],$A39,tDrugPur[[Expiry Status]],"EXPIRED")&gt;0,COUNTIFS(tDrugPur[[Drug Name]],$A39,tDrugPur[[Expiry Status]],"EXPIRED")&amp;" EXPIRED lot(s) in stock",IF(COUNTIFS(tDrugPur[[Drug Name]],$A39,tDrugPur[[Expiry Status]],"Expires*")&gt;0,"Expiring within "&amp;ExpiryWarnDays&amp;" days","OK")))</f>
        <v/>
      </c>
    </row>
    <row r="40">
      <c r="A40" s="27">
        <f>IFERROR(INDEX(tDrugs[[Drug Name]],10)&amp;"","")</f>
        <v/>
      </c>
      <c r="B40" s="36">
        <f>IF($A40="","",INDEX(tDrugs[[Stock Unit]],10)&amp;"")</f>
        <v/>
      </c>
      <c r="C40" s="28">
        <f>IF($A40="","",SUMIFS(tDrugPur[[Quantity Purchased]],tDrugPur[[Drug Name]],$A40))</f>
        <v/>
      </c>
      <c r="D40" s="29">
        <f>IF($A40="","",SUMIFS(tDrugPur[[Total Cost]],tDrugPur[[Drug Name]],$A40))</f>
        <v/>
      </c>
      <c r="E40" s="28">
        <f>IF($A40="","",SUMIFS(tDrugUse[[Quantity Used]],tDrugUse[[Drug Name]],$A40))</f>
        <v/>
      </c>
      <c r="F40" s="29">
        <f>IF($A40="","",SUMIFS(tDrugUse[[Total Cost]],tDrugUse[[Drug Name]],$A40))</f>
        <v/>
      </c>
      <c r="G40" s="28">
        <f>IF($A40="","",C40-E40)</f>
        <v/>
      </c>
      <c r="H40" s="30">
        <f>IF($A40="","",IFERROR(LOOKUP(2,1/((tDrugPur[[Drug Name]]=$A40)*(tDrugPur[[Date]]&lt;=2958465)),tDrugPur[[Avg Cost per Unit After Purchase]]),0))</f>
        <v/>
      </c>
      <c r="I40" s="29">
        <f>IF($A40="","",D40-F40)</f>
        <v/>
      </c>
      <c r="J40" s="28">
        <f>IF($A40="","",N(INDEX(tDrugs[[Reorder Level]],10)))</f>
        <v/>
      </c>
      <c r="K40" s="27">
        <f>IF($A40="","",IF(AND(C40=0,E40=0),"Not stocked",IF(G40&lt;-0.0001,"NEGATIVE - CHECK",IF(G40&lt;=J40,"REORDER","OK"))))</f>
        <v/>
      </c>
      <c r="L40" s="31">
        <f>IF($A40="","",IF(_xlfn.MINIFS(tDrugPur[[Expiry Date]],tDrugPur[[Drug Name]],$A40,tDrugPur[[Expiry Date]],"&gt;="&amp;TODAY(),tDrugPur[[Expiry Status]],"&lt;&gt;Used up")=0,"",_xlfn.MINIFS(tDrugPur[[Expiry Date]],tDrugPur[[Drug Name]],$A40,tDrugPur[[Expiry Date]],"&gt;="&amp;TODAY(),tDrugPur[[Expiry Status]],"&lt;&gt;Used up")))</f>
        <v/>
      </c>
      <c r="M40" s="27">
        <f>IF($A40="","",IF(COUNTIFS(tDrugPur[[Drug Name]],$A40,tDrugPur[[Expiry Status]],"EXPIRED")&gt;0,COUNTIFS(tDrugPur[[Drug Name]],$A40,tDrugPur[[Expiry Status]],"EXPIRED")&amp;" EXPIRED lot(s) in stock",IF(COUNTIFS(tDrugPur[[Drug Name]],$A40,tDrugPur[[Expiry Status]],"Expires*")&gt;0,"Expiring within "&amp;ExpiryWarnDays&amp;" days","OK")))</f>
        <v/>
      </c>
    </row>
    <row r="41">
      <c r="A41" s="27">
        <f>IFERROR(INDEX(tDrugs[[Drug Name]],11)&amp;"","")</f>
        <v/>
      </c>
      <c r="B41" s="36">
        <f>IF($A41="","",INDEX(tDrugs[[Stock Unit]],11)&amp;"")</f>
        <v/>
      </c>
      <c r="C41" s="28">
        <f>IF($A41="","",SUMIFS(tDrugPur[[Quantity Purchased]],tDrugPur[[Drug Name]],$A41))</f>
        <v/>
      </c>
      <c r="D41" s="29">
        <f>IF($A41="","",SUMIFS(tDrugPur[[Total Cost]],tDrugPur[[Drug Name]],$A41))</f>
        <v/>
      </c>
      <c r="E41" s="28">
        <f>IF($A41="","",SUMIFS(tDrugUse[[Quantity Used]],tDrugUse[[Drug Name]],$A41))</f>
        <v/>
      </c>
      <c r="F41" s="29">
        <f>IF($A41="","",SUMIFS(tDrugUse[[Total Cost]],tDrugUse[[Drug Name]],$A41))</f>
        <v/>
      </c>
      <c r="G41" s="28">
        <f>IF($A41="","",C41-E41)</f>
        <v/>
      </c>
      <c r="H41" s="30">
        <f>IF($A41="","",IFERROR(LOOKUP(2,1/((tDrugPur[[Drug Name]]=$A41)*(tDrugPur[[Date]]&lt;=2958465)),tDrugPur[[Avg Cost per Unit After Purchase]]),0))</f>
        <v/>
      </c>
      <c r="I41" s="29">
        <f>IF($A41="","",D41-F41)</f>
        <v/>
      </c>
      <c r="J41" s="28">
        <f>IF($A41="","",N(INDEX(tDrugs[[Reorder Level]],11)))</f>
        <v/>
      </c>
      <c r="K41" s="27">
        <f>IF($A41="","",IF(AND(C41=0,E41=0),"Not stocked",IF(G41&lt;-0.0001,"NEGATIVE - CHECK",IF(G41&lt;=J41,"REORDER","OK"))))</f>
        <v/>
      </c>
      <c r="L41" s="31">
        <f>IF($A41="","",IF(_xlfn.MINIFS(tDrugPur[[Expiry Date]],tDrugPur[[Drug Name]],$A41,tDrugPur[[Expiry Date]],"&gt;="&amp;TODAY(),tDrugPur[[Expiry Status]],"&lt;&gt;Used up")=0,"",_xlfn.MINIFS(tDrugPur[[Expiry Date]],tDrugPur[[Drug Name]],$A41,tDrugPur[[Expiry Date]],"&gt;="&amp;TODAY(),tDrugPur[[Expiry Status]],"&lt;&gt;Used up")))</f>
        <v/>
      </c>
      <c r="M41" s="27">
        <f>IF($A41="","",IF(COUNTIFS(tDrugPur[[Drug Name]],$A41,tDrugPur[[Expiry Status]],"EXPIRED")&gt;0,COUNTIFS(tDrugPur[[Drug Name]],$A41,tDrugPur[[Expiry Status]],"EXPIRED")&amp;" EXPIRED lot(s) in stock",IF(COUNTIFS(tDrugPur[[Drug Name]],$A41,tDrugPur[[Expiry Status]],"Expires*")&gt;0,"Expiring within "&amp;ExpiryWarnDays&amp;" days","OK")))</f>
        <v/>
      </c>
    </row>
    <row r="42">
      <c r="A42" s="27">
        <f>IFERROR(INDEX(tDrugs[[Drug Name]],12)&amp;"","")</f>
        <v/>
      </c>
      <c r="B42" s="36">
        <f>IF($A42="","",INDEX(tDrugs[[Stock Unit]],12)&amp;"")</f>
        <v/>
      </c>
      <c r="C42" s="28">
        <f>IF($A42="","",SUMIFS(tDrugPur[[Quantity Purchased]],tDrugPur[[Drug Name]],$A42))</f>
        <v/>
      </c>
      <c r="D42" s="29">
        <f>IF($A42="","",SUMIFS(tDrugPur[[Total Cost]],tDrugPur[[Drug Name]],$A42))</f>
        <v/>
      </c>
      <c r="E42" s="28">
        <f>IF($A42="","",SUMIFS(tDrugUse[[Quantity Used]],tDrugUse[[Drug Name]],$A42))</f>
        <v/>
      </c>
      <c r="F42" s="29">
        <f>IF($A42="","",SUMIFS(tDrugUse[[Total Cost]],tDrugUse[[Drug Name]],$A42))</f>
        <v/>
      </c>
      <c r="G42" s="28">
        <f>IF($A42="","",C42-E42)</f>
        <v/>
      </c>
      <c r="H42" s="30">
        <f>IF($A42="","",IFERROR(LOOKUP(2,1/((tDrugPur[[Drug Name]]=$A42)*(tDrugPur[[Date]]&lt;=2958465)),tDrugPur[[Avg Cost per Unit After Purchase]]),0))</f>
        <v/>
      </c>
      <c r="I42" s="29">
        <f>IF($A42="","",D42-F42)</f>
        <v/>
      </c>
      <c r="J42" s="28">
        <f>IF($A42="","",N(INDEX(tDrugs[[Reorder Level]],12)))</f>
        <v/>
      </c>
      <c r="K42" s="27">
        <f>IF($A42="","",IF(AND(C42=0,E42=0),"Not stocked",IF(G42&lt;-0.0001,"NEGATIVE - CHECK",IF(G42&lt;=J42,"REORDER","OK"))))</f>
        <v/>
      </c>
      <c r="L42" s="31">
        <f>IF($A42="","",IF(_xlfn.MINIFS(tDrugPur[[Expiry Date]],tDrugPur[[Drug Name]],$A42,tDrugPur[[Expiry Date]],"&gt;="&amp;TODAY(),tDrugPur[[Expiry Status]],"&lt;&gt;Used up")=0,"",_xlfn.MINIFS(tDrugPur[[Expiry Date]],tDrugPur[[Drug Name]],$A42,tDrugPur[[Expiry Date]],"&gt;="&amp;TODAY(),tDrugPur[[Expiry Status]],"&lt;&gt;Used up")))</f>
        <v/>
      </c>
      <c r="M42" s="27">
        <f>IF($A42="","",IF(COUNTIFS(tDrugPur[[Drug Name]],$A42,tDrugPur[[Expiry Status]],"EXPIRED")&gt;0,COUNTIFS(tDrugPur[[Drug Name]],$A42,tDrugPur[[Expiry Status]],"EXPIRED")&amp;" EXPIRED lot(s) in stock",IF(COUNTIFS(tDrugPur[[Drug Name]],$A42,tDrugPur[[Expiry Status]],"Expires*")&gt;0,"Expiring within "&amp;ExpiryWarnDays&amp;" days","OK")))</f>
        <v/>
      </c>
    </row>
    <row r="43">
      <c r="A43" s="27">
        <f>IFERROR(INDEX(tDrugs[[Drug Name]],13)&amp;"","")</f>
        <v/>
      </c>
      <c r="B43" s="36">
        <f>IF($A43="","",INDEX(tDrugs[[Stock Unit]],13)&amp;"")</f>
        <v/>
      </c>
      <c r="C43" s="28">
        <f>IF($A43="","",SUMIFS(tDrugPur[[Quantity Purchased]],tDrugPur[[Drug Name]],$A43))</f>
        <v/>
      </c>
      <c r="D43" s="29">
        <f>IF($A43="","",SUMIFS(tDrugPur[[Total Cost]],tDrugPur[[Drug Name]],$A43))</f>
        <v/>
      </c>
      <c r="E43" s="28">
        <f>IF($A43="","",SUMIFS(tDrugUse[[Quantity Used]],tDrugUse[[Drug Name]],$A43))</f>
        <v/>
      </c>
      <c r="F43" s="29">
        <f>IF($A43="","",SUMIFS(tDrugUse[[Total Cost]],tDrugUse[[Drug Name]],$A43))</f>
        <v/>
      </c>
      <c r="G43" s="28">
        <f>IF($A43="","",C43-E43)</f>
        <v/>
      </c>
      <c r="H43" s="30">
        <f>IF($A43="","",IFERROR(LOOKUP(2,1/((tDrugPur[[Drug Name]]=$A43)*(tDrugPur[[Date]]&lt;=2958465)),tDrugPur[[Avg Cost per Unit After Purchase]]),0))</f>
        <v/>
      </c>
      <c r="I43" s="29">
        <f>IF($A43="","",D43-F43)</f>
        <v/>
      </c>
      <c r="J43" s="28">
        <f>IF($A43="","",N(INDEX(tDrugs[[Reorder Level]],13)))</f>
        <v/>
      </c>
      <c r="K43" s="27">
        <f>IF($A43="","",IF(AND(C43=0,E43=0),"Not stocked",IF(G43&lt;-0.0001,"NEGATIVE - CHECK",IF(G43&lt;=J43,"REORDER","OK"))))</f>
        <v/>
      </c>
      <c r="L43" s="31">
        <f>IF($A43="","",IF(_xlfn.MINIFS(tDrugPur[[Expiry Date]],tDrugPur[[Drug Name]],$A43,tDrugPur[[Expiry Date]],"&gt;="&amp;TODAY(),tDrugPur[[Expiry Status]],"&lt;&gt;Used up")=0,"",_xlfn.MINIFS(tDrugPur[[Expiry Date]],tDrugPur[[Drug Name]],$A43,tDrugPur[[Expiry Date]],"&gt;="&amp;TODAY(),tDrugPur[[Expiry Status]],"&lt;&gt;Used up")))</f>
        <v/>
      </c>
      <c r="M43" s="27">
        <f>IF($A43="","",IF(COUNTIFS(tDrugPur[[Drug Name]],$A43,tDrugPur[[Expiry Status]],"EXPIRED")&gt;0,COUNTIFS(tDrugPur[[Drug Name]],$A43,tDrugPur[[Expiry Status]],"EXPIRED")&amp;" EXPIRED lot(s) in stock",IF(COUNTIFS(tDrugPur[[Drug Name]],$A43,tDrugPur[[Expiry Status]],"Expires*")&gt;0,"Expiring within "&amp;ExpiryWarnDays&amp;" days","OK")))</f>
        <v/>
      </c>
    </row>
    <row r="44">
      <c r="A44" s="27">
        <f>IFERROR(INDEX(tDrugs[[Drug Name]],14)&amp;"","")</f>
        <v/>
      </c>
      <c r="B44" s="36">
        <f>IF($A44="","",INDEX(tDrugs[[Stock Unit]],14)&amp;"")</f>
        <v/>
      </c>
      <c r="C44" s="28">
        <f>IF($A44="","",SUMIFS(tDrugPur[[Quantity Purchased]],tDrugPur[[Drug Name]],$A44))</f>
        <v/>
      </c>
      <c r="D44" s="29">
        <f>IF($A44="","",SUMIFS(tDrugPur[[Total Cost]],tDrugPur[[Drug Name]],$A44))</f>
        <v/>
      </c>
      <c r="E44" s="28">
        <f>IF($A44="","",SUMIFS(tDrugUse[[Quantity Used]],tDrugUse[[Drug Name]],$A44))</f>
        <v/>
      </c>
      <c r="F44" s="29">
        <f>IF($A44="","",SUMIFS(tDrugUse[[Total Cost]],tDrugUse[[Drug Name]],$A44))</f>
        <v/>
      </c>
      <c r="G44" s="28">
        <f>IF($A44="","",C44-E44)</f>
        <v/>
      </c>
      <c r="H44" s="30">
        <f>IF($A44="","",IFERROR(LOOKUP(2,1/((tDrugPur[[Drug Name]]=$A44)*(tDrugPur[[Date]]&lt;=2958465)),tDrugPur[[Avg Cost per Unit After Purchase]]),0))</f>
        <v/>
      </c>
      <c r="I44" s="29">
        <f>IF($A44="","",D44-F44)</f>
        <v/>
      </c>
      <c r="J44" s="28">
        <f>IF($A44="","",N(INDEX(tDrugs[[Reorder Level]],14)))</f>
        <v/>
      </c>
      <c r="K44" s="27">
        <f>IF($A44="","",IF(AND(C44=0,E44=0),"Not stocked",IF(G44&lt;-0.0001,"NEGATIVE - CHECK",IF(G44&lt;=J44,"REORDER","OK"))))</f>
        <v/>
      </c>
      <c r="L44" s="31">
        <f>IF($A44="","",IF(_xlfn.MINIFS(tDrugPur[[Expiry Date]],tDrugPur[[Drug Name]],$A44,tDrugPur[[Expiry Date]],"&gt;="&amp;TODAY(),tDrugPur[[Expiry Status]],"&lt;&gt;Used up")=0,"",_xlfn.MINIFS(tDrugPur[[Expiry Date]],tDrugPur[[Drug Name]],$A44,tDrugPur[[Expiry Date]],"&gt;="&amp;TODAY(),tDrugPur[[Expiry Status]],"&lt;&gt;Used up")))</f>
        <v/>
      </c>
      <c r="M44" s="27">
        <f>IF($A44="","",IF(COUNTIFS(tDrugPur[[Drug Name]],$A44,tDrugPur[[Expiry Status]],"EXPIRED")&gt;0,COUNTIFS(tDrugPur[[Drug Name]],$A44,tDrugPur[[Expiry Status]],"EXPIRED")&amp;" EXPIRED lot(s) in stock",IF(COUNTIFS(tDrugPur[[Drug Name]],$A44,tDrugPur[[Expiry Status]],"Expires*")&gt;0,"Expiring within "&amp;ExpiryWarnDays&amp;" days","OK")))</f>
        <v/>
      </c>
    </row>
    <row r="45">
      <c r="A45" s="27">
        <f>IFERROR(INDEX(tDrugs[[Drug Name]],15)&amp;"","")</f>
        <v/>
      </c>
      <c r="B45" s="36">
        <f>IF($A45="","",INDEX(tDrugs[[Stock Unit]],15)&amp;"")</f>
        <v/>
      </c>
      <c r="C45" s="28">
        <f>IF($A45="","",SUMIFS(tDrugPur[[Quantity Purchased]],tDrugPur[[Drug Name]],$A45))</f>
        <v/>
      </c>
      <c r="D45" s="29">
        <f>IF($A45="","",SUMIFS(tDrugPur[[Total Cost]],tDrugPur[[Drug Name]],$A45))</f>
        <v/>
      </c>
      <c r="E45" s="28">
        <f>IF($A45="","",SUMIFS(tDrugUse[[Quantity Used]],tDrugUse[[Drug Name]],$A45))</f>
        <v/>
      </c>
      <c r="F45" s="29">
        <f>IF($A45="","",SUMIFS(tDrugUse[[Total Cost]],tDrugUse[[Drug Name]],$A45))</f>
        <v/>
      </c>
      <c r="G45" s="28">
        <f>IF($A45="","",C45-E45)</f>
        <v/>
      </c>
      <c r="H45" s="30">
        <f>IF($A45="","",IFERROR(LOOKUP(2,1/((tDrugPur[[Drug Name]]=$A45)*(tDrugPur[[Date]]&lt;=2958465)),tDrugPur[[Avg Cost per Unit After Purchase]]),0))</f>
        <v/>
      </c>
      <c r="I45" s="29">
        <f>IF($A45="","",D45-F45)</f>
        <v/>
      </c>
      <c r="J45" s="28">
        <f>IF($A45="","",N(INDEX(tDrugs[[Reorder Level]],15)))</f>
        <v/>
      </c>
      <c r="K45" s="27">
        <f>IF($A45="","",IF(AND(C45=0,E45=0),"Not stocked",IF(G45&lt;-0.0001,"NEGATIVE - CHECK",IF(G45&lt;=J45,"REORDER","OK"))))</f>
        <v/>
      </c>
      <c r="L45" s="31">
        <f>IF($A45="","",IF(_xlfn.MINIFS(tDrugPur[[Expiry Date]],tDrugPur[[Drug Name]],$A45,tDrugPur[[Expiry Date]],"&gt;="&amp;TODAY(),tDrugPur[[Expiry Status]],"&lt;&gt;Used up")=0,"",_xlfn.MINIFS(tDrugPur[[Expiry Date]],tDrugPur[[Drug Name]],$A45,tDrugPur[[Expiry Date]],"&gt;="&amp;TODAY(),tDrugPur[[Expiry Status]],"&lt;&gt;Used up")))</f>
        <v/>
      </c>
      <c r="M45" s="27">
        <f>IF($A45="","",IF(COUNTIFS(tDrugPur[[Drug Name]],$A45,tDrugPur[[Expiry Status]],"EXPIRED")&gt;0,COUNTIFS(tDrugPur[[Drug Name]],$A45,tDrugPur[[Expiry Status]],"EXPIRED")&amp;" EXPIRED lot(s) in stock",IF(COUNTIFS(tDrugPur[[Drug Name]],$A45,tDrugPur[[Expiry Status]],"Expires*")&gt;0,"Expiring within "&amp;ExpiryWarnDays&amp;" days","OK")))</f>
        <v/>
      </c>
    </row>
    <row r="46">
      <c r="A46" s="27">
        <f>IFERROR(INDEX(tDrugs[[Drug Name]],16)&amp;"","")</f>
        <v/>
      </c>
      <c r="B46" s="36">
        <f>IF($A46="","",INDEX(tDrugs[[Stock Unit]],16)&amp;"")</f>
        <v/>
      </c>
      <c r="C46" s="28">
        <f>IF($A46="","",SUMIFS(tDrugPur[[Quantity Purchased]],tDrugPur[[Drug Name]],$A46))</f>
        <v/>
      </c>
      <c r="D46" s="29">
        <f>IF($A46="","",SUMIFS(tDrugPur[[Total Cost]],tDrugPur[[Drug Name]],$A46))</f>
        <v/>
      </c>
      <c r="E46" s="28">
        <f>IF($A46="","",SUMIFS(tDrugUse[[Quantity Used]],tDrugUse[[Drug Name]],$A46))</f>
        <v/>
      </c>
      <c r="F46" s="29">
        <f>IF($A46="","",SUMIFS(tDrugUse[[Total Cost]],tDrugUse[[Drug Name]],$A46))</f>
        <v/>
      </c>
      <c r="G46" s="28">
        <f>IF($A46="","",C46-E46)</f>
        <v/>
      </c>
      <c r="H46" s="30">
        <f>IF($A46="","",IFERROR(LOOKUP(2,1/((tDrugPur[[Drug Name]]=$A46)*(tDrugPur[[Date]]&lt;=2958465)),tDrugPur[[Avg Cost per Unit After Purchase]]),0))</f>
        <v/>
      </c>
      <c r="I46" s="29">
        <f>IF($A46="","",D46-F46)</f>
        <v/>
      </c>
      <c r="J46" s="28">
        <f>IF($A46="","",N(INDEX(tDrugs[[Reorder Level]],16)))</f>
        <v/>
      </c>
      <c r="K46" s="27">
        <f>IF($A46="","",IF(AND(C46=0,E46=0),"Not stocked",IF(G46&lt;-0.0001,"NEGATIVE - CHECK",IF(G46&lt;=J46,"REORDER","OK"))))</f>
        <v/>
      </c>
      <c r="L46" s="31">
        <f>IF($A46="","",IF(_xlfn.MINIFS(tDrugPur[[Expiry Date]],tDrugPur[[Drug Name]],$A46,tDrugPur[[Expiry Date]],"&gt;="&amp;TODAY(),tDrugPur[[Expiry Status]],"&lt;&gt;Used up")=0,"",_xlfn.MINIFS(tDrugPur[[Expiry Date]],tDrugPur[[Drug Name]],$A46,tDrugPur[[Expiry Date]],"&gt;="&amp;TODAY(),tDrugPur[[Expiry Status]],"&lt;&gt;Used up")))</f>
        <v/>
      </c>
      <c r="M46" s="27">
        <f>IF($A46="","",IF(COUNTIFS(tDrugPur[[Drug Name]],$A46,tDrugPur[[Expiry Status]],"EXPIRED")&gt;0,COUNTIFS(tDrugPur[[Drug Name]],$A46,tDrugPur[[Expiry Status]],"EXPIRED")&amp;" EXPIRED lot(s) in stock",IF(COUNTIFS(tDrugPur[[Drug Name]],$A46,tDrugPur[[Expiry Status]],"Expires*")&gt;0,"Expiring within "&amp;ExpiryWarnDays&amp;" days","OK")))</f>
        <v/>
      </c>
    </row>
    <row r="47">
      <c r="A47" s="27">
        <f>IFERROR(INDEX(tDrugs[[Drug Name]],17)&amp;"","")</f>
        <v/>
      </c>
      <c r="B47" s="36">
        <f>IF($A47="","",INDEX(tDrugs[[Stock Unit]],17)&amp;"")</f>
        <v/>
      </c>
      <c r="C47" s="28">
        <f>IF($A47="","",SUMIFS(tDrugPur[[Quantity Purchased]],tDrugPur[[Drug Name]],$A47))</f>
        <v/>
      </c>
      <c r="D47" s="29">
        <f>IF($A47="","",SUMIFS(tDrugPur[[Total Cost]],tDrugPur[[Drug Name]],$A47))</f>
        <v/>
      </c>
      <c r="E47" s="28">
        <f>IF($A47="","",SUMIFS(tDrugUse[[Quantity Used]],tDrugUse[[Drug Name]],$A47))</f>
        <v/>
      </c>
      <c r="F47" s="29">
        <f>IF($A47="","",SUMIFS(tDrugUse[[Total Cost]],tDrugUse[[Drug Name]],$A47))</f>
        <v/>
      </c>
      <c r="G47" s="28">
        <f>IF($A47="","",C47-E47)</f>
        <v/>
      </c>
      <c r="H47" s="30">
        <f>IF($A47="","",IFERROR(LOOKUP(2,1/((tDrugPur[[Drug Name]]=$A47)*(tDrugPur[[Date]]&lt;=2958465)),tDrugPur[[Avg Cost per Unit After Purchase]]),0))</f>
        <v/>
      </c>
      <c r="I47" s="29">
        <f>IF($A47="","",D47-F47)</f>
        <v/>
      </c>
      <c r="J47" s="28">
        <f>IF($A47="","",N(INDEX(tDrugs[[Reorder Level]],17)))</f>
        <v/>
      </c>
      <c r="K47" s="27">
        <f>IF($A47="","",IF(AND(C47=0,E47=0),"Not stocked",IF(G47&lt;-0.0001,"NEGATIVE - CHECK",IF(G47&lt;=J47,"REORDER","OK"))))</f>
        <v/>
      </c>
      <c r="L47" s="31">
        <f>IF($A47="","",IF(_xlfn.MINIFS(tDrugPur[[Expiry Date]],tDrugPur[[Drug Name]],$A47,tDrugPur[[Expiry Date]],"&gt;="&amp;TODAY(),tDrugPur[[Expiry Status]],"&lt;&gt;Used up")=0,"",_xlfn.MINIFS(tDrugPur[[Expiry Date]],tDrugPur[[Drug Name]],$A47,tDrugPur[[Expiry Date]],"&gt;="&amp;TODAY(),tDrugPur[[Expiry Status]],"&lt;&gt;Used up")))</f>
        <v/>
      </c>
      <c r="M47" s="27">
        <f>IF($A47="","",IF(COUNTIFS(tDrugPur[[Drug Name]],$A47,tDrugPur[[Expiry Status]],"EXPIRED")&gt;0,COUNTIFS(tDrugPur[[Drug Name]],$A47,tDrugPur[[Expiry Status]],"EXPIRED")&amp;" EXPIRED lot(s) in stock",IF(COUNTIFS(tDrugPur[[Drug Name]],$A47,tDrugPur[[Expiry Status]],"Expires*")&gt;0,"Expiring within "&amp;ExpiryWarnDays&amp;" days","OK")))</f>
        <v/>
      </c>
    </row>
    <row r="48">
      <c r="A48" s="27">
        <f>IFERROR(INDEX(tDrugs[[Drug Name]],18)&amp;"","")</f>
        <v/>
      </c>
      <c r="B48" s="36">
        <f>IF($A48="","",INDEX(tDrugs[[Stock Unit]],18)&amp;"")</f>
        <v/>
      </c>
      <c r="C48" s="28">
        <f>IF($A48="","",SUMIFS(tDrugPur[[Quantity Purchased]],tDrugPur[[Drug Name]],$A48))</f>
        <v/>
      </c>
      <c r="D48" s="29">
        <f>IF($A48="","",SUMIFS(tDrugPur[[Total Cost]],tDrugPur[[Drug Name]],$A48))</f>
        <v/>
      </c>
      <c r="E48" s="28">
        <f>IF($A48="","",SUMIFS(tDrugUse[[Quantity Used]],tDrugUse[[Drug Name]],$A48))</f>
        <v/>
      </c>
      <c r="F48" s="29">
        <f>IF($A48="","",SUMIFS(tDrugUse[[Total Cost]],tDrugUse[[Drug Name]],$A48))</f>
        <v/>
      </c>
      <c r="G48" s="28">
        <f>IF($A48="","",C48-E48)</f>
        <v/>
      </c>
      <c r="H48" s="30">
        <f>IF($A48="","",IFERROR(LOOKUP(2,1/((tDrugPur[[Drug Name]]=$A48)*(tDrugPur[[Date]]&lt;=2958465)),tDrugPur[[Avg Cost per Unit After Purchase]]),0))</f>
        <v/>
      </c>
      <c r="I48" s="29">
        <f>IF($A48="","",D48-F48)</f>
        <v/>
      </c>
      <c r="J48" s="28">
        <f>IF($A48="","",N(INDEX(tDrugs[[Reorder Level]],18)))</f>
        <v/>
      </c>
      <c r="K48" s="27">
        <f>IF($A48="","",IF(AND(C48=0,E48=0),"Not stocked",IF(G48&lt;-0.0001,"NEGATIVE - CHECK",IF(G48&lt;=J48,"REORDER","OK"))))</f>
        <v/>
      </c>
      <c r="L48" s="31">
        <f>IF($A48="","",IF(_xlfn.MINIFS(tDrugPur[[Expiry Date]],tDrugPur[[Drug Name]],$A48,tDrugPur[[Expiry Date]],"&gt;="&amp;TODAY(),tDrugPur[[Expiry Status]],"&lt;&gt;Used up")=0,"",_xlfn.MINIFS(tDrugPur[[Expiry Date]],tDrugPur[[Drug Name]],$A48,tDrugPur[[Expiry Date]],"&gt;="&amp;TODAY(),tDrugPur[[Expiry Status]],"&lt;&gt;Used up")))</f>
        <v/>
      </c>
      <c r="M48" s="27">
        <f>IF($A48="","",IF(COUNTIFS(tDrugPur[[Drug Name]],$A48,tDrugPur[[Expiry Status]],"EXPIRED")&gt;0,COUNTIFS(tDrugPur[[Drug Name]],$A48,tDrugPur[[Expiry Status]],"EXPIRED")&amp;" EXPIRED lot(s) in stock",IF(COUNTIFS(tDrugPur[[Drug Name]],$A48,tDrugPur[[Expiry Status]],"Expires*")&gt;0,"Expiring within "&amp;ExpiryWarnDays&amp;" days","OK")))</f>
        <v/>
      </c>
    </row>
    <row r="49">
      <c r="A49" s="27">
        <f>IFERROR(INDEX(tDrugs[[Drug Name]],19)&amp;"","")</f>
        <v/>
      </c>
      <c r="B49" s="36">
        <f>IF($A49="","",INDEX(tDrugs[[Stock Unit]],19)&amp;"")</f>
        <v/>
      </c>
      <c r="C49" s="28">
        <f>IF($A49="","",SUMIFS(tDrugPur[[Quantity Purchased]],tDrugPur[[Drug Name]],$A49))</f>
        <v/>
      </c>
      <c r="D49" s="29">
        <f>IF($A49="","",SUMIFS(tDrugPur[[Total Cost]],tDrugPur[[Drug Name]],$A49))</f>
        <v/>
      </c>
      <c r="E49" s="28">
        <f>IF($A49="","",SUMIFS(tDrugUse[[Quantity Used]],tDrugUse[[Drug Name]],$A49))</f>
        <v/>
      </c>
      <c r="F49" s="29">
        <f>IF($A49="","",SUMIFS(tDrugUse[[Total Cost]],tDrugUse[[Drug Name]],$A49))</f>
        <v/>
      </c>
      <c r="G49" s="28">
        <f>IF($A49="","",C49-E49)</f>
        <v/>
      </c>
      <c r="H49" s="30">
        <f>IF($A49="","",IFERROR(LOOKUP(2,1/((tDrugPur[[Drug Name]]=$A49)*(tDrugPur[[Date]]&lt;=2958465)),tDrugPur[[Avg Cost per Unit After Purchase]]),0))</f>
        <v/>
      </c>
      <c r="I49" s="29">
        <f>IF($A49="","",D49-F49)</f>
        <v/>
      </c>
      <c r="J49" s="28">
        <f>IF($A49="","",N(INDEX(tDrugs[[Reorder Level]],19)))</f>
        <v/>
      </c>
      <c r="K49" s="27">
        <f>IF($A49="","",IF(AND(C49=0,E49=0),"Not stocked",IF(G49&lt;-0.0001,"NEGATIVE - CHECK",IF(G49&lt;=J49,"REORDER","OK"))))</f>
        <v/>
      </c>
      <c r="L49" s="31">
        <f>IF($A49="","",IF(_xlfn.MINIFS(tDrugPur[[Expiry Date]],tDrugPur[[Drug Name]],$A49,tDrugPur[[Expiry Date]],"&gt;="&amp;TODAY(),tDrugPur[[Expiry Status]],"&lt;&gt;Used up")=0,"",_xlfn.MINIFS(tDrugPur[[Expiry Date]],tDrugPur[[Drug Name]],$A49,tDrugPur[[Expiry Date]],"&gt;="&amp;TODAY(),tDrugPur[[Expiry Status]],"&lt;&gt;Used up")))</f>
        <v/>
      </c>
      <c r="M49" s="27">
        <f>IF($A49="","",IF(COUNTIFS(tDrugPur[[Drug Name]],$A49,tDrugPur[[Expiry Status]],"EXPIRED")&gt;0,COUNTIFS(tDrugPur[[Drug Name]],$A49,tDrugPur[[Expiry Status]],"EXPIRED")&amp;" EXPIRED lot(s) in stock",IF(COUNTIFS(tDrugPur[[Drug Name]],$A49,tDrugPur[[Expiry Status]],"Expires*")&gt;0,"Expiring within "&amp;ExpiryWarnDays&amp;" days","OK")))</f>
        <v/>
      </c>
    </row>
    <row r="50">
      <c r="A50" s="27">
        <f>IFERROR(INDEX(tDrugs[[Drug Name]],20)&amp;"","")</f>
        <v/>
      </c>
      <c r="B50" s="36">
        <f>IF($A50="","",INDEX(tDrugs[[Stock Unit]],20)&amp;"")</f>
        <v/>
      </c>
      <c r="C50" s="28">
        <f>IF($A50="","",SUMIFS(tDrugPur[[Quantity Purchased]],tDrugPur[[Drug Name]],$A50))</f>
        <v/>
      </c>
      <c r="D50" s="29">
        <f>IF($A50="","",SUMIFS(tDrugPur[[Total Cost]],tDrugPur[[Drug Name]],$A50))</f>
        <v/>
      </c>
      <c r="E50" s="28">
        <f>IF($A50="","",SUMIFS(tDrugUse[[Quantity Used]],tDrugUse[[Drug Name]],$A50))</f>
        <v/>
      </c>
      <c r="F50" s="29">
        <f>IF($A50="","",SUMIFS(tDrugUse[[Total Cost]],tDrugUse[[Drug Name]],$A50))</f>
        <v/>
      </c>
      <c r="G50" s="28">
        <f>IF($A50="","",C50-E50)</f>
        <v/>
      </c>
      <c r="H50" s="30">
        <f>IF($A50="","",IFERROR(LOOKUP(2,1/((tDrugPur[[Drug Name]]=$A50)*(tDrugPur[[Date]]&lt;=2958465)),tDrugPur[[Avg Cost per Unit After Purchase]]),0))</f>
        <v/>
      </c>
      <c r="I50" s="29">
        <f>IF($A50="","",D50-F50)</f>
        <v/>
      </c>
      <c r="J50" s="28">
        <f>IF($A50="","",N(INDEX(tDrugs[[Reorder Level]],20)))</f>
        <v/>
      </c>
      <c r="K50" s="27">
        <f>IF($A50="","",IF(AND(C50=0,E50=0),"Not stocked",IF(G50&lt;-0.0001,"NEGATIVE - CHECK",IF(G50&lt;=J50,"REORDER","OK"))))</f>
        <v/>
      </c>
      <c r="L50" s="31">
        <f>IF($A50="","",IF(_xlfn.MINIFS(tDrugPur[[Expiry Date]],tDrugPur[[Drug Name]],$A50,tDrugPur[[Expiry Date]],"&gt;="&amp;TODAY(),tDrugPur[[Expiry Status]],"&lt;&gt;Used up")=0,"",_xlfn.MINIFS(tDrugPur[[Expiry Date]],tDrugPur[[Drug Name]],$A50,tDrugPur[[Expiry Date]],"&gt;="&amp;TODAY(),tDrugPur[[Expiry Status]],"&lt;&gt;Used up")))</f>
        <v/>
      </c>
      <c r="M50" s="27">
        <f>IF($A50="","",IF(COUNTIFS(tDrugPur[[Drug Name]],$A50,tDrugPur[[Expiry Status]],"EXPIRED")&gt;0,COUNTIFS(tDrugPur[[Drug Name]],$A50,tDrugPur[[Expiry Status]],"EXPIRED")&amp;" EXPIRED lot(s) in stock",IF(COUNTIFS(tDrugPur[[Drug Name]],$A50,tDrugPur[[Expiry Status]],"Expires*")&gt;0,"Expiring within "&amp;ExpiryWarnDays&amp;" days","OK")))</f>
        <v/>
      </c>
    </row>
    <row r="51">
      <c r="A51" s="27">
        <f>IFERROR(INDEX(tDrugs[[Drug Name]],21)&amp;"","")</f>
        <v/>
      </c>
      <c r="B51" s="36">
        <f>IF($A51="","",INDEX(tDrugs[[Stock Unit]],21)&amp;"")</f>
        <v/>
      </c>
      <c r="C51" s="28">
        <f>IF($A51="","",SUMIFS(tDrugPur[[Quantity Purchased]],tDrugPur[[Drug Name]],$A51))</f>
        <v/>
      </c>
      <c r="D51" s="29">
        <f>IF($A51="","",SUMIFS(tDrugPur[[Total Cost]],tDrugPur[[Drug Name]],$A51))</f>
        <v/>
      </c>
      <c r="E51" s="28">
        <f>IF($A51="","",SUMIFS(tDrugUse[[Quantity Used]],tDrugUse[[Drug Name]],$A51))</f>
        <v/>
      </c>
      <c r="F51" s="29">
        <f>IF($A51="","",SUMIFS(tDrugUse[[Total Cost]],tDrugUse[[Drug Name]],$A51))</f>
        <v/>
      </c>
      <c r="G51" s="28">
        <f>IF($A51="","",C51-E51)</f>
        <v/>
      </c>
      <c r="H51" s="30">
        <f>IF($A51="","",IFERROR(LOOKUP(2,1/((tDrugPur[[Drug Name]]=$A51)*(tDrugPur[[Date]]&lt;=2958465)),tDrugPur[[Avg Cost per Unit After Purchase]]),0))</f>
        <v/>
      </c>
      <c r="I51" s="29">
        <f>IF($A51="","",D51-F51)</f>
        <v/>
      </c>
      <c r="J51" s="28">
        <f>IF($A51="","",N(INDEX(tDrugs[[Reorder Level]],21)))</f>
        <v/>
      </c>
      <c r="K51" s="27">
        <f>IF($A51="","",IF(AND(C51=0,E51=0),"Not stocked",IF(G51&lt;-0.0001,"NEGATIVE - CHECK",IF(G51&lt;=J51,"REORDER","OK"))))</f>
        <v/>
      </c>
      <c r="L51" s="31">
        <f>IF($A51="","",IF(_xlfn.MINIFS(tDrugPur[[Expiry Date]],tDrugPur[[Drug Name]],$A51,tDrugPur[[Expiry Date]],"&gt;="&amp;TODAY(),tDrugPur[[Expiry Status]],"&lt;&gt;Used up")=0,"",_xlfn.MINIFS(tDrugPur[[Expiry Date]],tDrugPur[[Drug Name]],$A51,tDrugPur[[Expiry Date]],"&gt;="&amp;TODAY(),tDrugPur[[Expiry Status]],"&lt;&gt;Used up")))</f>
        <v/>
      </c>
      <c r="M51" s="27">
        <f>IF($A51="","",IF(COUNTIFS(tDrugPur[[Drug Name]],$A51,tDrugPur[[Expiry Status]],"EXPIRED")&gt;0,COUNTIFS(tDrugPur[[Drug Name]],$A51,tDrugPur[[Expiry Status]],"EXPIRED")&amp;" EXPIRED lot(s) in stock",IF(COUNTIFS(tDrugPur[[Drug Name]],$A51,tDrugPur[[Expiry Status]],"Expires*")&gt;0,"Expiring within "&amp;ExpiryWarnDays&amp;" days","OK")))</f>
        <v/>
      </c>
    </row>
    <row r="52">
      <c r="A52" s="27">
        <f>IFERROR(INDEX(tDrugs[[Drug Name]],22)&amp;"","")</f>
        <v/>
      </c>
      <c r="B52" s="36">
        <f>IF($A52="","",INDEX(tDrugs[[Stock Unit]],22)&amp;"")</f>
        <v/>
      </c>
      <c r="C52" s="28">
        <f>IF($A52="","",SUMIFS(tDrugPur[[Quantity Purchased]],tDrugPur[[Drug Name]],$A52))</f>
        <v/>
      </c>
      <c r="D52" s="29">
        <f>IF($A52="","",SUMIFS(tDrugPur[[Total Cost]],tDrugPur[[Drug Name]],$A52))</f>
        <v/>
      </c>
      <c r="E52" s="28">
        <f>IF($A52="","",SUMIFS(tDrugUse[[Quantity Used]],tDrugUse[[Drug Name]],$A52))</f>
        <v/>
      </c>
      <c r="F52" s="29">
        <f>IF($A52="","",SUMIFS(tDrugUse[[Total Cost]],tDrugUse[[Drug Name]],$A52))</f>
        <v/>
      </c>
      <c r="G52" s="28">
        <f>IF($A52="","",C52-E52)</f>
        <v/>
      </c>
      <c r="H52" s="30">
        <f>IF($A52="","",IFERROR(LOOKUP(2,1/((tDrugPur[[Drug Name]]=$A52)*(tDrugPur[[Date]]&lt;=2958465)),tDrugPur[[Avg Cost per Unit After Purchase]]),0))</f>
        <v/>
      </c>
      <c r="I52" s="29">
        <f>IF($A52="","",D52-F52)</f>
        <v/>
      </c>
      <c r="J52" s="28">
        <f>IF($A52="","",N(INDEX(tDrugs[[Reorder Level]],22)))</f>
        <v/>
      </c>
      <c r="K52" s="27">
        <f>IF($A52="","",IF(AND(C52=0,E52=0),"Not stocked",IF(G52&lt;-0.0001,"NEGATIVE - CHECK",IF(G52&lt;=J52,"REORDER","OK"))))</f>
        <v/>
      </c>
      <c r="L52" s="31">
        <f>IF($A52="","",IF(_xlfn.MINIFS(tDrugPur[[Expiry Date]],tDrugPur[[Drug Name]],$A52,tDrugPur[[Expiry Date]],"&gt;="&amp;TODAY(),tDrugPur[[Expiry Status]],"&lt;&gt;Used up")=0,"",_xlfn.MINIFS(tDrugPur[[Expiry Date]],tDrugPur[[Drug Name]],$A52,tDrugPur[[Expiry Date]],"&gt;="&amp;TODAY(),tDrugPur[[Expiry Status]],"&lt;&gt;Used up")))</f>
        <v/>
      </c>
      <c r="M52" s="27">
        <f>IF($A52="","",IF(COUNTIFS(tDrugPur[[Drug Name]],$A52,tDrugPur[[Expiry Status]],"EXPIRED")&gt;0,COUNTIFS(tDrugPur[[Drug Name]],$A52,tDrugPur[[Expiry Status]],"EXPIRED")&amp;" EXPIRED lot(s) in stock",IF(COUNTIFS(tDrugPur[[Drug Name]],$A52,tDrugPur[[Expiry Status]],"Expires*")&gt;0,"Expiring within "&amp;ExpiryWarnDays&amp;" days","OK")))</f>
        <v/>
      </c>
    </row>
    <row r="53">
      <c r="A53" s="27">
        <f>IFERROR(INDEX(tDrugs[[Drug Name]],23)&amp;"","")</f>
        <v/>
      </c>
      <c r="B53" s="36">
        <f>IF($A53="","",INDEX(tDrugs[[Stock Unit]],23)&amp;"")</f>
        <v/>
      </c>
      <c r="C53" s="28">
        <f>IF($A53="","",SUMIFS(tDrugPur[[Quantity Purchased]],tDrugPur[[Drug Name]],$A53))</f>
        <v/>
      </c>
      <c r="D53" s="29">
        <f>IF($A53="","",SUMIFS(tDrugPur[[Total Cost]],tDrugPur[[Drug Name]],$A53))</f>
        <v/>
      </c>
      <c r="E53" s="28">
        <f>IF($A53="","",SUMIFS(tDrugUse[[Quantity Used]],tDrugUse[[Drug Name]],$A53))</f>
        <v/>
      </c>
      <c r="F53" s="29">
        <f>IF($A53="","",SUMIFS(tDrugUse[[Total Cost]],tDrugUse[[Drug Name]],$A53))</f>
        <v/>
      </c>
      <c r="G53" s="28">
        <f>IF($A53="","",C53-E53)</f>
        <v/>
      </c>
      <c r="H53" s="30">
        <f>IF($A53="","",IFERROR(LOOKUP(2,1/((tDrugPur[[Drug Name]]=$A53)*(tDrugPur[[Date]]&lt;=2958465)),tDrugPur[[Avg Cost per Unit After Purchase]]),0))</f>
        <v/>
      </c>
      <c r="I53" s="29">
        <f>IF($A53="","",D53-F53)</f>
        <v/>
      </c>
      <c r="J53" s="28">
        <f>IF($A53="","",N(INDEX(tDrugs[[Reorder Level]],23)))</f>
        <v/>
      </c>
      <c r="K53" s="27">
        <f>IF($A53="","",IF(AND(C53=0,E53=0),"Not stocked",IF(G53&lt;-0.0001,"NEGATIVE - CHECK",IF(G53&lt;=J53,"REORDER","OK"))))</f>
        <v/>
      </c>
      <c r="L53" s="31">
        <f>IF($A53="","",IF(_xlfn.MINIFS(tDrugPur[[Expiry Date]],tDrugPur[[Drug Name]],$A53,tDrugPur[[Expiry Date]],"&gt;="&amp;TODAY(),tDrugPur[[Expiry Status]],"&lt;&gt;Used up")=0,"",_xlfn.MINIFS(tDrugPur[[Expiry Date]],tDrugPur[[Drug Name]],$A53,tDrugPur[[Expiry Date]],"&gt;="&amp;TODAY(),tDrugPur[[Expiry Status]],"&lt;&gt;Used up")))</f>
        <v/>
      </c>
      <c r="M53" s="27">
        <f>IF($A53="","",IF(COUNTIFS(tDrugPur[[Drug Name]],$A53,tDrugPur[[Expiry Status]],"EXPIRED")&gt;0,COUNTIFS(tDrugPur[[Drug Name]],$A53,tDrugPur[[Expiry Status]],"EXPIRED")&amp;" EXPIRED lot(s) in stock",IF(COUNTIFS(tDrugPur[[Drug Name]],$A53,tDrugPur[[Expiry Status]],"Expires*")&gt;0,"Expiring within "&amp;ExpiryWarnDays&amp;" days","OK")))</f>
        <v/>
      </c>
    </row>
    <row r="54">
      <c r="A54" s="27">
        <f>IFERROR(INDEX(tDrugs[[Drug Name]],24)&amp;"","")</f>
        <v/>
      </c>
      <c r="B54" s="36">
        <f>IF($A54="","",INDEX(tDrugs[[Stock Unit]],24)&amp;"")</f>
        <v/>
      </c>
      <c r="C54" s="28">
        <f>IF($A54="","",SUMIFS(tDrugPur[[Quantity Purchased]],tDrugPur[[Drug Name]],$A54))</f>
        <v/>
      </c>
      <c r="D54" s="29">
        <f>IF($A54="","",SUMIFS(tDrugPur[[Total Cost]],tDrugPur[[Drug Name]],$A54))</f>
        <v/>
      </c>
      <c r="E54" s="28">
        <f>IF($A54="","",SUMIFS(tDrugUse[[Quantity Used]],tDrugUse[[Drug Name]],$A54))</f>
        <v/>
      </c>
      <c r="F54" s="29">
        <f>IF($A54="","",SUMIFS(tDrugUse[[Total Cost]],tDrugUse[[Drug Name]],$A54))</f>
        <v/>
      </c>
      <c r="G54" s="28">
        <f>IF($A54="","",C54-E54)</f>
        <v/>
      </c>
      <c r="H54" s="30">
        <f>IF($A54="","",IFERROR(LOOKUP(2,1/((tDrugPur[[Drug Name]]=$A54)*(tDrugPur[[Date]]&lt;=2958465)),tDrugPur[[Avg Cost per Unit After Purchase]]),0))</f>
        <v/>
      </c>
      <c r="I54" s="29">
        <f>IF($A54="","",D54-F54)</f>
        <v/>
      </c>
      <c r="J54" s="28">
        <f>IF($A54="","",N(INDEX(tDrugs[[Reorder Level]],24)))</f>
        <v/>
      </c>
      <c r="K54" s="27">
        <f>IF($A54="","",IF(AND(C54=0,E54=0),"Not stocked",IF(G54&lt;-0.0001,"NEGATIVE - CHECK",IF(G54&lt;=J54,"REORDER","OK"))))</f>
        <v/>
      </c>
      <c r="L54" s="31">
        <f>IF($A54="","",IF(_xlfn.MINIFS(tDrugPur[[Expiry Date]],tDrugPur[[Drug Name]],$A54,tDrugPur[[Expiry Date]],"&gt;="&amp;TODAY(),tDrugPur[[Expiry Status]],"&lt;&gt;Used up")=0,"",_xlfn.MINIFS(tDrugPur[[Expiry Date]],tDrugPur[[Drug Name]],$A54,tDrugPur[[Expiry Date]],"&gt;="&amp;TODAY(),tDrugPur[[Expiry Status]],"&lt;&gt;Used up")))</f>
        <v/>
      </c>
      <c r="M54" s="27">
        <f>IF($A54="","",IF(COUNTIFS(tDrugPur[[Drug Name]],$A54,tDrugPur[[Expiry Status]],"EXPIRED")&gt;0,COUNTIFS(tDrugPur[[Drug Name]],$A54,tDrugPur[[Expiry Status]],"EXPIRED")&amp;" EXPIRED lot(s) in stock",IF(COUNTIFS(tDrugPur[[Drug Name]],$A54,tDrugPur[[Expiry Status]],"Expires*")&gt;0,"Expiring within "&amp;ExpiryWarnDays&amp;" days","OK")))</f>
        <v/>
      </c>
    </row>
    <row r="55">
      <c r="A55" s="27">
        <f>IFERROR(INDEX(tDrugs[[Drug Name]],25)&amp;"","")</f>
        <v/>
      </c>
      <c r="B55" s="36">
        <f>IF($A55="","",INDEX(tDrugs[[Stock Unit]],25)&amp;"")</f>
        <v/>
      </c>
      <c r="C55" s="28">
        <f>IF($A55="","",SUMIFS(tDrugPur[[Quantity Purchased]],tDrugPur[[Drug Name]],$A55))</f>
        <v/>
      </c>
      <c r="D55" s="29">
        <f>IF($A55="","",SUMIFS(tDrugPur[[Total Cost]],tDrugPur[[Drug Name]],$A55))</f>
        <v/>
      </c>
      <c r="E55" s="28">
        <f>IF($A55="","",SUMIFS(tDrugUse[[Quantity Used]],tDrugUse[[Drug Name]],$A55))</f>
        <v/>
      </c>
      <c r="F55" s="29">
        <f>IF($A55="","",SUMIFS(tDrugUse[[Total Cost]],tDrugUse[[Drug Name]],$A55))</f>
        <v/>
      </c>
      <c r="G55" s="28">
        <f>IF($A55="","",C55-E55)</f>
        <v/>
      </c>
      <c r="H55" s="30">
        <f>IF($A55="","",IFERROR(LOOKUP(2,1/((tDrugPur[[Drug Name]]=$A55)*(tDrugPur[[Date]]&lt;=2958465)),tDrugPur[[Avg Cost per Unit After Purchase]]),0))</f>
        <v/>
      </c>
      <c r="I55" s="29">
        <f>IF($A55="","",D55-F55)</f>
        <v/>
      </c>
      <c r="J55" s="28">
        <f>IF($A55="","",N(INDEX(tDrugs[[Reorder Level]],25)))</f>
        <v/>
      </c>
      <c r="K55" s="27">
        <f>IF($A55="","",IF(AND(C55=0,E55=0),"Not stocked",IF(G55&lt;-0.0001,"NEGATIVE - CHECK",IF(G55&lt;=J55,"REORDER","OK"))))</f>
        <v/>
      </c>
      <c r="L55" s="31">
        <f>IF($A55="","",IF(_xlfn.MINIFS(tDrugPur[[Expiry Date]],tDrugPur[[Drug Name]],$A55,tDrugPur[[Expiry Date]],"&gt;="&amp;TODAY(),tDrugPur[[Expiry Status]],"&lt;&gt;Used up")=0,"",_xlfn.MINIFS(tDrugPur[[Expiry Date]],tDrugPur[[Drug Name]],$A55,tDrugPur[[Expiry Date]],"&gt;="&amp;TODAY(),tDrugPur[[Expiry Status]],"&lt;&gt;Used up")))</f>
        <v/>
      </c>
      <c r="M55" s="27">
        <f>IF($A55="","",IF(COUNTIFS(tDrugPur[[Drug Name]],$A55,tDrugPur[[Expiry Status]],"EXPIRED")&gt;0,COUNTIFS(tDrugPur[[Drug Name]],$A55,tDrugPur[[Expiry Status]],"EXPIRED")&amp;" EXPIRED lot(s) in stock",IF(COUNTIFS(tDrugPur[[Drug Name]],$A55,tDrugPur[[Expiry Status]],"Expires*")&gt;0,"Expiring within "&amp;ExpiryWarnDays&amp;" days","OK")))</f>
        <v/>
      </c>
    </row>
    <row r="56">
      <c r="A56" s="27">
        <f>IFERROR(INDEX(tDrugs[[Drug Name]],26)&amp;"","")</f>
        <v/>
      </c>
      <c r="B56" s="36">
        <f>IF($A56="","",INDEX(tDrugs[[Stock Unit]],26)&amp;"")</f>
        <v/>
      </c>
      <c r="C56" s="28">
        <f>IF($A56="","",SUMIFS(tDrugPur[[Quantity Purchased]],tDrugPur[[Drug Name]],$A56))</f>
        <v/>
      </c>
      <c r="D56" s="29">
        <f>IF($A56="","",SUMIFS(tDrugPur[[Total Cost]],tDrugPur[[Drug Name]],$A56))</f>
        <v/>
      </c>
      <c r="E56" s="28">
        <f>IF($A56="","",SUMIFS(tDrugUse[[Quantity Used]],tDrugUse[[Drug Name]],$A56))</f>
        <v/>
      </c>
      <c r="F56" s="29">
        <f>IF($A56="","",SUMIFS(tDrugUse[[Total Cost]],tDrugUse[[Drug Name]],$A56))</f>
        <v/>
      </c>
      <c r="G56" s="28">
        <f>IF($A56="","",C56-E56)</f>
        <v/>
      </c>
      <c r="H56" s="30">
        <f>IF($A56="","",IFERROR(LOOKUP(2,1/((tDrugPur[[Drug Name]]=$A56)*(tDrugPur[[Date]]&lt;=2958465)),tDrugPur[[Avg Cost per Unit After Purchase]]),0))</f>
        <v/>
      </c>
      <c r="I56" s="29">
        <f>IF($A56="","",D56-F56)</f>
        <v/>
      </c>
      <c r="J56" s="28">
        <f>IF($A56="","",N(INDEX(tDrugs[[Reorder Level]],26)))</f>
        <v/>
      </c>
      <c r="K56" s="27">
        <f>IF($A56="","",IF(AND(C56=0,E56=0),"Not stocked",IF(G56&lt;-0.0001,"NEGATIVE - CHECK",IF(G56&lt;=J56,"REORDER","OK"))))</f>
        <v/>
      </c>
      <c r="L56" s="31">
        <f>IF($A56="","",IF(_xlfn.MINIFS(tDrugPur[[Expiry Date]],tDrugPur[[Drug Name]],$A56,tDrugPur[[Expiry Date]],"&gt;="&amp;TODAY(),tDrugPur[[Expiry Status]],"&lt;&gt;Used up")=0,"",_xlfn.MINIFS(tDrugPur[[Expiry Date]],tDrugPur[[Drug Name]],$A56,tDrugPur[[Expiry Date]],"&gt;="&amp;TODAY(),tDrugPur[[Expiry Status]],"&lt;&gt;Used up")))</f>
        <v/>
      </c>
      <c r="M56" s="27">
        <f>IF($A56="","",IF(COUNTIFS(tDrugPur[[Drug Name]],$A56,tDrugPur[[Expiry Status]],"EXPIRED")&gt;0,COUNTIFS(tDrugPur[[Drug Name]],$A56,tDrugPur[[Expiry Status]],"EXPIRED")&amp;" EXPIRED lot(s) in stock",IF(COUNTIFS(tDrugPur[[Drug Name]],$A56,tDrugPur[[Expiry Status]],"Expires*")&gt;0,"Expiring within "&amp;ExpiryWarnDays&amp;" days","OK")))</f>
        <v/>
      </c>
    </row>
    <row r="57">
      <c r="A57" s="27">
        <f>IFERROR(INDEX(tDrugs[[Drug Name]],27)&amp;"","")</f>
        <v/>
      </c>
      <c r="B57" s="36">
        <f>IF($A57="","",INDEX(tDrugs[[Stock Unit]],27)&amp;"")</f>
        <v/>
      </c>
      <c r="C57" s="28">
        <f>IF($A57="","",SUMIFS(tDrugPur[[Quantity Purchased]],tDrugPur[[Drug Name]],$A57))</f>
        <v/>
      </c>
      <c r="D57" s="29">
        <f>IF($A57="","",SUMIFS(tDrugPur[[Total Cost]],tDrugPur[[Drug Name]],$A57))</f>
        <v/>
      </c>
      <c r="E57" s="28">
        <f>IF($A57="","",SUMIFS(tDrugUse[[Quantity Used]],tDrugUse[[Drug Name]],$A57))</f>
        <v/>
      </c>
      <c r="F57" s="29">
        <f>IF($A57="","",SUMIFS(tDrugUse[[Total Cost]],tDrugUse[[Drug Name]],$A57))</f>
        <v/>
      </c>
      <c r="G57" s="28">
        <f>IF($A57="","",C57-E57)</f>
        <v/>
      </c>
      <c r="H57" s="30">
        <f>IF($A57="","",IFERROR(LOOKUP(2,1/((tDrugPur[[Drug Name]]=$A57)*(tDrugPur[[Date]]&lt;=2958465)),tDrugPur[[Avg Cost per Unit After Purchase]]),0))</f>
        <v/>
      </c>
      <c r="I57" s="29">
        <f>IF($A57="","",D57-F57)</f>
        <v/>
      </c>
      <c r="J57" s="28">
        <f>IF($A57="","",N(INDEX(tDrugs[[Reorder Level]],27)))</f>
        <v/>
      </c>
      <c r="K57" s="27">
        <f>IF($A57="","",IF(AND(C57=0,E57=0),"Not stocked",IF(G57&lt;-0.0001,"NEGATIVE - CHECK",IF(G57&lt;=J57,"REORDER","OK"))))</f>
        <v/>
      </c>
      <c r="L57" s="31">
        <f>IF($A57="","",IF(_xlfn.MINIFS(tDrugPur[[Expiry Date]],tDrugPur[[Drug Name]],$A57,tDrugPur[[Expiry Date]],"&gt;="&amp;TODAY(),tDrugPur[[Expiry Status]],"&lt;&gt;Used up")=0,"",_xlfn.MINIFS(tDrugPur[[Expiry Date]],tDrugPur[[Drug Name]],$A57,tDrugPur[[Expiry Date]],"&gt;="&amp;TODAY(),tDrugPur[[Expiry Status]],"&lt;&gt;Used up")))</f>
        <v/>
      </c>
      <c r="M57" s="27">
        <f>IF($A57="","",IF(COUNTIFS(tDrugPur[[Drug Name]],$A57,tDrugPur[[Expiry Status]],"EXPIRED")&gt;0,COUNTIFS(tDrugPur[[Drug Name]],$A57,tDrugPur[[Expiry Status]],"EXPIRED")&amp;" EXPIRED lot(s) in stock",IF(COUNTIFS(tDrugPur[[Drug Name]],$A57,tDrugPur[[Expiry Status]],"Expires*")&gt;0,"Expiring within "&amp;ExpiryWarnDays&amp;" days","OK")))</f>
        <v/>
      </c>
    </row>
    <row r="58">
      <c r="A58" s="27">
        <f>IFERROR(INDEX(tDrugs[[Drug Name]],28)&amp;"","")</f>
        <v/>
      </c>
      <c r="B58" s="36">
        <f>IF($A58="","",INDEX(tDrugs[[Stock Unit]],28)&amp;"")</f>
        <v/>
      </c>
      <c r="C58" s="28">
        <f>IF($A58="","",SUMIFS(tDrugPur[[Quantity Purchased]],tDrugPur[[Drug Name]],$A58))</f>
        <v/>
      </c>
      <c r="D58" s="29">
        <f>IF($A58="","",SUMIFS(tDrugPur[[Total Cost]],tDrugPur[[Drug Name]],$A58))</f>
        <v/>
      </c>
      <c r="E58" s="28">
        <f>IF($A58="","",SUMIFS(tDrugUse[[Quantity Used]],tDrugUse[[Drug Name]],$A58))</f>
        <v/>
      </c>
      <c r="F58" s="29">
        <f>IF($A58="","",SUMIFS(tDrugUse[[Total Cost]],tDrugUse[[Drug Name]],$A58))</f>
        <v/>
      </c>
      <c r="G58" s="28">
        <f>IF($A58="","",C58-E58)</f>
        <v/>
      </c>
      <c r="H58" s="30">
        <f>IF($A58="","",IFERROR(LOOKUP(2,1/((tDrugPur[[Drug Name]]=$A58)*(tDrugPur[[Date]]&lt;=2958465)),tDrugPur[[Avg Cost per Unit After Purchase]]),0))</f>
        <v/>
      </c>
      <c r="I58" s="29">
        <f>IF($A58="","",D58-F58)</f>
        <v/>
      </c>
      <c r="J58" s="28">
        <f>IF($A58="","",N(INDEX(tDrugs[[Reorder Level]],28)))</f>
        <v/>
      </c>
      <c r="K58" s="27">
        <f>IF($A58="","",IF(AND(C58=0,E58=0),"Not stocked",IF(G58&lt;-0.0001,"NEGATIVE - CHECK",IF(G58&lt;=J58,"REORDER","OK"))))</f>
        <v/>
      </c>
      <c r="L58" s="31">
        <f>IF($A58="","",IF(_xlfn.MINIFS(tDrugPur[[Expiry Date]],tDrugPur[[Drug Name]],$A58,tDrugPur[[Expiry Date]],"&gt;="&amp;TODAY(),tDrugPur[[Expiry Status]],"&lt;&gt;Used up")=0,"",_xlfn.MINIFS(tDrugPur[[Expiry Date]],tDrugPur[[Drug Name]],$A58,tDrugPur[[Expiry Date]],"&gt;="&amp;TODAY(),tDrugPur[[Expiry Status]],"&lt;&gt;Used up")))</f>
        <v/>
      </c>
      <c r="M58" s="27">
        <f>IF($A58="","",IF(COUNTIFS(tDrugPur[[Drug Name]],$A58,tDrugPur[[Expiry Status]],"EXPIRED")&gt;0,COUNTIFS(tDrugPur[[Drug Name]],$A58,tDrugPur[[Expiry Status]],"EXPIRED")&amp;" EXPIRED lot(s) in stock",IF(COUNTIFS(tDrugPur[[Drug Name]],$A58,tDrugPur[[Expiry Status]],"Expires*")&gt;0,"Expiring within "&amp;ExpiryWarnDays&amp;" days","OK")))</f>
        <v/>
      </c>
    </row>
    <row r="59">
      <c r="A59" s="27">
        <f>IFERROR(INDEX(tDrugs[[Drug Name]],29)&amp;"","")</f>
        <v/>
      </c>
      <c r="B59" s="36">
        <f>IF($A59="","",INDEX(tDrugs[[Stock Unit]],29)&amp;"")</f>
        <v/>
      </c>
      <c r="C59" s="28">
        <f>IF($A59="","",SUMIFS(tDrugPur[[Quantity Purchased]],tDrugPur[[Drug Name]],$A59))</f>
        <v/>
      </c>
      <c r="D59" s="29">
        <f>IF($A59="","",SUMIFS(tDrugPur[[Total Cost]],tDrugPur[[Drug Name]],$A59))</f>
        <v/>
      </c>
      <c r="E59" s="28">
        <f>IF($A59="","",SUMIFS(tDrugUse[[Quantity Used]],tDrugUse[[Drug Name]],$A59))</f>
        <v/>
      </c>
      <c r="F59" s="29">
        <f>IF($A59="","",SUMIFS(tDrugUse[[Total Cost]],tDrugUse[[Drug Name]],$A59))</f>
        <v/>
      </c>
      <c r="G59" s="28">
        <f>IF($A59="","",C59-E59)</f>
        <v/>
      </c>
      <c r="H59" s="30">
        <f>IF($A59="","",IFERROR(LOOKUP(2,1/((tDrugPur[[Drug Name]]=$A59)*(tDrugPur[[Date]]&lt;=2958465)),tDrugPur[[Avg Cost per Unit After Purchase]]),0))</f>
        <v/>
      </c>
      <c r="I59" s="29">
        <f>IF($A59="","",D59-F59)</f>
        <v/>
      </c>
      <c r="J59" s="28">
        <f>IF($A59="","",N(INDEX(tDrugs[[Reorder Level]],29)))</f>
        <v/>
      </c>
      <c r="K59" s="27">
        <f>IF($A59="","",IF(AND(C59=0,E59=0),"Not stocked",IF(G59&lt;-0.0001,"NEGATIVE - CHECK",IF(G59&lt;=J59,"REORDER","OK"))))</f>
        <v/>
      </c>
      <c r="L59" s="31">
        <f>IF($A59="","",IF(_xlfn.MINIFS(tDrugPur[[Expiry Date]],tDrugPur[[Drug Name]],$A59,tDrugPur[[Expiry Date]],"&gt;="&amp;TODAY(),tDrugPur[[Expiry Status]],"&lt;&gt;Used up")=0,"",_xlfn.MINIFS(tDrugPur[[Expiry Date]],tDrugPur[[Drug Name]],$A59,tDrugPur[[Expiry Date]],"&gt;="&amp;TODAY(),tDrugPur[[Expiry Status]],"&lt;&gt;Used up")))</f>
        <v/>
      </c>
      <c r="M59" s="27">
        <f>IF($A59="","",IF(COUNTIFS(tDrugPur[[Drug Name]],$A59,tDrugPur[[Expiry Status]],"EXPIRED")&gt;0,COUNTIFS(tDrugPur[[Drug Name]],$A59,tDrugPur[[Expiry Status]],"EXPIRED")&amp;" EXPIRED lot(s) in stock",IF(COUNTIFS(tDrugPur[[Drug Name]],$A59,tDrugPur[[Expiry Status]],"Expires*")&gt;0,"Expiring within "&amp;ExpiryWarnDays&amp;" days","OK")))</f>
        <v/>
      </c>
    </row>
    <row r="60">
      <c r="A60" s="27">
        <f>IFERROR(INDEX(tDrugs[[Drug Name]],30)&amp;"","")</f>
        <v/>
      </c>
      <c r="B60" s="36">
        <f>IF($A60="","",INDEX(tDrugs[[Stock Unit]],30)&amp;"")</f>
        <v/>
      </c>
      <c r="C60" s="28">
        <f>IF($A60="","",SUMIFS(tDrugPur[[Quantity Purchased]],tDrugPur[[Drug Name]],$A60))</f>
        <v/>
      </c>
      <c r="D60" s="29">
        <f>IF($A60="","",SUMIFS(tDrugPur[[Total Cost]],tDrugPur[[Drug Name]],$A60))</f>
        <v/>
      </c>
      <c r="E60" s="28">
        <f>IF($A60="","",SUMIFS(tDrugUse[[Quantity Used]],tDrugUse[[Drug Name]],$A60))</f>
        <v/>
      </c>
      <c r="F60" s="29">
        <f>IF($A60="","",SUMIFS(tDrugUse[[Total Cost]],tDrugUse[[Drug Name]],$A60))</f>
        <v/>
      </c>
      <c r="G60" s="28">
        <f>IF($A60="","",C60-E60)</f>
        <v/>
      </c>
      <c r="H60" s="30">
        <f>IF($A60="","",IFERROR(LOOKUP(2,1/((tDrugPur[[Drug Name]]=$A60)*(tDrugPur[[Date]]&lt;=2958465)),tDrugPur[[Avg Cost per Unit After Purchase]]),0))</f>
        <v/>
      </c>
      <c r="I60" s="29">
        <f>IF($A60="","",D60-F60)</f>
        <v/>
      </c>
      <c r="J60" s="28">
        <f>IF($A60="","",N(INDEX(tDrugs[[Reorder Level]],30)))</f>
        <v/>
      </c>
      <c r="K60" s="27">
        <f>IF($A60="","",IF(AND(C60=0,E60=0),"Not stocked",IF(G60&lt;-0.0001,"NEGATIVE - CHECK",IF(G60&lt;=J60,"REORDER","OK"))))</f>
        <v/>
      </c>
      <c r="L60" s="31">
        <f>IF($A60="","",IF(_xlfn.MINIFS(tDrugPur[[Expiry Date]],tDrugPur[[Drug Name]],$A60,tDrugPur[[Expiry Date]],"&gt;="&amp;TODAY(),tDrugPur[[Expiry Status]],"&lt;&gt;Used up")=0,"",_xlfn.MINIFS(tDrugPur[[Expiry Date]],tDrugPur[[Drug Name]],$A60,tDrugPur[[Expiry Date]],"&gt;="&amp;TODAY(),tDrugPur[[Expiry Status]],"&lt;&gt;Used up")))</f>
        <v/>
      </c>
      <c r="M60" s="27">
        <f>IF($A60="","",IF(COUNTIFS(tDrugPur[[Drug Name]],$A60,tDrugPur[[Expiry Status]],"EXPIRED")&gt;0,COUNTIFS(tDrugPur[[Drug Name]],$A60,tDrugPur[[Expiry Status]],"EXPIRED")&amp;" EXPIRED lot(s) in stock",IF(COUNTIFS(tDrugPur[[Drug Name]],$A60,tDrugPur[[Expiry Status]],"Expires*")&gt;0,"Expiring within "&amp;ExpiryWarnDays&amp;" days","OK")))</f>
        <v/>
      </c>
    </row>
    <row r="61">
      <c r="A61" s="27">
        <f>IFERROR(INDEX(tDrugs[[Drug Name]],31)&amp;"","")</f>
        <v/>
      </c>
      <c r="B61" s="36">
        <f>IF($A61="","",INDEX(tDrugs[[Stock Unit]],31)&amp;"")</f>
        <v/>
      </c>
      <c r="C61" s="28">
        <f>IF($A61="","",SUMIFS(tDrugPur[[Quantity Purchased]],tDrugPur[[Drug Name]],$A61))</f>
        <v/>
      </c>
      <c r="D61" s="29">
        <f>IF($A61="","",SUMIFS(tDrugPur[[Total Cost]],tDrugPur[[Drug Name]],$A61))</f>
        <v/>
      </c>
      <c r="E61" s="28">
        <f>IF($A61="","",SUMIFS(tDrugUse[[Quantity Used]],tDrugUse[[Drug Name]],$A61))</f>
        <v/>
      </c>
      <c r="F61" s="29">
        <f>IF($A61="","",SUMIFS(tDrugUse[[Total Cost]],tDrugUse[[Drug Name]],$A61))</f>
        <v/>
      </c>
      <c r="G61" s="28">
        <f>IF($A61="","",C61-E61)</f>
        <v/>
      </c>
      <c r="H61" s="30">
        <f>IF($A61="","",IFERROR(LOOKUP(2,1/((tDrugPur[[Drug Name]]=$A61)*(tDrugPur[[Date]]&lt;=2958465)),tDrugPur[[Avg Cost per Unit After Purchase]]),0))</f>
        <v/>
      </c>
      <c r="I61" s="29">
        <f>IF($A61="","",D61-F61)</f>
        <v/>
      </c>
      <c r="J61" s="28">
        <f>IF($A61="","",N(INDEX(tDrugs[[Reorder Level]],31)))</f>
        <v/>
      </c>
      <c r="K61" s="27">
        <f>IF($A61="","",IF(AND(C61=0,E61=0),"Not stocked",IF(G61&lt;-0.0001,"NEGATIVE - CHECK",IF(G61&lt;=J61,"REORDER","OK"))))</f>
        <v/>
      </c>
      <c r="L61" s="31">
        <f>IF($A61="","",IF(_xlfn.MINIFS(tDrugPur[[Expiry Date]],tDrugPur[[Drug Name]],$A61,tDrugPur[[Expiry Date]],"&gt;="&amp;TODAY(),tDrugPur[[Expiry Status]],"&lt;&gt;Used up")=0,"",_xlfn.MINIFS(tDrugPur[[Expiry Date]],tDrugPur[[Drug Name]],$A61,tDrugPur[[Expiry Date]],"&gt;="&amp;TODAY(),tDrugPur[[Expiry Status]],"&lt;&gt;Used up")))</f>
        <v/>
      </c>
      <c r="M61" s="27">
        <f>IF($A61="","",IF(COUNTIFS(tDrugPur[[Drug Name]],$A61,tDrugPur[[Expiry Status]],"EXPIRED")&gt;0,COUNTIFS(tDrugPur[[Drug Name]],$A61,tDrugPur[[Expiry Status]],"EXPIRED")&amp;" EXPIRED lot(s) in stock",IF(COUNTIFS(tDrugPur[[Drug Name]],$A61,tDrugPur[[Expiry Status]],"Expires*")&gt;0,"Expiring within "&amp;ExpiryWarnDays&amp;" days","OK")))</f>
        <v/>
      </c>
    </row>
    <row r="62">
      <c r="A62" s="27">
        <f>IFERROR(INDEX(tDrugs[[Drug Name]],32)&amp;"","")</f>
        <v/>
      </c>
      <c r="B62" s="36">
        <f>IF($A62="","",INDEX(tDrugs[[Stock Unit]],32)&amp;"")</f>
        <v/>
      </c>
      <c r="C62" s="28">
        <f>IF($A62="","",SUMIFS(tDrugPur[[Quantity Purchased]],tDrugPur[[Drug Name]],$A62))</f>
        <v/>
      </c>
      <c r="D62" s="29">
        <f>IF($A62="","",SUMIFS(tDrugPur[[Total Cost]],tDrugPur[[Drug Name]],$A62))</f>
        <v/>
      </c>
      <c r="E62" s="28">
        <f>IF($A62="","",SUMIFS(tDrugUse[[Quantity Used]],tDrugUse[[Drug Name]],$A62))</f>
        <v/>
      </c>
      <c r="F62" s="29">
        <f>IF($A62="","",SUMIFS(tDrugUse[[Total Cost]],tDrugUse[[Drug Name]],$A62))</f>
        <v/>
      </c>
      <c r="G62" s="28">
        <f>IF($A62="","",C62-E62)</f>
        <v/>
      </c>
      <c r="H62" s="30">
        <f>IF($A62="","",IFERROR(LOOKUP(2,1/((tDrugPur[[Drug Name]]=$A62)*(tDrugPur[[Date]]&lt;=2958465)),tDrugPur[[Avg Cost per Unit After Purchase]]),0))</f>
        <v/>
      </c>
      <c r="I62" s="29">
        <f>IF($A62="","",D62-F62)</f>
        <v/>
      </c>
      <c r="J62" s="28">
        <f>IF($A62="","",N(INDEX(tDrugs[[Reorder Level]],32)))</f>
        <v/>
      </c>
      <c r="K62" s="27">
        <f>IF($A62="","",IF(AND(C62=0,E62=0),"Not stocked",IF(G62&lt;-0.0001,"NEGATIVE - CHECK",IF(G62&lt;=J62,"REORDER","OK"))))</f>
        <v/>
      </c>
      <c r="L62" s="31">
        <f>IF($A62="","",IF(_xlfn.MINIFS(tDrugPur[[Expiry Date]],tDrugPur[[Drug Name]],$A62,tDrugPur[[Expiry Date]],"&gt;="&amp;TODAY(),tDrugPur[[Expiry Status]],"&lt;&gt;Used up")=0,"",_xlfn.MINIFS(tDrugPur[[Expiry Date]],tDrugPur[[Drug Name]],$A62,tDrugPur[[Expiry Date]],"&gt;="&amp;TODAY(),tDrugPur[[Expiry Status]],"&lt;&gt;Used up")))</f>
        <v/>
      </c>
      <c r="M62" s="27">
        <f>IF($A62="","",IF(COUNTIFS(tDrugPur[[Drug Name]],$A62,tDrugPur[[Expiry Status]],"EXPIRED")&gt;0,COUNTIFS(tDrugPur[[Drug Name]],$A62,tDrugPur[[Expiry Status]],"EXPIRED")&amp;" EXPIRED lot(s) in stock",IF(COUNTIFS(tDrugPur[[Drug Name]],$A62,tDrugPur[[Expiry Status]],"Expires*")&gt;0,"Expiring within "&amp;ExpiryWarnDays&amp;" days","OK")))</f>
        <v/>
      </c>
    </row>
    <row r="63">
      <c r="A63" s="27">
        <f>IFERROR(INDEX(tDrugs[[Drug Name]],33)&amp;"","")</f>
        <v/>
      </c>
      <c r="B63" s="36">
        <f>IF($A63="","",INDEX(tDrugs[[Stock Unit]],33)&amp;"")</f>
        <v/>
      </c>
      <c r="C63" s="28">
        <f>IF($A63="","",SUMIFS(tDrugPur[[Quantity Purchased]],tDrugPur[[Drug Name]],$A63))</f>
        <v/>
      </c>
      <c r="D63" s="29">
        <f>IF($A63="","",SUMIFS(tDrugPur[[Total Cost]],tDrugPur[[Drug Name]],$A63))</f>
        <v/>
      </c>
      <c r="E63" s="28">
        <f>IF($A63="","",SUMIFS(tDrugUse[[Quantity Used]],tDrugUse[[Drug Name]],$A63))</f>
        <v/>
      </c>
      <c r="F63" s="29">
        <f>IF($A63="","",SUMIFS(tDrugUse[[Total Cost]],tDrugUse[[Drug Name]],$A63))</f>
        <v/>
      </c>
      <c r="G63" s="28">
        <f>IF($A63="","",C63-E63)</f>
        <v/>
      </c>
      <c r="H63" s="30">
        <f>IF($A63="","",IFERROR(LOOKUP(2,1/((tDrugPur[[Drug Name]]=$A63)*(tDrugPur[[Date]]&lt;=2958465)),tDrugPur[[Avg Cost per Unit After Purchase]]),0))</f>
        <v/>
      </c>
      <c r="I63" s="29">
        <f>IF($A63="","",D63-F63)</f>
        <v/>
      </c>
      <c r="J63" s="28">
        <f>IF($A63="","",N(INDEX(tDrugs[[Reorder Level]],33)))</f>
        <v/>
      </c>
      <c r="K63" s="27">
        <f>IF($A63="","",IF(AND(C63=0,E63=0),"Not stocked",IF(G63&lt;-0.0001,"NEGATIVE - CHECK",IF(G63&lt;=J63,"REORDER","OK"))))</f>
        <v/>
      </c>
      <c r="L63" s="31">
        <f>IF($A63="","",IF(_xlfn.MINIFS(tDrugPur[[Expiry Date]],tDrugPur[[Drug Name]],$A63,tDrugPur[[Expiry Date]],"&gt;="&amp;TODAY(),tDrugPur[[Expiry Status]],"&lt;&gt;Used up")=0,"",_xlfn.MINIFS(tDrugPur[[Expiry Date]],tDrugPur[[Drug Name]],$A63,tDrugPur[[Expiry Date]],"&gt;="&amp;TODAY(),tDrugPur[[Expiry Status]],"&lt;&gt;Used up")))</f>
        <v/>
      </c>
      <c r="M63" s="27">
        <f>IF($A63="","",IF(COUNTIFS(tDrugPur[[Drug Name]],$A63,tDrugPur[[Expiry Status]],"EXPIRED")&gt;0,COUNTIFS(tDrugPur[[Drug Name]],$A63,tDrugPur[[Expiry Status]],"EXPIRED")&amp;" EXPIRED lot(s) in stock",IF(COUNTIFS(tDrugPur[[Drug Name]],$A63,tDrugPur[[Expiry Status]],"Expires*")&gt;0,"Expiring within "&amp;ExpiryWarnDays&amp;" days","OK")))</f>
        <v/>
      </c>
    </row>
    <row r="64">
      <c r="A64" s="27">
        <f>IFERROR(INDEX(tDrugs[[Drug Name]],34)&amp;"","")</f>
        <v/>
      </c>
      <c r="B64" s="36">
        <f>IF($A64="","",INDEX(tDrugs[[Stock Unit]],34)&amp;"")</f>
        <v/>
      </c>
      <c r="C64" s="28">
        <f>IF($A64="","",SUMIFS(tDrugPur[[Quantity Purchased]],tDrugPur[[Drug Name]],$A64))</f>
        <v/>
      </c>
      <c r="D64" s="29">
        <f>IF($A64="","",SUMIFS(tDrugPur[[Total Cost]],tDrugPur[[Drug Name]],$A64))</f>
        <v/>
      </c>
      <c r="E64" s="28">
        <f>IF($A64="","",SUMIFS(tDrugUse[[Quantity Used]],tDrugUse[[Drug Name]],$A64))</f>
        <v/>
      </c>
      <c r="F64" s="29">
        <f>IF($A64="","",SUMIFS(tDrugUse[[Total Cost]],tDrugUse[[Drug Name]],$A64))</f>
        <v/>
      </c>
      <c r="G64" s="28">
        <f>IF($A64="","",C64-E64)</f>
        <v/>
      </c>
      <c r="H64" s="30">
        <f>IF($A64="","",IFERROR(LOOKUP(2,1/((tDrugPur[[Drug Name]]=$A64)*(tDrugPur[[Date]]&lt;=2958465)),tDrugPur[[Avg Cost per Unit After Purchase]]),0))</f>
        <v/>
      </c>
      <c r="I64" s="29">
        <f>IF($A64="","",D64-F64)</f>
        <v/>
      </c>
      <c r="J64" s="28">
        <f>IF($A64="","",N(INDEX(tDrugs[[Reorder Level]],34)))</f>
        <v/>
      </c>
      <c r="K64" s="27">
        <f>IF($A64="","",IF(AND(C64=0,E64=0),"Not stocked",IF(G64&lt;-0.0001,"NEGATIVE - CHECK",IF(G64&lt;=J64,"REORDER","OK"))))</f>
        <v/>
      </c>
      <c r="L64" s="31">
        <f>IF($A64="","",IF(_xlfn.MINIFS(tDrugPur[[Expiry Date]],tDrugPur[[Drug Name]],$A64,tDrugPur[[Expiry Date]],"&gt;="&amp;TODAY(),tDrugPur[[Expiry Status]],"&lt;&gt;Used up")=0,"",_xlfn.MINIFS(tDrugPur[[Expiry Date]],tDrugPur[[Drug Name]],$A64,tDrugPur[[Expiry Date]],"&gt;="&amp;TODAY(),tDrugPur[[Expiry Status]],"&lt;&gt;Used up")))</f>
        <v/>
      </c>
      <c r="M64" s="27">
        <f>IF($A64="","",IF(COUNTIFS(tDrugPur[[Drug Name]],$A64,tDrugPur[[Expiry Status]],"EXPIRED")&gt;0,COUNTIFS(tDrugPur[[Drug Name]],$A64,tDrugPur[[Expiry Status]],"EXPIRED")&amp;" EXPIRED lot(s) in stock",IF(COUNTIFS(tDrugPur[[Drug Name]],$A64,tDrugPur[[Expiry Status]],"Expires*")&gt;0,"Expiring within "&amp;ExpiryWarnDays&amp;" days","OK")))</f>
        <v/>
      </c>
    </row>
    <row r="65">
      <c r="A65" s="27">
        <f>IFERROR(INDEX(tDrugs[[Drug Name]],35)&amp;"","")</f>
        <v/>
      </c>
      <c r="B65" s="36">
        <f>IF($A65="","",INDEX(tDrugs[[Stock Unit]],35)&amp;"")</f>
        <v/>
      </c>
      <c r="C65" s="28">
        <f>IF($A65="","",SUMIFS(tDrugPur[[Quantity Purchased]],tDrugPur[[Drug Name]],$A65))</f>
        <v/>
      </c>
      <c r="D65" s="29">
        <f>IF($A65="","",SUMIFS(tDrugPur[[Total Cost]],tDrugPur[[Drug Name]],$A65))</f>
        <v/>
      </c>
      <c r="E65" s="28">
        <f>IF($A65="","",SUMIFS(tDrugUse[[Quantity Used]],tDrugUse[[Drug Name]],$A65))</f>
        <v/>
      </c>
      <c r="F65" s="29">
        <f>IF($A65="","",SUMIFS(tDrugUse[[Total Cost]],tDrugUse[[Drug Name]],$A65))</f>
        <v/>
      </c>
      <c r="G65" s="28">
        <f>IF($A65="","",C65-E65)</f>
        <v/>
      </c>
      <c r="H65" s="30">
        <f>IF($A65="","",IFERROR(LOOKUP(2,1/((tDrugPur[[Drug Name]]=$A65)*(tDrugPur[[Date]]&lt;=2958465)),tDrugPur[[Avg Cost per Unit After Purchase]]),0))</f>
        <v/>
      </c>
      <c r="I65" s="29">
        <f>IF($A65="","",D65-F65)</f>
        <v/>
      </c>
      <c r="J65" s="28">
        <f>IF($A65="","",N(INDEX(tDrugs[[Reorder Level]],35)))</f>
        <v/>
      </c>
      <c r="K65" s="27">
        <f>IF($A65="","",IF(AND(C65=0,E65=0),"Not stocked",IF(G65&lt;-0.0001,"NEGATIVE - CHECK",IF(G65&lt;=J65,"REORDER","OK"))))</f>
        <v/>
      </c>
      <c r="L65" s="31">
        <f>IF($A65="","",IF(_xlfn.MINIFS(tDrugPur[[Expiry Date]],tDrugPur[[Drug Name]],$A65,tDrugPur[[Expiry Date]],"&gt;="&amp;TODAY(),tDrugPur[[Expiry Status]],"&lt;&gt;Used up")=0,"",_xlfn.MINIFS(tDrugPur[[Expiry Date]],tDrugPur[[Drug Name]],$A65,tDrugPur[[Expiry Date]],"&gt;="&amp;TODAY(),tDrugPur[[Expiry Status]],"&lt;&gt;Used up")))</f>
        <v/>
      </c>
      <c r="M65" s="27">
        <f>IF($A65="","",IF(COUNTIFS(tDrugPur[[Drug Name]],$A65,tDrugPur[[Expiry Status]],"EXPIRED")&gt;0,COUNTIFS(tDrugPur[[Drug Name]],$A65,tDrugPur[[Expiry Status]],"EXPIRED")&amp;" EXPIRED lot(s) in stock",IF(COUNTIFS(tDrugPur[[Drug Name]],$A65,tDrugPur[[Expiry Status]],"Expires*")&gt;0,"Expiring within "&amp;ExpiryWarnDays&amp;" days","OK")))</f>
        <v/>
      </c>
    </row>
    <row r="66">
      <c r="A66" s="27">
        <f>IFERROR(INDEX(tDrugs[[Drug Name]],36)&amp;"","")</f>
        <v/>
      </c>
      <c r="B66" s="36">
        <f>IF($A66="","",INDEX(tDrugs[[Stock Unit]],36)&amp;"")</f>
        <v/>
      </c>
      <c r="C66" s="28">
        <f>IF($A66="","",SUMIFS(tDrugPur[[Quantity Purchased]],tDrugPur[[Drug Name]],$A66))</f>
        <v/>
      </c>
      <c r="D66" s="29">
        <f>IF($A66="","",SUMIFS(tDrugPur[[Total Cost]],tDrugPur[[Drug Name]],$A66))</f>
        <v/>
      </c>
      <c r="E66" s="28">
        <f>IF($A66="","",SUMIFS(tDrugUse[[Quantity Used]],tDrugUse[[Drug Name]],$A66))</f>
        <v/>
      </c>
      <c r="F66" s="29">
        <f>IF($A66="","",SUMIFS(tDrugUse[[Total Cost]],tDrugUse[[Drug Name]],$A66))</f>
        <v/>
      </c>
      <c r="G66" s="28">
        <f>IF($A66="","",C66-E66)</f>
        <v/>
      </c>
      <c r="H66" s="30">
        <f>IF($A66="","",IFERROR(LOOKUP(2,1/((tDrugPur[[Drug Name]]=$A66)*(tDrugPur[[Date]]&lt;=2958465)),tDrugPur[[Avg Cost per Unit After Purchase]]),0))</f>
        <v/>
      </c>
      <c r="I66" s="29">
        <f>IF($A66="","",D66-F66)</f>
        <v/>
      </c>
      <c r="J66" s="28">
        <f>IF($A66="","",N(INDEX(tDrugs[[Reorder Level]],36)))</f>
        <v/>
      </c>
      <c r="K66" s="27">
        <f>IF($A66="","",IF(AND(C66=0,E66=0),"Not stocked",IF(G66&lt;-0.0001,"NEGATIVE - CHECK",IF(G66&lt;=J66,"REORDER","OK"))))</f>
        <v/>
      </c>
      <c r="L66" s="31">
        <f>IF($A66="","",IF(_xlfn.MINIFS(tDrugPur[[Expiry Date]],tDrugPur[[Drug Name]],$A66,tDrugPur[[Expiry Date]],"&gt;="&amp;TODAY(),tDrugPur[[Expiry Status]],"&lt;&gt;Used up")=0,"",_xlfn.MINIFS(tDrugPur[[Expiry Date]],tDrugPur[[Drug Name]],$A66,tDrugPur[[Expiry Date]],"&gt;="&amp;TODAY(),tDrugPur[[Expiry Status]],"&lt;&gt;Used up")))</f>
        <v/>
      </c>
      <c r="M66" s="27">
        <f>IF($A66="","",IF(COUNTIFS(tDrugPur[[Drug Name]],$A66,tDrugPur[[Expiry Status]],"EXPIRED")&gt;0,COUNTIFS(tDrugPur[[Drug Name]],$A66,tDrugPur[[Expiry Status]],"EXPIRED")&amp;" EXPIRED lot(s) in stock",IF(COUNTIFS(tDrugPur[[Drug Name]],$A66,tDrugPur[[Expiry Status]],"Expires*")&gt;0,"Expiring within "&amp;ExpiryWarnDays&amp;" days","OK")))</f>
        <v/>
      </c>
    </row>
    <row r="67">
      <c r="A67" s="27">
        <f>IFERROR(INDEX(tDrugs[[Drug Name]],37)&amp;"","")</f>
        <v/>
      </c>
      <c r="B67" s="36">
        <f>IF($A67="","",INDEX(tDrugs[[Stock Unit]],37)&amp;"")</f>
        <v/>
      </c>
      <c r="C67" s="28">
        <f>IF($A67="","",SUMIFS(tDrugPur[[Quantity Purchased]],tDrugPur[[Drug Name]],$A67))</f>
        <v/>
      </c>
      <c r="D67" s="29">
        <f>IF($A67="","",SUMIFS(tDrugPur[[Total Cost]],tDrugPur[[Drug Name]],$A67))</f>
        <v/>
      </c>
      <c r="E67" s="28">
        <f>IF($A67="","",SUMIFS(tDrugUse[[Quantity Used]],tDrugUse[[Drug Name]],$A67))</f>
        <v/>
      </c>
      <c r="F67" s="29">
        <f>IF($A67="","",SUMIFS(tDrugUse[[Total Cost]],tDrugUse[[Drug Name]],$A67))</f>
        <v/>
      </c>
      <c r="G67" s="28">
        <f>IF($A67="","",C67-E67)</f>
        <v/>
      </c>
      <c r="H67" s="30">
        <f>IF($A67="","",IFERROR(LOOKUP(2,1/((tDrugPur[[Drug Name]]=$A67)*(tDrugPur[[Date]]&lt;=2958465)),tDrugPur[[Avg Cost per Unit After Purchase]]),0))</f>
        <v/>
      </c>
      <c r="I67" s="29">
        <f>IF($A67="","",D67-F67)</f>
        <v/>
      </c>
      <c r="J67" s="28">
        <f>IF($A67="","",N(INDEX(tDrugs[[Reorder Level]],37)))</f>
        <v/>
      </c>
      <c r="K67" s="27">
        <f>IF($A67="","",IF(AND(C67=0,E67=0),"Not stocked",IF(G67&lt;-0.0001,"NEGATIVE - CHECK",IF(G67&lt;=J67,"REORDER","OK"))))</f>
        <v/>
      </c>
      <c r="L67" s="31">
        <f>IF($A67="","",IF(_xlfn.MINIFS(tDrugPur[[Expiry Date]],tDrugPur[[Drug Name]],$A67,tDrugPur[[Expiry Date]],"&gt;="&amp;TODAY(),tDrugPur[[Expiry Status]],"&lt;&gt;Used up")=0,"",_xlfn.MINIFS(tDrugPur[[Expiry Date]],tDrugPur[[Drug Name]],$A67,tDrugPur[[Expiry Date]],"&gt;="&amp;TODAY(),tDrugPur[[Expiry Status]],"&lt;&gt;Used up")))</f>
        <v/>
      </c>
      <c r="M67" s="27">
        <f>IF($A67="","",IF(COUNTIFS(tDrugPur[[Drug Name]],$A67,tDrugPur[[Expiry Status]],"EXPIRED")&gt;0,COUNTIFS(tDrugPur[[Drug Name]],$A67,tDrugPur[[Expiry Status]],"EXPIRED")&amp;" EXPIRED lot(s) in stock",IF(COUNTIFS(tDrugPur[[Drug Name]],$A67,tDrugPur[[Expiry Status]],"Expires*")&gt;0,"Expiring within "&amp;ExpiryWarnDays&amp;" days","OK")))</f>
        <v/>
      </c>
    </row>
    <row r="68">
      <c r="A68" s="27">
        <f>IFERROR(INDEX(tDrugs[[Drug Name]],38)&amp;"","")</f>
        <v/>
      </c>
      <c r="B68" s="36">
        <f>IF($A68="","",INDEX(tDrugs[[Stock Unit]],38)&amp;"")</f>
        <v/>
      </c>
      <c r="C68" s="28">
        <f>IF($A68="","",SUMIFS(tDrugPur[[Quantity Purchased]],tDrugPur[[Drug Name]],$A68))</f>
        <v/>
      </c>
      <c r="D68" s="29">
        <f>IF($A68="","",SUMIFS(tDrugPur[[Total Cost]],tDrugPur[[Drug Name]],$A68))</f>
        <v/>
      </c>
      <c r="E68" s="28">
        <f>IF($A68="","",SUMIFS(tDrugUse[[Quantity Used]],tDrugUse[[Drug Name]],$A68))</f>
        <v/>
      </c>
      <c r="F68" s="29">
        <f>IF($A68="","",SUMIFS(tDrugUse[[Total Cost]],tDrugUse[[Drug Name]],$A68))</f>
        <v/>
      </c>
      <c r="G68" s="28">
        <f>IF($A68="","",C68-E68)</f>
        <v/>
      </c>
      <c r="H68" s="30">
        <f>IF($A68="","",IFERROR(LOOKUP(2,1/((tDrugPur[[Drug Name]]=$A68)*(tDrugPur[[Date]]&lt;=2958465)),tDrugPur[[Avg Cost per Unit After Purchase]]),0))</f>
        <v/>
      </c>
      <c r="I68" s="29">
        <f>IF($A68="","",D68-F68)</f>
        <v/>
      </c>
      <c r="J68" s="28">
        <f>IF($A68="","",N(INDEX(tDrugs[[Reorder Level]],38)))</f>
        <v/>
      </c>
      <c r="K68" s="27">
        <f>IF($A68="","",IF(AND(C68=0,E68=0),"Not stocked",IF(G68&lt;-0.0001,"NEGATIVE - CHECK",IF(G68&lt;=J68,"REORDER","OK"))))</f>
        <v/>
      </c>
      <c r="L68" s="31">
        <f>IF($A68="","",IF(_xlfn.MINIFS(tDrugPur[[Expiry Date]],tDrugPur[[Drug Name]],$A68,tDrugPur[[Expiry Date]],"&gt;="&amp;TODAY(),tDrugPur[[Expiry Status]],"&lt;&gt;Used up")=0,"",_xlfn.MINIFS(tDrugPur[[Expiry Date]],tDrugPur[[Drug Name]],$A68,tDrugPur[[Expiry Date]],"&gt;="&amp;TODAY(),tDrugPur[[Expiry Status]],"&lt;&gt;Used up")))</f>
        <v/>
      </c>
      <c r="M68" s="27">
        <f>IF($A68="","",IF(COUNTIFS(tDrugPur[[Drug Name]],$A68,tDrugPur[[Expiry Status]],"EXPIRED")&gt;0,COUNTIFS(tDrugPur[[Drug Name]],$A68,tDrugPur[[Expiry Status]],"EXPIRED")&amp;" EXPIRED lot(s) in stock",IF(COUNTIFS(tDrugPur[[Drug Name]],$A68,tDrugPur[[Expiry Status]],"Expires*")&gt;0,"Expiring within "&amp;ExpiryWarnDays&amp;" days","OK")))</f>
        <v/>
      </c>
    </row>
    <row r="69">
      <c r="A69" s="27">
        <f>IFERROR(INDEX(tDrugs[[Drug Name]],39)&amp;"","")</f>
        <v/>
      </c>
      <c r="B69" s="36">
        <f>IF($A69="","",INDEX(tDrugs[[Stock Unit]],39)&amp;"")</f>
        <v/>
      </c>
      <c r="C69" s="28">
        <f>IF($A69="","",SUMIFS(tDrugPur[[Quantity Purchased]],tDrugPur[[Drug Name]],$A69))</f>
        <v/>
      </c>
      <c r="D69" s="29">
        <f>IF($A69="","",SUMIFS(tDrugPur[[Total Cost]],tDrugPur[[Drug Name]],$A69))</f>
        <v/>
      </c>
      <c r="E69" s="28">
        <f>IF($A69="","",SUMIFS(tDrugUse[[Quantity Used]],tDrugUse[[Drug Name]],$A69))</f>
        <v/>
      </c>
      <c r="F69" s="29">
        <f>IF($A69="","",SUMIFS(tDrugUse[[Total Cost]],tDrugUse[[Drug Name]],$A69))</f>
        <v/>
      </c>
      <c r="G69" s="28">
        <f>IF($A69="","",C69-E69)</f>
        <v/>
      </c>
      <c r="H69" s="30">
        <f>IF($A69="","",IFERROR(LOOKUP(2,1/((tDrugPur[[Drug Name]]=$A69)*(tDrugPur[[Date]]&lt;=2958465)),tDrugPur[[Avg Cost per Unit After Purchase]]),0))</f>
        <v/>
      </c>
      <c r="I69" s="29">
        <f>IF($A69="","",D69-F69)</f>
        <v/>
      </c>
      <c r="J69" s="28">
        <f>IF($A69="","",N(INDEX(tDrugs[[Reorder Level]],39)))</f>
        <v/>
      </c>
      <c r="K69" s="27">
        <f>IF($A69="","",IF(AND(C69=0,E69=0),"Not stocked",IF(G69&lt;-0.0001,"NEGATIVE - CHECK",IF(G69&lt;=J69,"REORDER","OK"))))</f>
        <v/>
      </c>
      <c r="L69" s="31">
        <f>IF($A69="","",IF(_xlfn.MINIFS(tDrugPur[[Expiry Date]],tDrugPur[[Drug Name]],$A69,tDrugPur[[Expiry Date]],"&gt;="&amp;TODAY(),tDrugPur[[Expiry Status]],"&lt;&gt;Used up")=0,"",_xlfn.MINIFS(tDrugPur[[Expiry Date]],tDrugPur[[Drug Name]],$A69,tDrugPur[[Expiry Date]],"&gt;="&amp;TODAY(),tDrugPur[[Expiry Status]],"&lt;&gt;Used up")))</f>
        <v/>
      </c>
      <c r="M69" s="27">
        <f>IF($A69="","",IF(COUNTIFS(tDrugPur[[Drug Name]],$A69,tDrugPur[[Expiry Status]],"EXPIRED")&gt;0,COUNTIFS(tDrugPur[[Drug Name]],$A69,tDrugPur[[Expiry Status]],"EXPIRED")&amp;" EXPIRED lot(s) in stock",IF(COUNTIFS(tDrugPur[[Drug Name]],$A69,tDrugPur[[Expiry Status]],"Expires*")&gt;0,"Expiring within "&amp;ExpiryWarnDays&amp;" days","OK")))</f>
        <v/>
      </c>
    </row>
    <row r="70">
      <c r="A70" s="27">
        <f>IFERROR(INDEX(tDrugs[[Drug Name]],40)&amp;"","")</f>
        <v/>
      </c>
      <c r="B70" s="36">
        <f>IF($A70="","",INDEX(tDrugs[[Stock Unit]],40)&amp;"")</f>
        <v/>
      </c>
      <c r="C70" s="28">
        <f>IF($A70="","",SUMIFS(tDrugPur[[Quantity Purchased]],tDrugPur[[Drug Name]],$A70))</f>
        <v/>
      </c>
      <c r="D70" s="29">
        <f>IF($A70="","",SUMIFS(tDrugPur[[Total Cost]],tDrugPur[[Drug Name]],$A70))</f>
        <v/>
      </c>
      <c r="E70" s="28">
        <f>IF($A70="","",SUMIFS(tDrugUse[[Quantity Used]],tDrugUse[[Drug Name]],$A70))</f>
        <v/>
      </c>
      <c r="F70" s="29">
        <f>IF($A70="","",SUMIFS(tDrugUse[[Total Cost]],tDrugUse[[Drug Name]],$A70))</f>
        <v/>
      </c>
      <c r="G70" s="28">
        <f>IF($A70="","",C70-E70)</f>
        <v/>
      </c>
      <c r="H70" s="30">
        <f>IF($A70="","",IFERROR(LOOKUP(2,1/((tDrugPur[[Drug Name]]=$A70)*(tDrugPur[[Date]]&lt;=2958465)),tDrugPur[[Avg Cost per Unit After Purchase]]),0))</f>
        <v/>
      </c>
      <c r="I70" s="29">
        <f>IF($A70="","",D70-F70)</f>
        <v/>
      </c>
      <c r="J70" s="28">
        <f>IF($A70="","",N(INDEX(tDrugs[[Reorder Level]],40)))</f>
        <v/>
      </c>
      <c r="K70" s="27">
        <f>IF($A70="","",IF(AND(C70=0,E70=0),"Not stocked",IF(G70&lt;-0.0001,"NEGATIVE - CHECK",IF(G70&lt;=J70,"REORDER","OK"))))</f>
        <v/>
      </c>
      <c r="L70" s="31">
        <f>IF($A70="","",IF(_xlfn.MINIFS(tDrugPur[[Expiry Date]],tDrugPur[[Drug Name]],$A70,tDrugPur[[Expiry Date]],"&gt;="&amp;TODAY(),tDrugPur[[Expiry Status]],"&lt;&gt;Used up")=0,"",_xlfn.MINIFS(tDrugPur[[Expiry Date]],tDrugPur[[Drug Name]],$A70,tDrugPur[[Expiry Date]],"&gt;="&amp;TODAY(),tDrugPur[[Expiry Status]],"&lt;&gt;Used up")))</f>
        <v/>
      </c>
      <c r="M70" s="27">
        <f>IF($A70="","",IF(COUNTIFS(tDrugPur[[Drug Name]],$A70,tDrugPur[[Expiry Status]],"EXPIRED")&gt;0,COUNTIFS(tDrugPur[[Drug Name]],$A70,tDrugPur[[Expiry Status]],"EXPIRED")&amp;" EXPIRED lot(s) in stock",IF(COUNTIFS(tDrugPur[[Drug Name]],$A70,tDrugPur[[Expiry Status]],"Expires*")&gt;0,"Expiring within "&amp;ExpiryWarnDays&amp;" days","OK")))</f>
        <v/>
      </c>
    </row>
    <row r="71">
      <c r="A71" s="27">
        <f>IFERROR(INDEX(tDrugs[[Drug Name]],41)&amp;"","")</f>
        <v/>
      </c>
      <c r="B71" s="36">
        <f>IF($A71="","",INDEX(tDrugs[[Stock Unit]],41)&amp;"")</f>
        <v/>
      </c>
      <c r="C71" s="28">
        <f>IF($A71="","",SUMIFS(tDrugPur[[Quantity Purchased]],tDrugPur[[Drug Name]],$A71))</f>
        <v/>
      </c>
      <c r="D71" s="29">
        <f>IF($A71="","",SUMIFS(tDrugPur[[Total Cost]],tDrugPur[[Drug Name]],$A71))</f>
        <v/>
      </c>
      <c r="E71" s="28">
        <f>IF($A71="","",SUMIFS(tDrugUse[[Quantity Used]],tDrugUse[[Drug Name]],$A71))</f>
        <v/>
      </c>
      <c r="F71" s="29">
        <f>IF($A71="","",SUMIFS(tDrugUse[[Total Cost]],tDrugUse[[Drug Name]],$A71))</f>
        <v/>
      </c>
      <c r="G71" s="28">
        <f>IF($A71="","",C71-E71)</f>
        <v/>
      </c>
      <c r="H71" s="30">
        <f>IF($A71="","",IFERROR(LOOKUP(2,1/((tDrugPur[[Drug Name]]=$A71)*(tDrugPur[[Date]]&lt;=2958465)),tDrugPur[[Avg Cost per Unit After Purchase]]),0))</f>
        <v/>
      </c>
      <c r="I71" s="29">
        <f>IF($A71="","",D71-F71)</f>
        <v/>
      </c>
      <c r="J71" s="28">
        <f>IF($A71="","",N(INDEX(tDrugs[[Reorder Level]],41)))</f>
        <v/>
      </c>
      <c r="K71" s="27">
        <f>IF($A71="","",IF(AND(C71=0,E71=0),"Not stocked",IF(G71&lt;-0.0001,"NEGATIVE - CHECK",IF(G71&lt;=J71,"REORDER","OK"))))</f>
        <v/>
      </c>
      <c r="L71" s="31">
        <f>IF($A71="","",IF(_xlfn.MINIFS(tDrugPur[[Expiry Date]],tDrugPur[[Drug Name]],$A71,tDrugPur[[Expiry Date]],"&gt;="&amp;TODAY(),tDrugPur[[Expiry Status]],"&lt;&gt;Used up")=0,"",_xlfn.MINIFS(tDrugPur[[Expiry Date]],tDrugPur[[Drug Name]],$A71,tDrugPur[[Expiry Date]],"&gt;="&amp;TODAY(),tDrugPur[[Expiry Status]],"&lt;&gt;Used up")))</f>
        <v/>
      </c>
      <c r="M71" s="27">
        <f>IF($A71="","",IF(COUNTIFS(tDrugPur[[Drug Name]],$A71,tDrugPur[[Expiry Status]],"EXPIRED")&gt;0,COUNTIFS(tDrugPur[[Drug Name]],$A71,tDrugPur[[Expiry Status]],"EXPIRED")&amp;" EXPIRED lot(s) in stock",IF(COUNTIFS(tDrugPur[[Drug Name]],$A71,tDrugPur[[Expiry Status]],"Expires*")&gt;0,"Expiring within "&amp;ExpiryWarnDays&amp;" days","OK")))</f>
        <v/>
      </c>
    </row>
    <row r="72">
      <c r="A72" s="27">
        <f>IFERROR(INDEX(tDrugs[[Drug Name]],42)&amp;"","")</f>
        <v/>
      </c>
      <c r="B72" s="36">
        <f>IF($A72="","",INDEX(tDrugs[[Stock Unit]],42)&amp;"")</f>
        <v/>
      </c>
      <c r="C72" s="28">
        <f>IF($A72="","",SUMIFS(tDrugPur[[Quantity Purchased]],tDrugPur[[Drug Name]],$A72))</f>
        <v/>
      </c>
      <c r="D72" s="29">
        <f>IF($A72="","",SUMIFS(tDrugPur[[Total Cost]],tDrugPur[[Drug Name]],$A72))</f>
        <v/>
      </c>
      <c r="E72" s="28">
        <f>IF($A72="","",SUMIFS(tDrugUse[[Quantity Used]],tDrugUse[[Drug Name]],$A72))</f>
        <v/>
      </c>
      <c r="F72" s="29">
        <f>IF($A72="","",SUMIFS(tDrugUse[[Total Cost]],tDrugUse[[Drug Name]],$A72))</f>
        <v/>
      </c>
      <c r="G72" s="28">
        <f>IF($A72="","",C72-E72)</f>
        <v/>
      </c>
      <c r="H72" s="30">
        <f>IF($A72="","",IFERROR(LOOKUP(2,1/((tDrugPur[[Drug Name]]=$A72)*(tDrugPur[[Date]]&lt;=2958465)),tDrugPur[[Avg Cost per Unit After Purchase]]),0))</f>
        <v/>
      </c>
      <c r="I72" s="29">
        <f>IF($A72="","",D72-F72)</f>
        <v/>
      </c>
      <c r="J72" s="28">
        <f>IF($A72="","",N(INDEX(tDrugs[[Reorder Level]],42)))</f>
        <v/>
      </c>
      <c r="K72" s="27">
        <f>IF($A72="","",IF(AND(C72=0,E72=0),"Not stocked",IF(G72&lt;-0.0001,"NEGATIVE - CHECK",IF(G72&lt;=J72,"REORDER","OK"))))</f>
        <v/>
      </c>
      <c r="L72" s="31">
        <f>IF($A72="","",IF(_xlfn.MINIFS(tDrugPur[[Expiry Date]],tDrugPur[[Drug Name]],$A72,tDrugPur[[Expiry Date]],"&gt;="&amp;TODAY(),tDrugPur[[Expiry Status]],"&lt;&gt;Used up")=0,"",_xlfn.MINIFS(tDrugPur[[Expiry Date]],tDrugPur[[Drug Name]],$A72,tDrugPur[[Expiry Date]],"&gt;="&amp;TODAY(),tDrugPur[[Expiry Status]],"&lt;&gt;Used up")))</f>
        <v/>
      </c>
      <c r="M72" s="27">
        <f>IF($A72="","",IF(COUNTIFS(tDrugPur[[Drug Name]],$A72,tDrugPur[[Expiry Status]],"EXPIRED")&gt;0,COUNTIFS(tDrugPur[[Drug Name]],$A72,tDrugPur[[Expiry Status]],"EXPIRED")&amp;" EXPIRED lot(s) in stock",IF(COUNTIFS(tDrugPur[[Drug Name]],$A72,tDrugPur[[Expiry Status]],"Expires*")&gt;0,"Expiring within "&amp;ExpiryWarnDays&amp;" days","OK")))</f>
        <v/>
      </c>
    </row>
    <row r="73">
      <c r="A73" s="27">
        <f>IFERROR(INDEX(tDrugs[[Drug Name]],43)&amp;"","")</f>
        <v/>
      </c>
      <c r="B73" s="36">
        <f>IF($A73="","",INDEX(tDrugs[[Stock Unit]],43)&amp;"")</f>
        <v/>
      </c>
      <c r="C73" s="28">
        <f>IF($A73="","",SUMIFS(tDrugPur[[Quantity Purchased]],tDrugPur[[Drug Name]],$A73))</f>
        <v/>
      </c>
      <c r="D73" s="29">
        <f>IF($A73="","",SUMIFS(tDrugPur[[Total Cost]],tDrugPur[[Drug Name]],$A73))</f>
        <v/>
      </c>
      <c r="E73" s="28">
        <f>IF($A73="","",SUMIFS(tDrugUse[[Quantity Used]],tDrugUse[[Drug Name]],$A73))</f>
        <v/>
      </c>
      <c r="F73" s="29">
        <f>IF($A73="","",SUMIFS(tDrugUse[[Total Cost]],tDrugUse[[Drug Name]],$A73))</f>
        <v/>
      </c>
      <c r="G73" s="28">
        <f>IF($A73="","",C73-E73)</f>
        <v/>
      </c>
      <c r="H73" s="30">
        <f>IF($A73="","",IFERROR(LOOKUP(2,1/((tDrugPur[[Drug Name]]=$A73)*(tDrugPur[[Date]]&lt;=2958465)),tDrugPur[[Avg Cost per Unit After Purchase]]),0))</f>
        <v/>
      </c>
      <c r="I73" s="29">
        <f>IF($A73="","",D73-F73)</f>
        <v/>
      </c>
      <c r="J73" s="28">
        <f>IF($A73="","",N(INDEX(tDrugs[[Reorder Level]],43)))</f>
        <v/>
      </c>
      <c r="K73" s="27">
        <f>IF($A73="","",IF(AND(C73=0,E73=0),"Not stocked",IF(G73&lt;-0.0001,"NEGATIVE - CHECK",IF(G73&lt;=J73,"REORDER","OK"))))</f>
        <v/>
      </c>
      <c r="L73" s="31">
        <f>IF($A73="","",IF(_xlfn.MINIFS(tDrugPur[[Expiry Date]],tDrugPur[[Drug Name]],$A73,tDrugPur[[Expiry Date]],"&gt;="&amp;TODAY(),tDrugPur[[Expiry Status]],"&lt;&gt;Used up")=0,"",_xlfn.MINIFS(tDrugPur[[Expiry Date]],tDrugPur[[Drug Name]],$A73,tDrugPur[[Expiry Date]],"&gt;="&amp;TODAY(),tDrugPur[[Expiry Status]],"&lt;&gt;Used up")))</f>
        <v/>
      </c>
      <c r="M73" s="27">
        <f>IF($A73="","",IF(COUNTIFS(tDrugPur[[Drug Name]],$A73,tDrugPur[[Expiry Status]],"EXPIRED")&gt;0,COUNTIFS(tDrugPur[[Drug Name]],$A73,tDrugPur[[Expiry Status]],"EXPIRED")&amp;" EXPIRED lot(s) in stock",IF(COUNTIFS(tDrugPur[[Drug Name]],$A73,tDrugPur[[Expiry Status]],"Expires*")&gt;0,"Expiring within "&amp;ExpiryWarnDays&amp;" days","OK")))</f>
        <v/>
      </c>
    </row>
    <row r="74">
      <c r="A74" s="27">
        <f>IFERROR(INDEX(tDrugs[[Drug Name]],44)&amp;"","")</f>
        <v/>
      </c>
      <c r="B74" s="36">
        <f>IF($A74="","",INDEX(tDrugs[[Stock Unit]],44)&amp;"")</f>
        <v/>
      </c>
      <c r="C74" s="28">
        <f>IF($A74="","",SUMIFS(tDrugPur[[Quantity Purchased]],tDrugPur[[Drug Name]],$A74))</f>
        <v/>
      </c>
      <c r="D74" s="29">
        <f>IF($A74="","",SUMIFS(tDrugPur[[Total Cost]],tDrugPur[[Drug Name]],$A74))</f>
        <v/>
      </c>
      <c r="E74" s="28">
        <f>IF($A74="","",SUMIFS(tDrugUse[[Quantity Used]],tDrugUse[[Drug Name]],$A74))</f>
        <v/>
      </c>
      <c r="F74" s="29">
        <f>IF($A74="","",SUMIFS(tDrugUse[[Total Cost]],tDrugUse[[Drug Name]],$A74))</f>
        <v/>
      </c>
      <c r="G74" s="28">
        <f>IF($A74="","",C74-E74)</f>
        <v/>
      </c>
      <c r="H74" s="30">
        <f>IF($A74="","",IFERROR(LOOKUP(2,1/((tDrugPur[[Drug Name]]=$A74)*(tDrugPur[[Date]]&lt;=2958465)),tDrugPur[[Avg Cost per Unit After Purchase]]),0))</f>
        <v/>
      </c>
      <c r="I74" s="29">
        <f>IF($A74="","",D74-F74)</f>
        <v/>
      </c>
      <c r="J74" s="28">
        <f>IF($A74="","",N(INDEX(tDrugs[[Reorder Level]],44)))</f>
        <v/>
      </c>
      <c r="K74" s="27">
        <f>IF($A74="","",IF(AND(C74=0,E74=0),"Not stocked",IF(G74&lt;-0.0001,"NEGATIVE - CHECK",IF(G74&lt;=J74,"REORDER","OK"))))</f>
        <v/>
      </c>
      <c r="L74" s="31">
        <f>IF($A74="","",IF(_xlfn.MINIFS(tDrugPur[[Expiry Date]],tDrugPur[[Drug Name]],$A74,tDrugPur[[Expiry Date]],"&gt;="&amp;TODAY(),tDrugPur[[Expiry Status]],"&lt;&gt;Used up")=0,"",_xlfn.MINIFS(tDrugPur[[Expiry Date]],tDrugPur[[Drug Name]],$A74,tDrugPur[[Expiry Date]],"&gt;="&amp;TODAY(),tDrugPur[[Expiry Status]],"&lt;&gt;Used up")))</f>
        <v/>
      </c>
      <c r="M74" s="27">
        <f>IF($A74="","",IF(COUNTIFS(tDrugPur[[Drug Name]],$A74,tDrugPur[[Expiry Status]],"EXPIRED")&gt;0,COUNTIFS(tDrugPur[[Drug Name]],$A74,tDrugPur[[Expiry Status]],"EXPIRED")&amp;" EXPIRED lot(s) in stock",IF(COUNTIFS(tDrugPur[[Drug Name]],$A74,tDrugPur[[Expiry Status]],"Expires*")&gt;0,"Expiring within "&amp;ExpiryWarnDays&amp;" days","OK")))</f>
        <v/>
      </c>
    </row>
    <row r="75">
      <c r="A75" s="27">
        <f>IFERROR(INDEX(tDrugs[[Drug Name]],45)&amp;"","")</f>
        <v/>
      </c>
      <c r="B75" s="36">
        <f>IF($A75="","",INDEX(tDrugs[[Stock Unit]],45)&amp;"")</f>
        <v/>
      </c>
      <c r="C75" s="28">
        <f>IF($A75="","",SUMIFS(tDrugPur[[Quantity Purchased]],tDrugPur[[Drug Name]],$A75))</f>
        <v/>
      </c>
      <c r="D75" s="29">
        <f>IF($A75="","",SUMIFS(tDrugPur[[Total Cost]],tDrugPur[[Drug Name]],$A75))</f>
        <v/>
      </c>
      <c r="E75" s="28">
        <f>IF($A75="","",SUMIFS(tDrugUse[[Quantity Used]],tDrugUse[[Drug Name]],$A75))</f>
        <v/>
      </c>
      <c r="F75" s="29">
        <f>IF($A75="","",SUMIFS(tDrugUse[[Total Cost]],tDrugUse[[Drug Name]],$A75))</f>
        <v/>
      </c>
      <c r="G75" s="28">
        <f>IF($A75="","",C75-E75)</f>
        <v/>
      </c>
      <c r="H75" s="30">
        <f>IF($A75="","",IFERROR(LOOKUP(2,1/((tDrugPur[[Drug Name]]=$A75)*(tDrugPur[[Date]]&lt;=2958465)),tDrugPur[[Avg Cost per Unit After Purchase]]),0))</f>
        <v/>
      </c>
      <c r="I75" s="29">
        <f>IF($A75="","",D75-F75)</f>
        <v/>
      </c>
      <c r="J75" s="28">
        <f>IF($A75="","",N(INDEX(tDrugs[[Reorder Level]],45)))</f>
        <v/>
      </c>
      <c r="K75" s="27">
        <f>IF($A75="","",IF(AND(C75=0,E75=0),"Not stocked",IF(G75&lt;-0.0001,"NEGATIVE - CHECK",IF(G75&lt;=J75,"REORDER","OK"))))</f>
        <v/>
      </c>
      <c r="L75" s="31">
        <f>IF($A75="","",IF(_xlfn.MINIFS(tDrugPur[[Expiry Date]],tDrugPur[[Drug Name]],$A75,tDrugPur[[Expiry Date]],"&gt;="&amp;TODAY(),tDrugPur[[Expiry Status]],"&lt;&gt;Used up")=0,"",_xlfn.MINIFS(tDrugPur[[Expiry Date]],tDrugPur[[Drug Name]],$A75,tDrugPur[[Expiry Date]],"&gt;="&amp;TODAY(),tDrugPur[[Expiry Status]],"&lt;&gt;Used up")))</f>
        <v/>
      </c>
      <c r="M75" s="27">
        <f>IF($A75="","",IF(COUNTIFS(tDrugPur[[Drug Name]],$A75,tDrugPur[[Expiry Status]],"EXPIRED")&gt;0,COUNTIFS(tDrugPur[[Drug Name]],$A75,tDrugPur[[Expiry Status]],"EXPIRED")&amp;" EXPIRED lot(s) in stock",IF(COUNTIFS(tDrugPur[[Drug Name]],$A75,tDrugPur[[Expiry Status]],"Expires*")&gt;0,"Expiring within "&amp;ExpiryWarnDays&amp;" days","OK")))</f>
        <v/>
      </c>
    </row>
    <row r="76">
      <c r="A76" s="27">
        <f>IFERROR(INDEX(tDrugs[[Drug Name]],46)&amp;"","")</f>
        <v/>
      </c>
      <c r="B76" s="36">
        <f>IF($A76="","",INDEX(tDrugs[[Stock Unit]],46)&amp;"")</f>
        <v/>
      </c>
      <c r="C76" s="28">
        <f>IF($A76="","",SUMIFS(tDrugPur[[Quantity Purchased]],tDrugPur[[Drug Name]],$A76))</f>
        <v/>
      </c>
      <c r="D76" s="29">
        <f>IF($A76="","",SUMIFS(tDrugPur[[Total Cost]],tDrugPur[[Drug Name]],$A76))</f>
        <v/>
      </c>
      <c r="E76" s="28">
        <f>IF($A76="","",SUMIFS(tDrugUse[[Quantity Used]],tDrugUse[[Drug Name]],$A76))</f>
        <v/>
      </c>
      <c r="F76" s="29">
        <f>IF($A76="","",SUMIFS(tDrugUse[[Total Cost]],tDrugUse[[Drug Name]],$A76))</f>
        <v/>
      </c>
      <c r="G76" s="28">
        <f>IF($A76="","",C76-E76)</f>
        <v/>
      </c>
      <c r="H76" s="30">
        <f>IF($A76="","",IFERROR(LOOKUP(2,1/((tDrugPur[[Drug Name]]=$A76)*(tDrugPur[[Date]]&lt;=2958465)),tDrugPur[[Avg Cost per Unit After Purchase]]),0))</f>
        <v/>
      </c>
      <c r="I76" s="29">
        <f>IF($A76="","",D76-F76)</f>
        <v/>
      </c>
      <c r="J76" s="28">
        <f>IF($A76="","",N(INDEX(tDrugs[[Reorder Level]],46)))</f>
        <v/>
      </c>
      <c r="K76" s="27">
        <f>IF($A76="","",IF(AND(C76=0,E76=0),"Not stocked",IF(G76&lt;-0.0001,"NEGATIVE - CHECK",IF(G76&lt;=J76,"REORDER","OK"))))</f>
        <v/>
      </c>
      <c r="L76" s="31">
        <f>IF($A76="","",IF(_xlfn.MINIFS(tDrugPur[[Expiry Date]],tDrugPur[[Drug Name]],$A76,tDrugPur[[Expiry Date]],"&gt;="&amp;TODAY(),tDrugPur[[Expiry Status]],"&lt;&gt;Used up")=0,"",_xlfn.MINIFS(tDrugPur[[Expiry Date]],tDrugPur[[Drug Name]],$A76,tDrugPur[[Expiry Date]],"&gt;="&amp;TODAY(),tDrugPur[[Expiry Status]],"&lt;&gt;Used up")))</f>
        <v/>
      </c>
      <c r="M76" s="27">
        <f>IF($A76="","",IF(COUNTIFS(tDrugPur[[Drug Name]],$A76,tDrugPur[[Expiry Status]],"EXPIRED")&gt;0,COUNTIFS(tDrugPur[[Drug Name]],$A76,tDrugPur[[Expiry Status]],"EXPIRED")&amp;" EXPIRED lot(s) in stock",IF(COUNTIFS(tDrugPur[[Drug Name]],$A76,tDrugPur[[Expiry Status]],"Expires*")&gt;0,"Expiring within "&amp;ExpiryWarnDays&amp;" days","OK")))</f>
        <v/>
      </c>
    </row>
    <row r="77">
      <c r="A77" s="27">
        <f>IFERROR(INDEX(tDrugs[[Drug Name]],47)&amp;"","")</f>
        <v/>
      </c>
      <c r="B77" s="36">
        <f>IF($A77="","",INDEX(tDrugs[[Stock Unit]],47)&amp;"")</f>
        <v/>
      </c>
      <c r="C77" s="28">
        <f>IF($A77="","",SUMIFS(tDrugPur[[Quantity Purchased]],tDrugPur[[Drug Name]],$A77))</f>
        <v/>
      </c>
      <c r="D77" s="29">
        <f>IF($A77="","",SUMIFS(tDrugPur[[Total Cost]],tDrugPur[[Drug Name]],$A77))</f>
        <v/>
      </c>
      <c r="E77" s="28">
        <f>IF($A77="","",SUMIFS(tDrugUse[[Quantity Used]],tDrugUse[[Drug Name]],$A77))</f>
        <v/>
      </c>
      <c r="F77" s="29">
        <f>IF($A77="","",SUMIFS(tDrugUse[[Total Cost]],tDrugUse[[Drug Name]],$A77))</f>
        <v/>
      </c>
      <c r="G77" s="28">
        <f>IF($A77="","",C77-E77)</f>
        <v/>
      </c>
      <c r="H77" s="30">
        <f>IF($A77="","",IFERROR(LOOKUP(2,1/((tDrugPur[[Drug Name]]=$A77)*(tDrugPur[[Date]]&lt;=2958465)),tDrugPur[[Avg Cost per Unit After Purchase]]),0))</f>
        <v/>
      </c>
      <c r="I77" s="29">
        <f>IF($A77="","",D77-F77)</f>
        <v/>
      </c>
      <c r="J77" s="28">
        <f>IF($A77="","",N(INDEX(tDrugs[[Reorder Level]],47)))</f>
        <v/>
      </c>
      <c r="K77" s="27">
        <f>IF($A77="","",IF(AND(C77=0,E77=0),"Not stocked",IF(G77&lt;-0.0001,"NEGATIVE - CHECK",IF(G77&lt;=J77,"REORDER","OK"))))</f>
        <v/>
      </c>
      <c r="L77" s="31">
        <f>IF($A77="","",IF(_xlfn.MINIFS(tDrugPur[[Expiry Date]],tDrugPur[[Drug Name]],$A77,tDrugPur[[Expiry Date]],"&gt;="&amp;TODAY(),tDrugPur[[Expiry Status]],"&lt;&gt;Used up")=0,"",_xlfn.MINIFS(tDrugPur[[Expiry Date]],tDrugPur[[Drug Name]],$A77,tDrugPur[[Expiry Date]],"&gt;="&amp;TODAY(),tDrugPur[[Expiry Status]],"&lt;&gt;Used up")))</f>
        <v/>
      </c>
      <c r="M77" s="27">
        <f>IF($A77="","",IF(COUNTIFS(tDrugPur[[Drug Name]],$A77,tDrugPur[[Expiry Status]],"EXPIRED")&gt;0,COUNTIFS(tDrugPur[[Drug Name]],$A77,tDrugPur[[Expiry Status]],"EXPIRED")&amp;" EXPIRED lot(s) in stock",IF(COUNTIFS(tDrugPur[[Drug Name]],$A77,tDrugPur[[Expiry Status]],"Expires*")&gt;0,"Expiring within "&amp;ExpiryWarnDays&amp;" days","OK")))</f>
        <v/>
      </c>
    </row>
    <row r="78">
      <c r="A78" s="27">
        <f>IFERROR(INDEX(tDrugs[[Drug Name]],48)&amp;"","")</f>
        <v/>
      </c>
      <c r="B78" s="36">
        <f>IF($A78="","",INDEX(tDrugs[[Stock Unit]],48)&amp;"")</f>
        <v/>
      </c>
      <c r="C78" s="28">
        <f>IF($A78="","",SUMIFS(tDrugPur[[Quantity Purchased]],tDrugPur[[Drug Name]],$A78))</f>
        <v/>
      </c>
      <c r="D78" s="29">
        <f>IF($A78="","",SUMIFS(tDrugPur[[Total Cost]],tDrugPur[[Drug Name]],$A78))</f>
        <v/>
      </c>
      <c r="E78" s="28">
        <f>IF($A78="","",SUMIFS(tDrugUse[[Quantity Used]],tDrugUse[[Drug Name]],$A78))</f>
        <v/>
      </c>
      <c r="F78" s="29">
        <f>IF($A78="","",SUMIFS(tDrugUse[[Total Cost]],tDrugUse[[Drug Name]],$A78))</f>
        <v/>
      </c>
      <c r="G78" s="28">
        <f>IF($A78="","",C78-E78)</f>
        <v/>
      </c>
      <c r="H78" s="30">
        <f>IF($A78="","",IFERROR(LOOKUP(2,1/((tDrugPur[[Drug Name]]=$A78)*(tDrugPur[[Date]]&lt;=2958465)),tDrugPur[[Avg Cost per Unit After Purchase]]),0))</f>
        <v/>
      </c>
      <c r="I78" s="29">
        <f>IF($A78="","",D78-F78)</f>
        <v/>
      </c>
      <c r="J78" s="28">
        <f>IF($A78="","",N(INDEX(tDrugs[[Reorder Level]],48)))</f>
        <v/>
      </c>
      <c r="K78" s="27">
        <f>IF($A78="","",IF(AND(C78=0,E78=0),"Not stocked",IF(G78&lt;-0.0001,"NEGATIVE - CHECK",IF(G78&lt;=J78,"REORDER","OK"))))</f>
        <v/>
      </c>
      <c r="L78" s="31">
        <f>IF($A78="","",IF(_xlfn.MINIFS(tDrugPur[[Expiry Date]],tDrugPur[[Drug Name]],$A78,tDrugPur[[Expiry Date]],"&gt;="&amp;TODAY(),tDrugPur[[Expiry Status]],"&lt;&gt;Used up")=0,"",_xlfn.MINIFS(tDrugPur[[Expiry Date]],tDrugPur[[Drug Name]],$A78,tDrugPur[[Expiry Date]],"&gt;="&amp;TODAY(),tDrugPur[[Expiry Status]],"&lt;&gt;Used up")))</f>
        <v/>
      </c>
      <c r="M78" s="27">
        <f>IF($A78="","",IF(COUNTIFS(tDrugPur[[Drug Name]],$A78,tDrugPur[[Expiry Status]],"EXPIRED")&gt;0,COUNTIFS(tDrugPur[[Drug Name]],$A78,tDrugPur[[Expiry Status]],"EXPIRED")&amp;" EXPIRED lot(s) in stock",IF(COUNTIFS(tDrugPur[[Drug Name]],$A78,tDrugPur[[Expiry Status]],"Expires*")&gt;0,"Expiring within "&amp;ExpiryWarnDays&amp;" days","OK")))</f>
        <v/>
      </c>
    </row>
    <row r="79">
      <c r="A79" s="27">
        <f>IFERROR(INDEX(tDrugs[[Drug Name]],49)&amp;"","")</f>
        <v/>
      </c>
      <c r="B79" s="36">
        <f>IF($A79="","",INDEX(tDrugs[[Stock Unit]],49)&amp;"")</f>
        <v/>
      </c>
      <c r="C79" s="28">
        <f>IF($A79="","",SUMIFS(tDrugPur[[Quantity Purchased]],tDrugPur[[Drug Name]],$A79))</f>
        <v/>
      </c>
      <c r="D79" s="29">
        <f>IF($A79="","",SUMIFS(tDrugPur[[Total Cost]],tDrugPur[[Drug Name]],$A79))</f>
        <v/>
      </c>
      <c r="E79" s="28">
        <f>IF($A79="","",SUMIFS(tDrugUse[[Quantity Used]],tDrugUse[[Drug Name]],$A79))</f>
        <v/>
      </c>
      <c r="F79" s="29">
        <f>IF($A79="","",SUMIFS(tDrugUse[[Total Cost]],tDrugUse[[Drug Name]],$A79))</f>
        <v/>
      </c>
      <c r="G79" s="28">
        <f>IF($A79="","",C79-E79)</f>
        <v/>
      </c>
      <c r="H79" s="30">
        <f>IF($A79="","",IFERROR(LOOKUP(2,1/((tDrugPur[[Drug Name]]=$A79)*(tDrugPur[[Date]]&lt;=2958465)),tDrugPur[[Avg Cost per Unit After Purchase]]),0))</f>
        <v/>
      </c>
      <c r="I79" s="29">
        <f>IF($A79="","",D79-F79)</f>
        <v/>
      </c>
      <c r="J79" s="28">
        <f>IF($A79="","",N(INDEX(tDrugs[[Reorder Level]],49)))</f>
        <v/>
      </c>
      <c r="K79" s="27">
        <f>IF($A79="","",IF(AND(C79=0,E79=0),"Not stocked",IF(G79&lt;-0.0001,"NEGATIVE - CHECK",IF(G79&lt;=J79,"REORDER","OK"))))</f>
        <v/>
      </c>
      <c r="L79" s="31">
        <f>IF($A79="","",IF(_xlfn.MINIFS(tDrugPur[[Expiry Date]],tDrugPur[[Drug Name]],$A79,tDrugPur[[Expiry Date]],"&gt;="&amp;TODAY(),tDrugPur[[Expiry Status]],"&lt;&gt;Used up")=0,"",_xlfn.MINIFS(tDrugPur[[Expiry Date]],tDrugPur[[Drug Name]],$A79,tDrugPur[[Expiry Date]],"&gt;="&amp;TODAY(),tDrugPur[[Expiry Status]],"&lt;&gt;Used up")))</f>
        <v/>
      </c>
      <c r="M79" s="27">
        <f>IF($A79="","",IF(COUNTIFS(tDrugPur[[Drug Name]],$A79,tDrugPur[[Expiry Status]],"EXPIRED")&gt;0,COUNTIFS(tDrugPur[[Drug Name]],$A79,tDrugPur[[Expiry Status]],"EXPIRED")&amp;" EXPIRED lot(s) in stock",IF(COUNTIFS(tDrugPur[[Drug Name]],$A79,tDrugPur[[Expiry Status]],"Expires*")&gt;0,"Expiring within "&amp;ExpiryWarnDays&amp;" days","OK")))</f>
        <v/>
      </c>
    </row>
    <row r="80">
      <c r="A80" s="27">
        <f>IFERROR(INDEX(tDrugs[[Drug Name]],50)&amp;"","")</f>
        <v/>
      </c>
      <c r="B80" s="36">
        <f>IF($A80="","",INDEX(tDrugs[[Stock Unit]],50)&amp;"")</f>
        <v/>
      </c>
      <c r="C80" s="28">
        <f>IF($A80="","",SUMIFS(tDrugPur[[Quantity Purchased]],tDrugPur[[Drug Name]],$A80))</f>
        <v/>
      </c>
      <c r="D80" s="29">
        <f>IF($A80="","",SUMIFS(tDrugPur[[Total Cost]],tDrugPur[[Drug Name]],$A80))</f>
        <v/>
      </c>
      <c r="E80" s="28">
        <f>IF($A80="","",SUMIFS(tDrugUse[[Quantity Used]],tDrugUse[[Drug Name]],$A80))</f>
        <v/>
      </c>
      <c r="F80" s="29">
        <f>IF($A80="","",SUMIFS(tDrugUse[[Total Cost]],tDrugUse[[Drug Name]],$A80))</f>
        <v/>
      </c>
      <c r="G80" s="28">
        <f>IF($A80="","",C80-E80)</f>
        <v/>
      </c>
      <c r="H80" s="30">
        <f>IF($A80="","",IFERROR(LOOKUP(2,1/((tDrugPur[[Drug Name]]=$A80)*(tDrugPur[[Date]]&lt;=2958465)),tDrugPur[[Avg Cost per Unit After Purchase]]),0))</f>
        <v/>
      </c>
      <c r="I80" s="29">
        <f>IF($A80="","",D80-F80)</f>
        <v/>
      </c>
      <c r="J80" s="28">
        <f>IF($A80="","",N(INDEX(tDrugs[[Reorder Level]],50)))</f>
        <v/>
      </c>
      <c r="K80" s="27">
        <f>IF($A80="","",IF(AND(C80=0,E80=0),"Not stocked",IF(G80&lt;-0.0001,"NEGATIVE - CHECK",IF(G80&lt;=J80,"REORDER","OK"))))</f>
        <v/>
      </c>
      <c r="L80" s="31">
        <f>IF($A80="","",IF(_xlfn.MINIFS(tDrugPur[[Expiry Date]],tDrugPur[[Drug Name]],$A80,tDrugPur[[Expiry Date]],"&gt;="&amp;TODAY(),tDrugPur[[Expiry Status]],"&lt;&gt;Used up")=0,"",_xlfn.MINIFS(tDrugPur[[Expiry Date]],tDrugPur[[Drug Name]],$A80,tDrugPur[[Expiry Date]],"&gt;="&amp;TODAY(),tDrugPur[[Expiry Status]],"&lt;&gt;Used up")))</f>
        <v/>
      </c>
      <c r="M80" s="27">
        <f>IF($A80="","",IF(COUNTIFS(tDrugPur[[Drug Name]],$A80,tDrugPur[[Expiry Status]],"EXPIRED")&gt;0,COUNTIFS(tDrugPur[[Drug Name]],$A80,tDrugPur[[Expiry Status]],"EXPIRED")&amp;" EXPIRED lot(s) in stock",IF(COUNTIFS(tDrugPur[[Drug Name]],$A80,tDrugPur[[Expiry Status]],"Expires*")&gt;0,"Expiring within "&amp;ExpiryWarnDays&amp;" days","OK")))</f>
        <v/>
      </c>
    </row>
    <row r="81">
      <c r="A81" s="32" t="inlineStr">
        <is>
          <t>TOTAL DRUGS</t>
        </is>
      </c>
      <c r="B81" s="35" t="n"/>
      <c r="C81" s="35" t="n"/>
      <c r="D81" s="34">
        <f>SUM(D31:D80)</f>
        <v/>
      </c>
      <c r="E81" s="35" t="n"/>
      <c r="F81" s="34">
        <f>SUM(F31:F80)</f>
        <v/>
      </c>
      <c r="G81" s="35" t="n"/>
      <c r="H81" s="35" t="n"/>
      <c r="I81" s="34">
        <f>SUM(I31:I80)</f>
        <v/>
      </c>
      <c r="J81" s="35" t="n"/>
      <c r="K81" s="32">
        <f>COUNTIF(K31:K80,"REORDER")&amp;" to reorder"</f>
        <v/>
      </c>
      <c r="L81" s="35" t="n"/>
      <c r="M81" s="35" t="n"/>
    </row>
    <row r="83">
      <c r="A83" s="32" t="inlineStr">
        <is>
          <t>TOTAL INVENTORY VALUE</t>
        </is>
      </c>
      <c r="B83" s="34">
        <f>I26+I81</f>
        <v/>
      </c>
    </row>
    <row r="85">
      <c r="A85" s="7" t="inlineStr">
        <is>
          <t>Costing method: moving (perpetual) weighted average. After each purchase: new average = (stock in store x old average + purchase cost) / (stock in store + quantity bought). Every issue/usage is valued at the average in force on its date (see the grey columns on FEED_PURCHASES / DRUG_PURCHASES).</t>
        </is>
      </c>
    </row>
    <row r="86">
      <c r="A86" s="7" t="inlineStr">
        <is>
          <t>Inventory Value = Purchased Cost - Cost already charged to pens, so purchases always reconcile exactly to (cost consumed + stock still in store) = Remaining x Current Avg Cost.</t>
        </is>
      </c>
    </row>
  </sheetData>
  <sheetProtection selectLockedCells="0" selectUnlockedCells="0" sheet="1" objects="0" insertRows="1" insertHyperlinks="1" autoFilter="0" scenarios="0" formatColumns="0" deleteColumns="1" insertColumns="1" pivotTables="1" deleteRows="1" formatCells="1" formatRows="0" sort="0"/>
  <conditionalFormatting sqref="K6:K25">
    <cfRule type="expression" priority="1" dxfId="7">
      <formula>K6="REORDER"</formula>
    </cfRule>
    <cfRule type="expression" priority="2" dxfId="6">
      <formula>LEFT(K6,8)="NEGATIVE"</formula>
    </cfRule>
    <cfRule type="expression" priority="3" dxfId="8">
      <formula>K6="OK"</formula>
    </cfRule>
  </conditionalFormatting>
  <conditionalFormatting sqref="K31:K80">
    <cfRule type="expression" priority="4" dxfId="7">
      <formula>K31="REORDER"</formula>
    </cfRule>
    <cfRule type="expression" priority="5" dxfId="5">
      <formula>LEFT(K31,8)="NEGATIVE"</formula>
    </cfRule>
    <cfRule type="expression" priority="6" dxfId="8">
      <formula>K31="OK"</formula>
    </cfRule>
  </conditionalFormatting>
  <conditionalFormatting sqref="M31:M80">
    <cfRule type="expression" priority="7" dxfId="6">
      <formula>ISNUMBER(SEARCH("EXPIRED",M31))</formula>
    </cfRule>
    <cfRule type="expression" priority="8" dxfId="3">
      <formula>LEFT(M31,8)="Expiring"</formula>
    </cfRule>
  </conditionalFormatting>
  <pageMargins left="0.75" right="0.75" top="1" bottom="1" header="0.5" footer="0.5"/>
</worksheet>
</file>

<file path=xl/worksheets/sheet14.xml><?xml version="1.0" encoding="utf-8"?>
<worksheet xmlns="http://schemas.openxmlformats.org/spreadsheetml/2006/main">
  <sheetPr>
    <tabColor rgb="002F75B5"/>
    <outlinePr summaryBelow="1" summaryRight="1"/>
    <pageSetUpPr/>
  </sheetPr>
  <dimension ref="A1:Y304"/>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10" customWidth="1" min="3" max="3"/>
    <col width="11" customWidth="1" min="4" max="4"/>
    <col width="8" customWidth="1" min="5" max="5"/>
    <col width="11" customWidth="1" min="6" max="6"/>
    <col width="7" customWidth="1" min="7" max="7"/>
    <col width="9" customWidth="1" min="8" max="8"/>
    <col width="9" customWidth="1" min="9" max="9"/>
    <col width="8" customWidth="1" min="10" max="10"/>
    <col width="8" customWidth="1" min="11" max="11"/>
    <col width="9" customWidth="1" min="12" max="12"/>
    <col width="9" customWidth="1" min="13" max="13"/>
    <col width="9" customWidth="1" min="14" max="14"/>
    <col width="10" customWidth="1" min="15" max="15"/>
    <col width="13" customWidth="1" min="16" max="16"/>
    <col width="12" customWidth="1" min="17" max="17"/>
    <col width="13" customWidth="1" min="18" max="18"/>
    <col width="14" customWidth="1" min="19" max="19"/>
    <col width="14" customWidth="1" min="20" max="20"/>
    <col width="14" customWidth="1" min="21" max="21"/>
    <col width="11" customWidth="1" min="22" max="22"/>
    <col width="11" customWidth="1" min="23" max="23"/>
    <col width="10" customWidth="1" min="24" max="24"/>
    <col width="10" customWidth="1" min="25" max="25"/>
  </cols>
  <sheetData>
    <row r="1">
      <c r="A1" s="1" t="inlineStr">
        <is>
          <t>BATCH PROFITABILITY (automatic, all-time per batch)</t>
        </is>
      </c>
    </row>
    <row r="2">
      <c r="A2" s="7" t="inlineStr">
        <is>
          <t>Every batch ever recorded - active and closed - with its full-cycle costs and revenue. Direct costs only: general farm overheads are shown on the DASHBOARD, not allocated to batches.</t>
        </is>
      </c>
    </row>
    <row r="3">
      <c r="A3" s="32" t="inlineStr">
        <is>
          <t>TOTAL (all batches)</t>
        </is>
      </c>
      <c r="B3" s="35" t="n"/>
      <c r="C3" s="35" t="n"/>
      <c r="D3" s="35" t="n"/>
      <c r="E3" s="35" t="n"/>
      <c r="F3" s="35" t="n"/>
      <c r="G3" s="35" t="n"/>
      <c r="H3" s="37">
        <f>SUM(H5:H304)</f>
        <v/>
      </c>
      <c r="I3" s="37">
        <f>SUM(I5:I304)</f>
        <v/>
      </c>
      <c r="J3" s="37">
        <f>SUM(J5:J304)</f>
        <v/>
      </c>
      <c r="K3" s="37">
        <f>SUM(K5:K304)</f>
        <v/>
      </c>
      <c r="L3" s="37">
        <f>SUM(L5:L304)</f>
        <v/>
      </c>
      <c r="M3" s="37">
        <f>SUM(M5:M304)</f>
        <v/>
      </c>
      <c r="N3" s="38">
        <f>IFERROR(J3/(H3+I3),0)</f>
        <v/>
      </c>
      <c r="O3" s="33">
        <f>SUM(O5:O304)</f>
        <v/>
      </c>
      <c r="P3" s="34">
        <f>SUM(P5:P304)</f>
        <v/>
      </c>
      <c r="Q3" s="34">
        <f>SUM(Q5:Q304)</f>
        <v/>
      </c>
      <c r="R3" s="34">
        <f>SUM(R5:R304)</f>
        <v/>
      </c>
      <c r="S3" s="34">
        <f>SUM(S5:S304)</f>
        <v/>
      </c>
      <c r="T3" s="34">
        <f>SUM(T5:T304)</f>
        <v/>
      </c>
      <c r="U3" s="34">
        <f>SUM(U5:U304)</f>
        <v/>
      </c>
      <c r="V3" s="35" t="n"/>
      <c r="W3" s="35" t="n"/>
      <c r="X3" s="35" t="n"/>
      <c r="Y3" s="35" t="n"/>
    </row>
    <row r="4" ht="30" customHeight="1">
      <c r="A4" s="26" t="inlineStr">
        <is>
          <t>Batch ID</t>
        </is>
      </c>
      <c r="B4" s="26" t="inlineStr">
        <is>
          <t>Pen ID</t>
        </is>
      </c>
      <c r="C4" s="26" t="inlineStr">
        <is>
          <t>Animal Type</t>
        </is>
      </c>
      <c r="D4" s="26" t="inlineStr">
        <is>
          <t>Start Date</t>
        </is>
      </c>
      <c r="E4" s="26" t="inlineStr">
        <is>
          <t>Status</t>
        </is>
      </c>
      <c r="F4" s="26" t="inlineStr">
        <is>
          <t>Closing Date</t>
        </is>
      </c>
      <c r="G4" s="26" t="inlineStr">
        <is>
          <t>Age (days)</t>
        </is>
      </c>
      <c r="H4" s="26" t="inlineStr">
        <is>
          <t>Initial Qty</t>
        </is>
      </c>
      <c r="I4" s="26" t="inlineStr">
        <is>
          <t>Added / Transfers In</t>
        </is>
      </c>
      <c r="J4" s="26" t="inlineStr">
        <is>
          <t>Deaths</t>
        </is>
      </c>
      <c r="K4" s="26" t="inlineStr">
        <is>
          <t>Heads Sold</t>
        </is>
      </c>
      <c r="L4" s="26" t="inlineStr">
        <is>
          <t>Transfers Out</t>
        </is>
      </c>
      <c r="M4" s="26" t="inlineStr">
        <is>
          <t>Current Qty</t>
        </is>
      </c>
      <c r="N4" s="26" t="inlineStr">
        <is>
          <t>Mortality %</t>
        </is>
      </c>
      <c r="O4" s="26" t="inlineStr">
        <is>
          <t>Feed Used kg</t>
        </is>
      </c>
      <c r="P4" s="26" t="inlineStr">
        <is>
          <t>Feed Cost</t>
        </is>
      </c>
      <c r="Q4" s="26" t="inlineStr">
        <is>
          <t>Drug Cost</t>
        </is>
      </c>
      <c r="R4" s="26" t="inlineStr">
        <is>
          <t>Other Direct Costs</t>
        </is>
      </c>
      <c r="S4" s="26" t="inlineStr">
        <is>
          <t>Total Cost</t>
        </is>
      </c>
      <c r="T4" s="26" t="inlineStr">
        <is>
          <t>Sales Revenue</t>
        </is>
      </c>
      <c r="U4" s="26" t="inlineStr">
        <is>
          <t>Profit / Loss</t>
        </is>
      </c>
      <c r="V4" s="26" t="inlineStr">
        <is>
          <t>Cost per Animal Placed</t>
        </is>
      </c>
      <c r="W4" s="26" t="inlineStr">
        <is>
          <t>Revenue per Animal Sold</t>
        </is>
      </c>
      <c r="X4" s="26" t="inlineStr">
        <is>
          <t>Feed per Animal Placed kg</t>
        </is>
      </c>
      <c r="Y4" s="26" t="inlineStr">
        <is>
          <t>Latest Avg Weight kg</t>
        </is>
      </c>
    </row>
    <row r="5">
      <c r="A5" s="27">
        <f>IFERROR(INDEX(tBatches[[Batch ID]],1)&amp;"","")</f>
        <v/>
      </c>
      <c r="B5" s="36">
        <f>IF($A5="","",INDEX(tBatches[[Pen ID]],1)&amp;"")</f>
        <v/>
      </c>
      <c r="C5" s="36">
        <f>IF($A5="","",INDEX(tBatches[[Animal Type]],1)&amp;"")</f>
        <v/>
      </c>
      <c r="D5" s="31">
        <f>IF($A5="","",INDEX(tBatches[[Batch Start Date]],1))</f>
        <v/>
      </c>
      <c r="E5" s="36">
        <f>IF($A5="","",INDEX(tBatches[[Status]],1)&amp;"")</f>
        <v/>
      </c>
      <c r="F5" s="31">
        <f>IF($A5="","",IF(N(INDEX(tBatches[[Closing Date]],1))=0,"",INDEX(tBatches[[Closing Date]],1)))</f>
        <v/>
      </c>
      <c r="G5" s="39">
        <f>IF($A5="","",INDEX(tBatches[[Age (days)]],1))</f>
        <v/>
      </c>
      <c r="H5" s="39">
        <f>IF($A5="","",N(INDEX(tBatches[[Initial Quantity]],1)))</f>
        <v/>
      </c>
      <c r="I5" s="39">
        <f>IF($A5="","",INDEX(tBatches[[Transfers In / Added]],1))</f>
        <v/>
      </c>
      <c r="J5" s="39">
        <f>IF($A5="","",INDEX(tBatches[[Deaths]],1))</f>
        <v/>
      </c>
      <c r="K5" s="39">
        <f>IF($A5="","",INDEX(tBatches[[Heads Sold]],1))</f>
        <v/>
      </c>
      <c r="L5" s="39">
        <f>IF($A5="","",INDEX(tBatches[[Transfers Out]],1))</f>
        <v/>
      </c>
      <c r="M5" s="39">
        <f>IF($A5="","",INDEX(tBatches[[Current Quantity]],1))</f>
        <v/>
      </c>
      <c r="N5" s="40">
        <f>IF($A5="","",IFERROR(J5/(H5+I5),0))</f>
        <v/>
      </c>
      <c r="O5" s="28">
        <f>IF($A5="","",SUMIFS(tFeedIss[[Quantity Issued in kg]],tFeedIss[[Batch ID]],$A5))</f>
        <v/>
      </c>
      <c r="P5" s="29">
        <f>IF($A5="","",SUMIFS(tFeedIss[[Total Cost]],tFeedIss[[Batch ID]],$A5))</f>
        <v/>
      </c>
      <c r="Q5" s="29">
        <f>IF($A5="","",SUMIFS(tDrugUse[[Total Cost]],tDrugUse[[Batch ID]],$A5))</f>
        <v/>
      </c>
      <c r="R5" s="29">
        <f>IF($A5="","",SUMIFS(tExp[[Amount]],tExp[[Batch ID (if applicable)]],$A5))</f>
        <v/>
      </c>
      <c r="S5" s="41">
        <f>IF($A5="","",P5+Q5+R5)</f>
        <v/>
      </c>
      <c r="T5" s="41">
        <f>IF($A5="","",SUMIFS(tSales[[Total Revenue]],tSales[[Batch ID]],$A5))</f>
        <v/>
      </c>
      <c r="U5" s="41">
        <f>IF($A5="","",T5-S5)</f>
        <v/>
      </c>
      <c r="V5" s="29">
        <f>IF($A5="","",IFERROR(S5/(H5+I5),""))</f>
        <v/>
      </c>
      <c r="W5" s="29">
        <f>IF($A5="","",IF(K5=0,"",T5/K5))</f>
        <v/>
      </c>
      <c r="X5" s="42">
        <f>IF($A5="","",IFERROR(O5/(H5+I5),""))</f>
        <v/>
      </c>
      <c r="Y5" s="43">
        <f>IF($A5="","",IF(_xlfn.MAXIFS(tProd[[Date]],tProd[[Batch ID]],$A5,tProd[[Measurement Type]],"Weighing")=0,"",IFERROR(AVERAGEIFS(tProd[[Average Weight kg]],tProd[[Batch ID]],$A5,tProd[[Measurement Type]],"Weighing",tProd[[Date]],_xlfn.MAXIFS(tProd[[Date]],tProd[[Batch ID]],$A5,tProd[[Measurement Type]],"Weighing")),"")))</f>
        <v/>
      </c>
    </row>
    <row r="6">
      <c r="A6" s="27">
        <f>IFERROR(INDEX(tBatches[[Batch ID]],2)&amp;"","")</f>
        <v/>
      </c>
      <c r="B6" s="36">
        <f>IF($A6="","",INDEX(tBatches[[Pen ID]],2)&amp;"")</f>
        <v/>
      </c>
      <c r="C6" s="36">
        <f>IF($A6="","",INDEX(tBatches[[Animal Type]],2)&amp;"")</f>
        <v/>
      </c>
      <c r="D6" s="31">
        <f>IF($A6="","",INDEX(tBatches[[Batch Start Date]],2))</f>
        <v/>
      </c>
      <c r="E6" s="36">
        <f>IF($A6="","",INDEX(tBatches[[Status]],2)&amp;"")</f>
        <v/>
      </c>
      <c r="F6" s="31">
        <f>IF($A6="","",IF(N(INDEX(tBatches[[Closing Date]],2))=0,"",INDEX(tBatches[[Closing Date]],2)))</f>
        <v/>
      </c>
      <c r="G6" s="39">
        <f>IF($A6="","",INDEX(tBatches[[Age (days)]],2))</f>
        <v/>
      </c>
      <c r="H6" s="39">
        <f>IF($A6="","",N(INDEX(tBatches[[Initial Quantity]],2)))</f>
        <v/>
      </c>
      <c r="I6" s="39">
        <f>IF($A6="","",INDEX(tBatches[[Transfers In / Added]],2))</f>
        <v/>
      </c>
      <c r="J6" s="39">
        <f>IF($A6="","",INDEX(tBatches[[Deaths]],2))</f>
        <v/>
      </c>
      <c r="K6" s="39">
        <f>IF($A6="","",INDEX(tBatches[[Heads Sold]],2))</f>
        <v/>
      </c>
      <c r="L6" s="39">
        <f>IF($A6="","",INDEX(tBatches[[Transfers Out]],2))</f>
        <v/>
      </c>
      <c r="M6" s="39">
        <f>IF($A6="","",INDEX(tBatches[[Current Quantity]],2))</f>
        <v/>
      </c>
      <c r="N6" s="40">
        <f>IF($A6="","",IFERROR(J6/(H6+I6),0))</f>
        <v/>
      </c>
      <c r="O6" s="28">
        <f>IF($A6="","",SUMIFS(tFeedIss[[Quantity Issued in kg]],tFeedIss[[Batch ID]],$A6))</f>
        <v/>
      </c>
      <c r="P6" s="29">
        <f>IF($A6="","",SUMIFS(tFeedIss[[Total Cost]],tFeedIss[[Batch ID]],$A6))</f>
        <v/>
      </c>
      <c r="Q6" s="29">
        <f>IF($A6="","",SUMIFS(tDrugUse[[Total Cost]],tDrugUse[[Batch ID]],$A6))</f>
        <v/>
      </c>
      <c r="R6" s="29">
        <f>IF($A6="","",SUMIFS(tExp[[Amount]],tExp[[Batch ID (if applicable)]],$A6))</f>
        <v/>
      </c>
      <c r="S6" s="41">
        <f>IF($A6="","",P6+Q6+R6)</f>
        <v/>
      </c>
      <c r="T6" s="41">
        <f>IF($A6="","",SUMIFS(tSales[[Total Revenue]],tSales[[Batch ID]],$A6))</f>
        <v/>
      </c>
      <c r="U6" s="41">
        <f>IF($A6="","",T6-S6)</f>
        <v/>
      </c>
      <c r="V6" s="29">
        <f>IF($A6="","",IFERROR(S6/(H6+I6),""))</f>
        <v/>
      </c>
      <c r="W6" s="29">
        <f>IF($A6="","",IF(K6=0,"",T6/K6))</f>
        <v/>
      </c>
      <c r="X6" s="42">
        <f>IF($A6="","",IFERROR(O6/(H6+I6),""))</f>
        <v/>
      </c>
      <c r="Y6" s="43">
        <f>IF($A6="","",IF(_xlfn.MAXIFS(tProd[[Date]],tProd[[Batch ID]],$A6,tProd[[Measurement Type]],"Weighing")=0,"",IFERROR(AVERAGEIFS(tProd[[Average Weight kg]],tProd[[Batch ID]],$A6,tProd[[Measurement Type]],"Weighing",tProd[[Date]],_xlfn.MAXIFS(tProd[[Date]],tProd[[Batch ID]],$A6,tProd[[Measurement Type]],"Weighing")),"")))</f>
        <v/>
      </c>
    </row>
    <row r="7">
      <c r="A7" s="27">
        <f>IFERROR(INDEX(tBatches[[Batch ID]],3)&amp;"","")</f>
        <v/>
      </c>
      <c r="B7" s="36">
        <f>IF($A7="","",INDEX(tBatches[[Pen ID]],3)&amp;"")</f>
        <v/>
      </c>
      <c r="C7" s="36">
        <f>IF($A7="","",INDEX(tBatches[[Animal Type]],3)&amp;"")</f>
        <v/>
      </c>
      <c r="D7" s="31">
        <f>IF($A7="","",INDEX(tBatches[[Batch Start Date]],3))</f>
        <v/>
      </c>
      <c r="E7" s="36">
        <f>IF($A7="","",INDEX(tBatches[[Status]],3)&amp;"")</f>
        <v/>
      </c>
      <c r="F7" s="31">
        <f>IF($A7="","",IF(N(INDEX(tBatches[[Closing Date]],3))=0,"",INDEX(tBatches[[Closing Date]],3)))</f>
        <v/>
      </c>
      <c r="G7" s="39">
        <f>IF($A7="","",INDEX(tBatches[[Age (days)]],3))</f>
        <v/>
      </c>
      <c r="H7" s="39">
        <f>IF($A7="","",N(INDEX(tBatches[[Initial Quantity]],3)))</f>
        <v/>
      </c>
      <c r="I7" s="39">
        <f>IF($A7="","",INDEX(tBatches[[Transfers In / Added]],3))</f>
        <v/>
      </c>
      <c r="J7" s="39">
        <f>IF($A7="","",INDEX(tBatches[[Deaths]],3))</f>
        <v/>
      </c>
      <c r="K7" s="39">
        <f>IF($A7="","",INDEX(tBatches[[Heads Sold]],3))</f>
        <v/>
      </c>
      <c r="L7" s="39">
        <f>IF($A7="","",INDEX(tBatches[[Transfers Out]],3))</f>
        <v/>
      </c>
      <c r="M7" s="39">
        <f>IF($A7="","",INDEX(tBatches[[Current Quantity]],3))</f>
        <v/>
      </c>
      <c r="N7" s="40">
        <f>IF($A7="","",IFERROR(J7/(H7+I7),0))</f>
        <v/>
      </c>
      <c r="O7" s="28">
        <f>IF($A7="","",SUMIFS(tFeedIss[[Quantity Issued in kg]],tFeedIss[[Batch ID]],$A7))</f>
        <v/>
      </c>
      <c r="P7" s="29">
        <f>IF($A7="","",SUMIFS(tFeedIss[[Total Cost]],tFeedIss[[Batch ID]],$A7))</f>
        <v/>
      </c>
      <c r="Q7" s="29">
        <f>IF($A7="","",SUMIFS(tDrugUse[[Total Cost]],tDrugUse[[Batch ID]],$A7))</f>
        <v/>
      </c>
      <c r="R7" s="29">
        <f>IF($A7="","",SUMIFS(tExp[[Amount]],tExp[[Batch ID (if applicable)]],$A7))</f>
        <v/>
      </c>
      <c r="S7" s="41">
        <f>IF($A7="","",P7+Q7+R7)</f>
        <v/>
      </c>
      <c r="T7" s="41">
        <f>IF($A7="","",SUMIFS(tSales[[Total Revenue]],tSales[[Batch ID]],$A7))</f>
        <v/>
      </c>
      <c r="U7" s="41">
        <f>IF($A7="","",T7-S7)</f>
        <v/>
      </c>
      <c r="V7" s="29">
        <f>IF($A7="","",IFERROR(S7/(H7+I7),""))</f>
        <v/>
      </c>
      <c r="W7" s="29">
        <f>IF($A7="","",IF(K7=0,"",T7/K7))</f>
        <v/>
      </c>
      <c r="X7" s="42">
        <f>IF($A7="","",IFERROR(O7/(H7+I7),""))</f>
        <v/>
      </c>
      <c r="Y7" s="43">
        <f>IF($A7="","",IF(_xlfn.MAXIFS(tProd[[Date]],tProd[[Batch ID]],$A7,tProd[[Measurement Type]],"Weighing")=0,"",IFERROR(AVERAGEIFS(tProd[[Average Weight kg]],tProd[[Batch ID]],$A7,tProd[[Measurement Type]],"Weighing",tProd[[Date]],_xlfn.MAXIFS(tProd[[Date]],tProd[[Batch ID]],$A7,tProd[[Measurement Type]],"Weighing")),"")))</f>
        <v/>
      </c>
    </row>
    <row r="8">
      <c r="A8" s="27">
        <f>IFERROR(INDEX(tBatches[[Batch ID]],4)&amp;"","")</f>
        <v/>
      </c>
      <c r="B8" s="36">
        <f>IF($A8="","",INDEX(tBatches[[Pen ID]],4)&amp;"")</f>
        <v/>
      </c>
      <c r="C8" s="36">
        <f>IF($A8="","",INDEX(tBatches[[Animal Type]],4)&amp;"")</f>
        <v/>
      </c>
      <c r="D8" s="31">
        <f>IF($A8="","",INDEX(tBatches[[Batch Start Date]],4))</f>
        <v/>
      </c>
      <c r="E8" s="36">
        <f>IF($A8="","",INDEX(tBatches[[Status]],4)&amp;"")</f>
        <v/>
      </c>
      <c r="F8" s="31">
        <f>IF($A8="","",IF(N(INDEX(tBatches[[Closing Date]],4))=0,"",INDEX(tBatches[[Closing Date]],4)))</f>
        <v/>
      </c>
      <c r="G8" s="39">
        <f>IF($A8="","",INDEX(tBatches[[Age (days)]],4))</f>
        <v/>
      </c>
      <c r="H8" s="39">
        <f>IF($A8="","",N(INDEX(tBatches[[Initial Quantity]],4)))</f>
        <v/>
      </c>
      <c r="I8" s="39">
        <f>IF($A8="","",INDEX(tBatches[[Transfers In / Added]],4))</f>
        <v/>
      </c>
      <c r="J8" s="39">
        <f>IF($A8="","",INDEX(tBatches[[Deaths]],4))</f>
        <v/>
      </c>
      <c r="K8" s="39">
        <f>IF($A8="","",INDEX(tBatches[[Heads Sold]],4))</f>
        <v/>
      </c>
      <c r="L8" s="39">
        <f>IF($A8="","",INDEX(tBatches[[Transfers Out]],4))</f>
        <v/>
      </c>
      <c r="M8" s="39">
        <f>IF($A8="","",INDEX(tBatches[[Current Quantity]],4))</f>
        <v/>
      </c>
      <c r="N8" s="40">
        <f>IF($A8="","",IFERROR(J8/(H8+I8),0))</f>
        <v/>
      </c>
      <c r="O8" s="28">
        <f>IF($A8="","",SUMIFS(tFeedIss[[Quantity Issued in kg]],tFeedIss[[Batch ID]],$A8))</f>
        <v/>
      </c>
      <c r="P8" s="29">
        <f>IF($A8="","",SUMIFS(tFeedIss[[Total Cost]],tFeedIss[[Batch ID]],$A8))</f>
        <v/>
      </c>
      <c r="Q8" s="29">
        <f>IF($A8="","",SUMIFS(tDrugUse[[Total Cost]],tDrugUse[[Batch ID]],$A8))</f>
        <v/>
      </c>
      <c r="R8" s="29">
        <f>IF($A8="","",SUMIFS(tExp[[Amount]],tExp[[Batch ID (if applicable)]],$A8))</f>
        <v/>
      </c>
      <c r="S8" s="41">
        <f>IF($A8="","",P8+Q8+R8)</f>
        <v/>
      </c>
      <c r="T8" s="41">
        <f>IF($A8="","",SUMIFS(tSales[[Total Revenue]],tSales[[Batch ID]],$A8))</f>
        <v/>
      </c>
      <c r="U8" s="41">
        <f>IF($A8="","",T8-S8)</f>
        <v/>
      </c>
      <c r="V8" s="29">
        <f>IF($A8="","",IFERROR(S8/(H8+I8),""))</f>
        <v/>
      </c>
      <c r="W8" s="29">
        <f>IF($A8="","",IF(K8=0,"",T8/K8))</f>
        <v/>
      </c>
      <c r="X8" s="42">
        <f>IF($A8="","",IFERROR(O8/(H8+I8),""))</f>
        <v/>
      </c>
      <c r="Y8" s="43">
        <f>IF($A8="","",IF(_xlfn.MAXIFS(tProd[[Date]],tProd[[Batch ID]],$A8,tProd[[Measurement Type]],"Weighing")=0,"",IFERROR(AVERAGEIFS(tProd[[Average Weight kg]],tProd[[Batch ID]],$A8,tProd[[Measurement Type]],"Weighing",tProd[[Date]],_xlfn.MAXIFS(tProd[[Date]],tProd[[Batch ID]],$A8,tProd[[Measurement Type]],"Weighing")),"")))</f>
        <v/>
      </c>
    </row>
    <row r="9">
      <c r="A9" s="27">
        <f>IFERROR(INDEX(tBatches[[Batch ID]],5)&amp;"","")</f>
        <v/>
      </c>
      <c r="B9" s="36">
        <f>IF($A9="","",INDEX(tBatches[[Pen ID]],5)&amp;"")</f>
        <v/>
      </c>
      <c r="C9" s="36">
        <f>IF($A9="","",INDEX(tBatches[[Animal Type]],5)&amp;"")</f>
        <v/>
      </c>
      <c r="D9" s="31">
        <f>IF($A9="","",INDEX(tBatches[[Batch Start Date]],5))</f>
        <v/>
      </c>
      <c r="E9" s="36">
        <f>IF($A9="","",INDEX(tBatches[[Status]],5)&amp;"")</f>
        <v/>
      </c>
      <c r="F9" s="31">
        <f>IF($A9="","",IF(N(INDEX(tBatches[[Closing Date]],5))=0,"",INDEX(tBatches[[Closing Date]],5)))</f>
        <v/>
      </c>
      <c r="G9" s="39">
        <f>IF($A9="","",INDEX(tBatches[[Age (days)]],5))</f>
        <v/>
      </c>
      <c r="H9" s="39">
        <f>IF($A9="","",N(INDEX(tBatches[[Initial Quantity]],5)))</f>
        <v/>
      </c>
      <c r="I9" s="39">
        <f>IF($A9="","",INDEX(tBatches[[Transfers In / Added]],5))</f>
        <v/>
      </c>
      <c r="J9" s="39">
        <f>IF($A9="","",INDEX(tBatches[[Deaths]],5))</f>
        <v/>
      </c>
      <c r="K9" s="39">
        <f>IF($A9="","",INDEX(tBatches[[Heads Sold]],5))</f>
        <v/>
      </c>
      <c r="L9" s="39">
        <f>IF($A9="","",INDEX(tBatches[[Transfers Out]],5))</f>
        <v/>
      </c>
      <c r="M9" s="39">
        <f>IF($A9="","",INDEX(tBatches[[Current Quantity]],5))</f>
        <v/>
      </c>
      <c r="N9" s="40">
        <f>IF($A9="","",IFERROR(J9/(H9+I9),0))</f>
        <v/>
      </c>
      <c r="O9" s="28">
        <f>IF($A9="","",SUMIFS(tFeedIss[[Quantity Issued in kg]],tFeedIss[[Batch ID]],$A9))</f>
        <v/>
      </c>
      <c r="P9" s="29">
        <f>IF($A9="","",SUMIFS(tFeedIss[[Total Cost]],tFeedIss[[Batch ID]],$A9))</f>
        <v/>
      </c>
      <c r="Q9" s="29">
        <f>IF($A9="","",SUMIFS(tDrugUse[[Total Cost]],tDrugUse[[Batch ID]],$A9))</f>
        <v/>
      </c>
      <c r="R9" s="29">
        <f>IF($A9="","",SUMIFS(tExp[[Amount]],tExp[[Batch ID (if applicable)]],$A9))</f>
        <v/>
      </c>
      <c r="S9" s="41">
        <f>IF($A9="","",P9+Q9+R9)</f>
        <v/>
      </c>
      <c r="T9" s="41">
        <f>IF($A9="","",SUMIFS(tSales[[Total Revenue]],tSales[[Batch ID]],$A9))</f>
        <v/>
      </c>
      <c r="U9" s="41">
        <f>IF($A9="","",T9-S9)</f>
        <v/>
      </c>
      <c r="V9" s="29">
        <f>IF($A9="","",IFERROR(S9/(H9+I9),""))</f>
        <v/>
      </c>
      <c r="W9" s="29">
        <f>IF($A9="","",IF(K9=0,"",T9/K9))</f>
        <v/>
      </c>
      <c r="X9" s="42">
        <f>IF($A9="","",IFERROR(O9/(H9+I9),""))</f>
        <v/>
      </c>
      <c r="Y9" s="43">
        <f>IF($A9="","",IF(_xlfn.MAXIFS(tProd[[Date]],tProd[[Batch ID]],$A9,tProd[[Measurement Type]],"Weighing")=0,"",IFERROR(AVERAGEIFS(tProd[[Average Weight kg]],tProd[[Batch ID]],$A9,tProd[[Measurement Type]],"Weighing",tProd[[Date]],_xlfn.MAXIFS(tProd[[Date]],tProd[[Batch ID]],$A9,tProd[[Measurement Type]],"Weighing")),"")))</f>
        <v/>
      </c>
    </row>
    <row r="10">
      <c r="A10" s="27">
        <f>IFERROR(INDEX(tBatches[[Batch ID]],6)&amp;"","")</f>
        <v/>
      </c>
      <c r="B10" s="36">
        <f>IF($A10="","",INDEX(tBatches[[Pen ID]],6)&amp;"")</f>
        <v/>
      </c>
      <c r="C10" s="36">
        <f>IF($A10="","",INDEX(tBatches[[Animal Type]],6)&amp;"")</f>
        <v/>
      </c>
      <c r="D10" s="31">
        <f>IF($A10="","",INDEX(tBatches[[Batch Start Date]],6))</f>
        <v/>
      </c>
      <c r="E10" s="36">
        <f>IF($A10="","",INDEX(tBatches[[Status]],6)&amp;"")</f>
        <v/>
      </c>
      <c r="F10" s="31">
        <f>IF($A10="","",IF(N(INDEX(tBatches[[Closing Date]],6))=0,"",INDEX(tBatches[[Closing Date]],6)))</f>
        <v/>
      </c>
      <c r="G10" s="39">
        <f>IF($A10="","",INDEX(tBatches[[Age (days)]],6))</f>
        <v/>
      </c>
      <c r="H10" s="39">
        <f>IF($A10="","",N(INDEX(tBatches[[Initial Quantity]],6)))</f>
        <v/>
      </c>
      <c r="I10" s="39">
        <f>IF($A10="","",INDEX(tBatches[[Transfers In / Added]],6))</f>
        <v/>
      </c>
      <c r="J10" s="39">
        <f>IF($A10="","",INDEX(tBatches[[Deaths]],6))</f>
        <v/>
      </c>
      <c r="K10" s="39">
        <f>IF($A10="","",INDEX(tBatches[[Heads Sold]],6))</f>
        <v/>
      </c>
      <c r="L10" s="39">
        <f>IF($A10="","",INDEX(tBatches[[Transfers Out]],6))</f>
        <v/>
      </c>
      <c r="M10" s="39">
        <f>IF($A10="","",INDEX(tBatches[[Current Quantity]],6))</f>
        <v/>
      </c>
      <c r="N10" s="40">
        <f>IF($A10="","",IFERROR(J10/(H10+I10),0))</f>
        <v/>
      </c>
      <c r="O10" s="28">
        <f>IF($A10="","",SUMIFS(tFeedIss[[Quantity Issued in kg]],tFeedIss[[Batch ID]],$A10))</f>
        <v/>
      </c>
      <c r="P10" s="29">
        <f>IF($A10="","",SUMIFS(tFeedIss[[Total Cost]],tFeedIss[[Batch ID]],$A10))</f>
        <v/>
      </c>
      <c r="Q10" s="29">
        <f>IF($A10="","",SUMIFS(tDrugUse[[Total Cost]],tDrugUse[[Batch ID]],$A10))</f>
        <v/>
      </c>
      <c r="R10" s="29">
        <f>IF($A10="","",SUMIFS(tExp[[Amount]],tExp[[Batch ID (if applicable)]],$A10))</f>
        <v/>
      </c>
      <c r="S10" s="41">
        <f>IF($A10="","",P10+Q10+R10)</f>
        <v/>
      </c>
      <c r="T10" s="41">
        <f>IF($A10="","",SUMIFS(tSales[[Total Revenue]],tSales[[Batch ID]],$A10))</f>
        <v/>
      </c>
      <c r="U10" s="41">
        <f>IF($A10="","",T10-S10)</f>
        <v/>
      </c>
      <c r="V10" s="29">
        <f>IF($A10="","",IFERROR(S10/(H10+I10),""))</f>
        <v/>
      </c>
      <c r="W10" s="29">
        <f>IF($A10="","",IF(K10=0,"",T10/K10))</f>
        <v/>
      </c>
      <c r="X10" s="42">
        <f>IF($A10="","",IFERROR(O10/(H10+I10),""))</f>
        <v/>
      </c>
      <c r="Y10" s="43">
        <f>IF($A10="","",IF(_xlfn.MAXIFS(tProd[[Date]],tProd[[Batch ID]],$A10,tProd[[Measurement Type]],"Weighing")=0,"",IFERROR(AVERAGEIFS(tProd[[Average Weight kg]],tProd[[Batch ID]],$A10,tProd[[Measurement Type]],"Weighing",tProd[[Date]],_xlfn.MAXIFS(tProd[[Date]],tProd[[Batch ID]],$A10,tProd[[Measurement Type]],"Weighing")),"")))</f>
        <v/>
      </c>
    </row>
    <row r="11">
      <c r="A11" s="27">
        <f>IFERROR(INDEX(tBatches[[Batch ID]],7)&amp;"","")</f>
        <v/>
      </c>
      <c r="B11" s="36">
        <f>IF($A11="","",INDEX(tBatches[[Pen ID]],7)&amp;"")</f>
        <v/>
      </c>
      <c r="C11" s="36">
        <f>IF($A11="","",INDEX(tBatches[[Animal Type]],7)&amp;"")</f>
        <v/>
      </c>
      <c r="D11" s="31">
        <f>IF($A11="","",INDEX(tBatches[[Batch Start Date]],7))</f>
        <v/>
      </c>
      <c r="E11" s="36">
        <f>IF($A11="","",INDEX(tBatches[[Status]],7)&amp;"")</f>
        <v/>
      </c>
      <c r="F11" s="31">
        <f>IF($A11="","",IF(N(INDEX(tBatches[[Closing Date]],7))=0,"",INDEX(tBatches[[Closing Date]],7)))</f>
        <v/>
      </c>
      <c r="G11" s="39">
        <f>IF($A11="","",INDEX(tBatches[[Age (days)]],7))</f>
        <v/>
      </c>
      <c r="H11" s="39">
        <f>IF($A11="","",N(INDEX(tBatches[[Initial Quantity]],7)))</f>
        <v/>
      </c>
      <c r="I11" s="39">
        <f>IF($A11="","",INDEX(tBatches[[Transfers In / Added]],7))</f>
        <v/>
      </c>
      <c r="J11" s="39">
        <f>IF($A11="","",INDEX(tBatches[[Deaths]],7))</f>
        <v/>
      </c>
      <c r="K11" s="39">
        <f>IF($A11="","",INDEX(tBatches[[Heads Sold]],7))</f>
        <v/>
      </c>
      <c r="L11" s="39">
        <f>IF($A11="","",INDEX(tBatches[[Transfers Out]],7))</f>
        <v/>
      </c>
      <c r="M11" s="39">
        <f>IF($A11="","",INDEX(tBatches[[Current Quantity]],7))</f>
        <v/>
      </c>
      <c r="N11" s="40">
        <f>IF($A11="","",IFERROR(J11/(H11+I11),0))</f>
        <v/>
      </c>
      <c r="O11" s="28">
        <f>IF($A11="","",SUMIFS(tFeedIss[[Quantity Issued in kg]],tFeedIss[[Batch ID]],$A11))</f>
        <v/>
      </c>
      <c r="P11" s="29">
        <f>IF($A11="","",SUMIFS(tFeedIss[[Total Cost]],tFeedIss[[Batch ID]],$A11))</f>
        <v/>
      </c>
      <c r="Q11" s="29">
        <f>IF($A11="","",SUMIFS(tDrugUse[[Total Cost]],tDrugUse[[Batch ID]],$A11))</f>
        <v/>
      </c>
      <c r="R11" s="29">
        <f>IF($A11="","",SUMIFS(tExp[[Amount]],tExp[[Batch ID (if applicable)]],$A11))</f>
        <v/>
      </c>
      <c r="S11" s="41">
        <f>IF($A11="","",P11+Q11+R11)</f>
        <v/>
      </c>
      <c r="T11" s="41">
        <f>IF($A11="","",SUMIFS(tSales[[Total Revenue]],tSales[[Batch ID]],$A11))</f>
        <v/>
      </c>
      <c r="U11" s="41">
        <f>IF($A11="","",T11-S11)</f>
        <v/>
      </c>
      <c r="V11" s="29">
        <f>IF($A11="","",IFERROR(S11/(H11+I11),""))</f>
        <v/>
      </c>
      <c r="W11" s="29">
        <f>IF($A11="","",IF(K11=0,"",T11/K11))</f>
        <v/>
      </c>
      <c r="X11" s="42">
        <f>IF($A11="","",IFERROR(O11/(H11+I11),""))</f>
        <v/>
      </c>
      <c r="Y11" s="43">
        <f>IF($A11="","",IF(_xlfn.MAXIFS(tProd[[Date]],tProd[[Batch ID]],$A11,tProd[[Measurement Type]],"Weighing")=0,"",IFERROR(AVERAGEIFS(tProd[[Average Weight kg]],tProd[[Batch ID]],$A11,tProd[[Measurement Type]],"Weighing",tProd[[Date]],_xlfn.MAXIFS(tProd[[Date]],tProd[[Batch ID]],$A11,tProd[[Measurement Type]],"Weighing")),"")))</f>
        <v/>
      </c>
    </row>
    <row r="12">
      <c r="A12" s="27">
        <f>IFERROR(INDEX(tBatches[[Batch ID]],8)&amp;"","")</f>
        <v/>
      </c>
      <c r="B12" s="36">
        <f>IF($A12="","",INDEX(tBatches[[Pen ID]],8)&amp;"")</f>
        <v/>
      </c>
      <c r="C12" s="36">
        <f>IF($A12="","",INDEX(tBatches[[Animal Type]],8)&amp;"")</f>
        <v/>
      </c>
      <c r="D12" s="31">
        <f>IF($A12="","",INDEX(tBatches[[Batch Start Date]],8))</f>
        <v/>
      </c>
      <c r="E12" s="36">
        <f>IF($A12="","",INDEX(tBatches[[Status]],8)&amp;"")</f>
        <v/>
      </c>
      <c r="F12" s="31">
        <f>IF($A12="","",IF(N(INDEX(tBatches[[Closing Date]],8))=0,"",INDEX(tBatches[[Closing Date]],8)))</f>
        <v/>
      </c>
      <c r="G12" s="39">
        <f>IF($A12="","",INDEX(tBatches[[Age (days)]],8))</f>
        <v/>
      </c>
      <c r="H12" s="39">
        <f>IF($A12="","",N(INDEX(tBatches[[Initial Quantity]],8)))</f>
        <v/>
      </c>
      <c r="I12" s="39">
        <f>IF($A12="","",INDEX(tBatches[[Transfers In / Added]],8))</f>
        <v/>
      </c>
      <c r="J12" s="39">
        <f>IF($A12="","",INDEX(tBatches[[Deaths]],8))</f>
        <v/>
      </c>
      <c r="K12" s="39">
        <f>IF($A12="","",INDEX(tBatches[[Heads Sold]],8))</f>
        <v/>
      </c>
      <c r="L12" s="39">
        <f>IF($A12="","",INDEX(tBatches[[Transfers Out]],8))</f>
        <v/>
      </c>
      <c r="M12" s="39">
        <f>IF($A12="","",INDEX(tBatches[[Current Quantity]],8))</f>
        <v/>
      </c>
      <c r="N12" s="40">
        <f>IF($A12="","",IFERROR(J12/(H12+I12),0))</f>
        <v/>
      </c>
      <c r="O12" s="28">
        <f>IF($A12="","",SUMIFS(tFeedIss[[Quantity Issued in kg]],tFeedIss[[Batch ID]],$A12))</f>
        <v/>
      </c>
      <c r="P12" s="29">
        <f>IF($A12="","",SUMIFS(tFeedIss[[Total Cost]],tFeedIss[[Batch ID]],$A12))</f>
        <v/>
      </c>
      <c r="Q12" s="29">
        <f>IF($A12="","",SUMIFS(tDrugUse[[Total Cost]],tDrugUse[[Batch ID]],$A12))</f>
        <v/>
      </c>
      <c r="R12" s="29">
        <f>IF($A12="","",SUMIFS(tExp[[Amount]],tExp[[Batch ID (if applicable)]],$A12))</f>
        <v/>
      </c>
      <c r="S12" s="41">
        <f>IF($A12="","",P12+Q12+R12)</f>
        <v/>
      </c>
      <c r="T12" s="41">
        <f>IF($A12="","",SUMIFS(tSales[[Total Revenue]],tSales[[Batch ID]],$A12))</f>
        <v/>
      </c>
      <c r="U12" s="41">
        <f>IF($A12="","",T12-S12)</f>
        <v/>
      </c>
      <c r="V12" s="29">
        <f>IF($A12="","",IFERROR(S12/(H12+I12),""))</f>
        <v/>
      </c>
      <c r="W12" s="29">
        <f>IF($A12="","",IF(K12=0,"",T12/K12))</f>
        <v/>
      </c>
      <c r="X12" s="42">
        <f>IF($A12="","",IFERROR(O12/(H12+I12),""))</f>
        <v/>
      </c>
      <c r="Y12" s="43">
        <f>IF($A12="","",IF(_xlfn.MAXIFS(tProd[[Date]],tProd[[Batch ID]],$A12,tProd[[Measurement Type]],"Weighing")=0,"",IFERROR(AVERAGEIFS(tProd[[Average Weight kg]],tProd[[Batch ID]],$A12,tProd[[Measurement Type]],"Weighing",tProd[[Date]],_xlfn.MAXIFS(tProd[[Date]],tProd[[Batch ID]],$A12,tProd[[Measurement Type]],"Weighing")),"")))</f>
        <v/>
      </c>
    </row>
    <row r="13">
      <c r="A13" s="27">
        <f>IFERROR(INDEX(tBatches[[Batch ID]],9)&amp;"","")</f>
        <v/>
      </c>
      <c r="B13" s="36">
        <f>IF($A13="","",INDEX(tBatches[[Pen ID]],9)&amp;"")</f>
        <v/>
      </c>
      <c r="C13" s="36">
        <f>IF($A13="","",INDEX(tBatches[[Animal Type]],9)&amp;"")</f>
        <v/>
      </c>
      <c r="D13" s="31">
        <f>IF($A13="","",INDEX(tBatches[[Batch Start Date]],9))</f>
        <v/>
      </c>
      <c r="E13" s="36">
        <f>IF($A13="","",INDEX(tBatches[[Status]],9)&amp;"")</f>
        <v/>
      </c>
      <c r="F13" s="31">
        <f>IF($A13="","",IF(N(INDEX(tBatches[[Closing Date]],9))=0,"",INDEX(tBatches[[Closing Date]],9)))</f>
        <v/>
      </c>
      <c r="G13" s="39">
        <f>IF($A13="","",INDEX(tBatches[[Age (days)]],9))</f>
        <v/>
      </c>
      <c r="H13" s="39">
        <f>IF($A13="","",N(INDEX(tBatches[[Initial Quantity]],9)))</f>
        <v/>
      </c>
      <c r="I13" s="39">
        <f>IF($A13="","",INDEX(tBatches[[Transfers In / Added]],9))</f>
        <v/>
      </c>
      <c r="J13" s="39">
        <f>IF($A13="","",INDEX(tBatches[[Deaths]],9))</f>
        <v/>
      </c>
      <c r="K13" s="39">
        <f>IF($A13="","",INDEX(tBatches[[Heads Sold]],9))</f>
        <v/>
      </c>
      <c r="L13" s="39">
        <f>IF($A13="","",INDEX(tBatches[[Transfers Out]],9))</f>
        <v/>
      </c>
      <c r="M13" s="39">
        <f>IF($A13="","",INDEX(tBatches[[Current Quantity]],9))</f>
        <v/>
      </c>
      <c r="N13" s="40">
        <f>IF($A13="","",IFERROR(J13/(H13+I13),0))</f>
        <v/>
      </c>
      <c r="O13" s="28">
        <f>IF($A13="","",SUMIFS(tFeedIss[[Quantity Issued in kg]],tFeedIss[[Batch ID]],$A13))</f>
        <v/>
      </c>
      <c r="P13" s="29">
        <f>IF($A13="","",SUMIFS(tFeedIss[[Total Cost]],tFeedIss[[Batch ID]],$A13))</f>
        <v/>
      </c>
      <c r="Q13" s="29">
        <f>IF($A13="","",SUMIFS(tDrugUse[[Total Cost]],tDrugUse[[Batch ID]],$A13))</f>
        <v/>
      </c>
      <c r="R13" s="29">
        <f>IF($A13="","",SUMIFS(tExp[[Amount]],tExp[[Batch ID (if applicable)]],$A13))</f>
        <v/>
      </c>
      <c r="S13" s="41">
        <f>IF($A13="","",P13+Q13+R13)</f>
        <v/>
      </c>
      <c r="T13" s="41">
        <f>IF($A13="","",SUMIFS(tSales[[Total Revenue]],tSales[[Batch ID]],$A13))</f>
        <v/>
      </c>
      <c r="U13" s="41">
        <f>IF($A13="","",T13-S13)</f>
        <v/>
      </c>
      <c r="V13" s="29">
        <f>IF($A13="","",IFERROR(S13/(H13+I13),""))</f>
        <v/>
      </c>
      <c r="W13" s="29">
        <f>IF($A13="","",IF(K13=0,"",T13/K13))</f>
        <v/>
      </c>
      <c r="X13" s="42">
        <f>IF($A13="","",IFERROR(O13/(H13+I13),""))</f>
        <v/>
      </c>
      <c r="Y13" s="43">
        <f>IF($A13="","",IF(_xlfn.MAXIFS(tProd[[Date]],tProd[[Batch ID]],$A13,tProd[[Measurement Type]],"Weighing")=0,"",IFERROR(AVERAGEIFS(tProd[[Average Weight kg]],tProd[[Batch ID]],$A13,tProd[[Measurement Type]],"Weighing",tProd[[Date]],_xlfn.MAXIFS(tProd[[Date]],tProd[[Batch ID]],$A13,tProd[[Measurement Type]],"Weighing")),"")))</f>
        <v/>
      </c>
    </row>
    <row r="14">
      <c r="A14" s="27">
        <f>IFERROR(INDEX(tBatches[[Batch ID]],10)&amp;"","")</f>
        <v/>
      </c>
      <c r="B14" s="36">
        <f>IF($A14="","",INDEX(tBatches[[Pen ID]],10)&amp;"")</f>
        <v/>
      </c>
      <c r="C14" s="36">
        <f>IF($A14="","",INDEX(tBatches[[Animal Type]],10)&amp;"")</f>
        <v/>
      </c>
      <c r="D14" s="31">
        <f>IF($A14="","",INDEX(tBatches[[Batch Start Date]],10))</f>
        <v/>
      </c>
      <c r="E14" s="36">
        <f>IF($A14="","",INDEX(tBatches[[Status]],10)&amp;"")</f>
        <v/>
      </c>
      <c r="F14" s="31">
        <f>IF($A14="","",IF(N(INDEX(tBatches[[Closing Date]],10))=0,"",INDEX(tBatches[[Closing Date]],10)))</f>
        <v/>
      </c>
      <c r="G14" s="39">
        <f>IF($A14="","",INDEX(tBatches[[Age (days)]],10))</f>
        <v/>
      </c>
      <c r="H14" s="39">
        <f>IF($A14="","",N(INDEX(tBatches[[Initial Quantity]],10)))</f>
        <v/>
      </c>
      <c r="I14" s="39">
        <f>IF($A14="","",INDEX(tBatches[[Transfers In / Added]],10))</f>
        <v/>
      </c>
      <c r="J14" s="39">
        <f>IF($A14="","",INDEX(tBatches[[Deaths]],10))</f>
        <v/>
      </c>
      <c r="K14" s="39">
        <f>IF($A14="","",INDEX(tBatches[[Heads Sold]],10))</f>
        <v/>
      </c>
      <c r="L14" s="39">
        <f>IF($A14="","",INDEX(tBatches[[Transfers Out]],10))</f>
        <v/>
      </c>
      <c r="M14" s="39">
        <f>IF($A14="","",INDEX(tBatches[[Current Quantity]],10))</f>
        <v/>
      </c>
      <c r="N14" s="40">
        <f>IF($A14="","",IFERROR(J14/(H14+I14),0))</f>
        <v/>
      </c>
      <c r="O14" s="28">
        <f>IF($A14="","",SUMIFS(tFeedIss[[Quantity Issued in kg]],tFeedIss[[Batch ID]],$A14))</f>
        <v/>
      </c>
      <c r="P14" s="29">
        <f>IF($A14="","",SUMIFS(tFeedIss[[Total Cost]],tFeedIss[[Batch ID]],$A14))</f>
        <v/>
      </c>
      <c r="Q14" s="29">
        <f>IF($A14="","",SUMIFS(tDrugUse[[Total Cost]],tDrugUse[[Batch ID]],$A14))</f>
        <v/>
      </c>
      <c r="R14" s="29">
        <f>IF($A14="","",SUMIFS(tExp[[Amount]],tExp[[Batch ID (if applicable)]],$A14))</f>
        <v/>
      </c>
      <c r="S14" s="41">
        <f>IF($A14="","",P14+Q14+R14)</f>
        <v/>
      </c>
      <c r="T14" s="41">
        <f>IF($A14="","",SUMIFS(tSales[[Total Revenue]],tSales[[Batch ID]],$A14))</f>
        <v/>
      </c>
      <c r="U14" s="41">
        <f>IF($A14="","",T14-S14)</f>
        <v/>
      </c>
      <c r="V14" s="29">
        <f>IF($A14="","",IFERROR(S14/(H14+I14),""))</f>
        <v/>
      </c>
      <c r="W14" s="29">
        <f>IF($A14="","",IF(K14=0,"",T14/K14))</f>
        <v/>
      </c>
      <c r="X14" s="42">
        <f>IF($A14="","",IFERROR(O14/(H14+I14),""))</f>
        <v/>
      </c>
      <c r="Y14" s="43">
        <f>IF($A14="","",IF(_xlfn.MAXIFS(tProd[[Date]],tProd[[Batch ID]],$A14,tProd[[Measurement Type]],"Weighing")=0,"",IFERROR(AVERAGEIFS(tProd[[Average Weight kg]],tProd[[Batch ID]],$A14,tProd[[Measurement Type]],"Weighing",tProd[[Date]],_xlfn.MAXIFS(tProd[[Date]],tProd[[Batch ID]],$A14,tProd[[Measurement Type]],"Weighing")),"")))</f>
        <v/>
      </c>
    </row>
    <row r="15">
      <c r="A15" s="27">
        <f>IFERROR(INDEX(tBatches[[Batch ID]],11)&amp;"","")</f>
        <v/>
      </c>
      <c r="B15" s="36">
        <f>IF($A15="","",INDEX(tBatches[[Pen ID]],11)&amp;"")</f>
        <v/>
      </c>
      <c r="C15" s="36">
        <f>IF($A15="","",INDEX(tBatches[[Animal Type]],11)&amp;"")</f>
        <v/>
      </c>
      <c r="D15" s="31">
        <f>IF($A15="","",INDEX(tBatches[[Batch Start Date]],11))</f>
        <v/>
      </c>
      <c r="E15" s="36">
        <f>IF($A15="","",INDEX(tBatches[[Status]],11)&amp;"")</f>
        <v/>
      </c>
      <c r="F15" s="31">
        <f>IF($A15="","",IF(N(INDEX(tBatches[[Closing Date]],11))=0,"",INDEX(tBatches[[Closing Date]],11)))</f>
        <v/>
      </c>
      <c r="G15" s="39">
        <f>IF($A15="","",INDEX(tBatches[[Age (days)]],11))</f>
        <v/>
      </c>
      <c r="H15" s="39">
        <f>IF($A15="","",N(INDEX(tBatches[[Initial Quantity]],11)))</f>
        <v/>
      </c>
      <c r="I15" s="39">
        <f>IF($A15="","",INDEX(tBatches[[Transfers In / Added]],11))</f>
        <v/>
      </c>
      <c r="J15" s="39">
        <f>IF($A15="","",INDEX(tBatches[[Deaths]],11))</f>
        <v/>
      </c>
      <c r="K15" s="39">
        <f>IF($A15="","",INDEX(tBatches[[Heads Sold]],11))</f>
        <v/>
      </c>
      <c r="L15" s="39">
        <f>IF($A15="","",INDEX(tBatches[[Transfers Out]],11))</f>
        <v/>
      </c>
      <c r="M15" s="39">
        <f>IF($A15="","",INDEX(tBatches[[Current Quantity]],11))</f>
        <v/>
      </c>
      <c r="N15" s="40">
        <f>IF($A15="","",IFERROR(J15/(H15+I15),0))</f>
        <v/>
      </c>
      <c r="O15" s="28">
        <f>IF($A15="","",SUMIFS(tFeedIss[[Quantity Issued in kg]],tFeedIss[[Batch ID]],$A15))</f>
        <v/>
      </c>
      <c r="P15" s="29">
        <f>IF($A15="","",SUMIFS(tFeedIss[[Total Cost]],tFeedIss[[Batch ID]],$A15))</f>
        <v/>
      </c>
      <c r="Q15" s="29">
        <f>IF($A15="","",SUMIFS(tDrugUse[[Total Cost]],tDrugUse[[Batch ID]],$A15))</f>
        <v/>
      </c>
      <c r="R15" s="29">
        <f>IF($A15="","",SUMIFS(tExp[[Amount]],tExp[[Batch ID (if applicable)]],$A15))</f>
        <v/>
      </c>
      <c r="S15" s="41">
        <f>IF($A15="","",P15+Q15+R15)</f>
        <v/>
      </c>
      <c r="T15" s="41">
        <f>IF($A15="","",SUMIFS(tSales[[Total Revenue]],tSales[[Batch ID]],$A15))</f>
        <v/>
      </c>
      <c r="U15" s="41">
        <f>IF($A15="","",T15-S15)</f>
        <v/>
      </c>
      <c r="V15" s="29">
        <f>IF($A15="","",IFERROR(S15/(H15+I15),""))</f>
        <v/>
      </c>
      <c r="W15" s="29">
        <f>IF($A15="","",IF(K15=0,"",T15/K15))</f>
        <v/>
      </c>
      <c r="X15" s="42">
        <f>IF($A15="","",IFERROR(O15/(H15+I15),""))</f>
        <v/>
      </c>
      <c r="Y15" s="43">
        <f>IF($A15="","",IF(_xlfn.MAXIFS(tProd[[Date]],tProd[[Batch ID]],$A15,tProd[[Measurement Type]],"Weighing")=0,"",IFERROR(AVERAGEIFS(tProd[[Average Weight kg]],tProd[[Batch ID]],$A15,tProd[[Measurement Type]],"Weighing",tProd[[Date]],_xlfn.MAXIFS(tProd[[Date]],tProd[[Batch ID]],$A15,tProd[[Measurement Type]],"Weighing")),"")))</f>
        <v/>
      </c>
    </row>
    <row r="16">
      <c r="A16" s="27">
        <f>IFERROR(INDEX(tBatches[[Batch ID]],12)&amp;"","")</f>
        <v/>
      </c>
      <c r="B16" s="36">
        <f>IF($A16="","",INDEX(tBatches[[Pen ID]],12)&amp;"")</f>
        <v/>
      </c>
      <c r="C16" s="36">
        <f>IF($A16="","",INDEX(tBatches[[Animal Type]],12)&amp;"")</f>
        <v/>
      </c>
      <c r="D16" s="31">
        <f>IF($A16="","",INDEX(tBatches[[Batch Start Date]],12))</f>
        <v/>
      </c>
      <c r="E16" s="36">
        <f>IF($A16="","",INDEX(tBatches[[Status]],12)&amp;"")</f>
        <v/>
      </c>
      <c r="F16" s="31">
        <f>IF($A16="","",IF(N(INDEX(tBatches[[Closing Date]],12))=0,"",INDEX(tBatches[[Closing Date]],12)))</f>
        <v/>
      </c>
      <c r="G16" s="39">
        <f>IF($A16="","",INDEX(tBatches[[Age (days)]],12))</f>
        <v/>
      </c>
      <c r="H16" s="39">
        <f>IF($A16="","",N(INDEX(tBatches[[Initial Quantity]],12)))</f>
        <v/>
      </c>
      <c r="I16" s="39">
        <f>IF($A16="","",INDEX(tBatches[[Transfers In / Added]],12))</f>
        <v/>
      </c>
      <c r="J16" s="39">
        <f>IF($A16="","",INDEX(tBatches[[Deaths]],12))</f>
        <v/>
      </c>
      <c r="K16" s="39">
        <f>IF($A16="","",INDEX(tBatches[[Heads Sold]],12))</f>
        <v/>
      </c>
      <c r="L16" s="39">
        <f>IF($A16="","",INDEX(tBatches[[Transfers Out]],12))</f>
        <v/>
      </c>
      <c r="M16" s="39">
        <f>IF($A16="","",INDEX(tBatches[[Current Quantity]],12))</f>
        <v/>
      </c>
      <c r="N16" s="40">
        <f>IF($A16="","",IFERROR(J16/(H16+I16),0))</f>
        <v/>
      </c>
      <c r="O16" s="28">
        <f>IF($A16="","",SUMIFS(tFeedIss[[Quantity Issued in kg]],tFeedIss[[Batch ID]],$A16))</f>
        <v/>
      </c>
      <c r="P16" s="29">
        <f>IF($A16="","",SUMIFS(tFeedIss[[Total Cost]],tFeedIss[[Batch ID]],$A16))</f>
        <v/>
      </c>
      <c r="Q16" s="29">
        <f>IF($A16="","",SUMIFS(tDrugUse[[Total Cost]],tDrugUse[[Batch ID]],$A16))</f>
        <v/>
      </c>
      <c r="R16" s="29">
        <f>IF($A16="","",SUMIFS(tExp[[Amount]],tExp[[Batch ID (if applicable)]],$A16))</f>
        <v/>
      </c>
      <c r="S16" s="41">
        <f>IF($A16="","",P16+Q16+R16)</f>
        <v/>
      </c>
      <c r="T16" s="41">
        <f>IF($A16="","",SUMIFS(tSales[[Total Revenue]],tSales[[Batch ID]],$A16))</f>
        <v/>
      </c>
      <c r="U16" s="41">
        <f>IF($A16="","",T16-S16)</f>
        <v/>
      </c>
      <c r="V16" s="29">
        <f>IF($A16="","",IFERROR(S16/(H16+I16),""))</f>
        <v/>
      </c>
      <c r="W16" s="29">
        <f>IF($A16="","",IF(K16=0,"",T16/K16))</f>
        <v/>
      </c>
      <c r="X16" s="42">
        <f>IF($A16="","",IFERROR(O16/(H16+I16),""))</f>
        <v/>
      </c>
      <c r="Y16" s="43">
        <f>IF($A16="","",IF(_xlfn.MAXIFS(tProd[[Date]],tProd[[Batch ID]],$A16,tProd[[Measurement Type]],"Weighing")=0,"",IFERROR(AVERAGEIFS(tProd[[Average Weight kg]],tProd[[Batch ID]],$A16,tProd[[Measurement Type]],"Weighing",tProd[[Date]],_xlfn.MAXIFS(tProd[[Date]],tProd[[Batch ID]],$A16,tProd[[Measurement Type]],"Weighing")),"")))</f>
        <v/>
      </c>
    </row>
    <row r="17">
      <c r="A17" s="27">
        <f>IFERROR(INDEX(tBatches[[Batch ID]],13)&amp;"","")</f>
        <v/>
      </c>
      <c r="B17" s="36">
        <f>IF($A17="","",INDEX(tBatches[[Pen ID]],13)&amp;"")</f>
        <v/>
      </c>
      <c r="C17" s="36">
        <f>IF($A17="","",INDEX(tBatches[[Animal Type]],13)&amp;"")</f>
        <v/>
      </c>
      <c r="D17" s="31">
        <f>IF($A17="","",INDEX(tBatches[[Batch Start Date]],13))</f>
        <v/>
      </c>
      <c r="E17" s="36">
        <f>IF($A17="","",INDEX(tBatches[[Status]],13)&amp;"")</f>
        <v/>
      </c>
      <c r="F17" s="31">
        <f>IF($A17="","",IF(N(INDEX(tBatches[[Closing Date]],13))=0,"",INDEX(tBatches[[Closing Date]],13)))</f>
        <v/>
      </c>
      <c r="G17" s="39">
        <f>IF($A17="","",INDEX(tBatches[[Age (days)]],13))</f>
        <v/>
      </c>
      <c r="H17" s="39">
        <f>IF($A17="","",N(INDEX(tBatches[[Initial Quantity]],13)))</f>
        <v/>
      </c>
      <c r="I17" s="39">
        <f>IF($A17="","",INDEX(tBatches[[Transfers In / Added]],13))</f>
        <v/>
      </c>
      <c r="J17" s="39">
        <f>IF($A17="","",INDEX(tBatches[[Deaths]],13))</f>
        <v/>
      </c>
      <c r="K17" s="39">
        <f>IF($A17="","",INDEX(tBatches[[Heads Sold]],13))</f>
        <v/>
      </c>
      <c r="L17" s="39">
        <f>IF($A17="","",INDEX(tBatches[[Transfers Out]],13))</f>
        <v/>
      </c>
      <c r="M17" s="39">
        <f>IF($A17="","",INDEX(tBatches[[Current Quantity]],13))</f>
        <v/>
      </c>
      <c r="N17" s="40">
        <f>IF($A17="","",IFERROR(J17/(H17+I17),0))</f>
        <v/>
      </c>
      <c r="O17" s="28">
        <f>IF($A17="","",SUMIFS(tFeedIss[[Quantity Issued in kg]],tFeedIss[[Batch ID]],$A17))</f>
        <v/>
      </c>
      <c r="P17" s="29">
        <f>IF($A17="","",SUMIFS(tFeedIss[[Total Cost]],tFeedIss[[Batch ID]],$A17))</f>
        <v/>
      </c>
      <c r="Q17" s="29">
        <f>IF($A17="","",SUMIFS(tDrugUse[[Total Cost]],tDrugUse[[Batch ID]],$A17))</f>
        <v/>
      </c>
      <c r="R17" s="29">
        <f>IF($A17="","",SUMIFS(tExp[[Amount]],tExp[[Batch ID (if applicable)]],$A17))</f>
        <v/>
      </c>
      <c r="S17" s="41">
        <f>IF($A17="","",P17+Q17+R17)</f>
        <v/>
      </c>
      <c r="T17" s="41">
        <f>IF($A17="","",SUMIFS(tSales[[Total Revenue]],tSales[[Batch ID]],$A17))</f>
        <v/>
      </c>
      <c r="U17" s="41">
        <f>IF($A17="","",T17-S17)</f>
        <v/>
      </c>
      <c r="V17" s="29">
        <f>IF($A17="","",IFERROR(S17/(H17+I17),""))</f>
        <v/>
      </c>
      <c r="W17" s="29">
        <f>IF($A17="","",IF(K17=0,"",T17/K17))</f>
        <v/>
      </c>
      <c r="X17" s="42">
        <f>IF($A17="","",IFERROR(O17/(H17+I17),""))</f>
        <v/>
      </c>
      <c r="Y17" s="43">
        <f>IF($A17="","",IF(_xlfn.MAXIFS(tProd[[Date]],tProd[[Batch ID]],$A17,tProd[[Measurement Type]],"Weighing")=0,"",IFERROR(AVERAGEIFS(tProd[[Average Weight kg]],tProd[[Batch ID]],$A17,tProd[[Measurement Type]],"Weighing",tProd[[Date]],_xlfn.MAXIFS(tProd[[Date]],tProd[[Batch ID]],$A17,tProd[[Measurement Type]],"Weighing")),"")))</f>
        <v/>
      </c>
    </row>
    <row r="18">
      <c r="A18" s="27">
        <f>IFERROR(INDEX(tBatches[[Batch ID]],14)&amp;"","")</f>
        <v/>
      </c>
      <c r="B18" s="36">
        <f>IF($A18="","",INDEX(tBatches[[Pen ID]],14)&amp;"")</f>
        <v/>
      </c>
      <c r="C18" s="36">
        <f>IF($A18="","",INDEX(tBatches[[Animal Type]],14)&amp;"")</f>
        <v/>
      </c>
      <c r="D18" s="31">
        <f>IF($A18="","",INDEX(tBatches[[Batch Start Date]],14))</f>
        <v/>
      </c>
      <c r="E18" s="36">
        <f>IF($A18="","",INDEX(tBatches[[Status]],14)&amp;"")</f>
        <v/>
      </c>
      <c r="F18" s="31">
        <f>IF($A18="","",IF(N(INDEX(tBatches[[Closing Date]],14))=0,"",INDEX(tBatches[[Closing Date]],14)))</f>
        <v/>
      </c>
      <c r="G18" s="39">
        <f>IF($A18="","",INDEX(tBatches[[Age (days)]],14))</f>
        <v/>
      </c>
      <c r="H18" s="39">
        <f>IF($A18="","",N(INDEX(tBatches[[Initial Quantity]],14)))</f>
        <v/>
      </c>
      <c r="I18" s="39">
        <f>IF($A18="","",INDEX(tBatches[[Transfers In / Added]],14))</f>
        <v/>
      </c>
      <c r="J18" s="39">
        <f>IF($A18="","",INDEX(tBatches[[Deaths]],14))</f>
        <v/>
      </c>
      <c r="K18" s="39">
        <f>IF($A18="","",INDEX(tBatches[[Heads Sold]],14))</f>
        <v/>
      </c>
      <c r="L18" s="39">
        <f>IF($A18="","",INDEX(tBatches[[Transfers Out]],14))</f>
        <v/>
      </c>
      <c r="M18" s="39">
        <f>IF($A18="","",INDEX(tBatches[[Current Quantity]],14))</f>
        <v/>
      </c>
      <c r="N18" s="40">
        <f>IF($A18="","",IFERROR(J18/(H18+I18),0))</f>
        <v/>
      </c>
      <c r="O18" s="28">
        <f>IF($A18="","",SUMIFS(tFeedIss[[Quantity Issued in kg]],tFeedIss[[Batch ID]],$A18))</f>
        <v/>
      </c>
      <c r="P18" s="29">
        <f>IF($A18="","",SUMIFS(tFeedIss[[Total Cost]],tFeedIss[[Batch ID]],$A18))</f>
        <v/>
      </c>
      <c r="Q18" s="29">
        <f>IF($A18="","",SUMIFS(tDrugUse[[Total Cost]],tDrugUse[[Batch ID]],$A18))</f>
        <v/>
      </c>
      <c r="R18" s="29">
        <f>IF($A18="","",SUMIFS(tExp[[Amount]],tExp[[Batch ID (if applicable)]],$A18))</f>
        <v/>
      </c>
      <c r="S18" s="41">
        <f>IF($A18="","",P18+Q18+R18)</f>
        <v/>
      </c>
      <c r="T18" s="41">
        <f>IF($A18="","",SUMIFS(tSales[[Total Revenue]],tSales[[Batch ID]],$A18))</f>
        <v/>
      </c>
      <c r="U18" s="41">
        <f>IF($A18="","",T18-S18)</f>
        <v/>
      </c>
      <c r="V18" s="29">
        <f>IF($A18="","",IFERROR(S18/(H18+I18),""))</f>
        <v/>
      </c>
      <c r="W18" s="29">
        <f>IF($A18="","",IF(K18=0,"",T18/K18))</f>
        <v/>
      </c>
      <c r="X18" s="42">
        <f>IF($A18="","",IFERROR(O18/(H18+I18),""))</f>
        <v/>
      </c>
      <c r="Y18" s="43">
        <f>IF($A18="","",IF(_xlfn.MAXIFS(tProd[[Date]],tProd[[Batch ID]],$A18,tProd[[Measurement Type]],"Weighing")=0,"",IFERROR(AVERAGEIFS(tProd[[Average Weight kg]],tProd[[Batch ID]],$A18,tProd[[Measurement Type]],"Weighing",tProd[[Date]],_xlfn.MAXIFS(tProd[[Date]],tProd[[Batch ID]],$A18,tProd[[Measurement Type]],"Weighing")),"")))</f>
        <v/>
      </c>
    </row>
    <row r="19">
      <c r="A19" s="27">
        <f>IFERROR(INDEX(tBatches[[Batch ID]],15)&amp;"","")</f>
        <v/>
      </c>
      <c r="B19" s="36">
        <f>IF($A19="","",INDEX(tBatches[[Pen ID]],15)&amp;"")</f>
        <v/>
      </c>
      <c r="C19" s="36">
        <f>IF($A19="","",INDEX(tBatches[[Animal Type]],15)&amp;"")</f>
        <v/>
      </c>
      <c r="D19" s="31">
        <f>IF($A19="","",INDEX(tBatches[[Batch Start Date]],15))</f>
        <v/>
      </c>
      <c r="E19" s="36">
        <f>IF($A19="","",INDEX(tBatches[[Status]],15)&amp;"")</f>
        <v/>
      </c>
      <c r="F19" s="31">
        <f>IF($A19="","",IF(N(INDEX(tBatches[[Closing Date]],15))=0,"",INDEX(tBatches[[Closing Date]],15)))</f>
        <v/>
      </c>
      <c r="G19" s="39">
        <f>IF($A19="","",INDEX(tBatches[[Age (days)]],15))</f>
        <v/>
      </c>
      <c r="H19" s="39">
        <f>IF($A19="","",N(INDEX(tBatches[[Initial Quantity]],15)))</f>
        <v/>
      </c>
      <c r="I19" s="39">
        <f>IF($A19="","",INDEX(tBatches[[Transfers In / Added]],15))</f>
        <v/>
      </c>
      <c r="J19" s="39">
        <f>IF($A19="","",INDEX(tBatches[[Deaths]],15))</f>
        <v/>
      </c>
      <c r="K19" s="39">
        <f>IF($A19="","",INDEX(tBatches[[Heads Sold]],15))</f>
        <v/>
      </c>
      <c r="L19" s="39">
        <f>IF($A19="","",INDEX(tBatches[[Transfers Out]],15))</f>
        <v/>
      </c>
      <c r="M19" s="39">
        <f>IF($A19="","",INDEX(tBatches[[Current Quantity]],15))</f>
        <v/>
      </c>
      <c r="N19" s="40">
        <f>IF($A19="","",IFERROR(J19/(H19+I19),0))</f>
        <v/>
      </c>
      <c r="O19" s="28">
        <f>IF($A19="","",SUMIFS(tFeedIss[[Quantity Issued in kg]],tFeedIss[[Batch ID]],$A19))</f>
        <v/>
      </c>
      <c r="P19" s="29">
        <f>IF($A19="","",SUMIFS(tFeedIss[[Total Cost]],tFeedIss[[Batch ID]],$A19))</f>
        <v/>
      </c>
      <c r="Q19" s="29">
        <f>IF($A19="","",SUMIFS(tDrugUse[[Total Cost]],tDrugUse[[Batch ID]],$A19))</f>
        <v/>
      </c>
      <c r="R19" s="29">
        <f>IF($A19="","",SUMIFS(tExp[[Amount]],tExp[[Batch ID (if applicable)]],$A19))</f>
        <v/>
      </c>
      <c r="S19" s="41">
        <f>IF($A19="","",P19+Q19+R19)</f>
        <v/>
      </c>
      <c r="T19" s="41">
        <f>IF($A19="","",SUMIFS(tSales[[Total Revenue]],tSales[[Batch ID]],$A19))</f>
        <v/>
      </c>
      <c r="U19" s="41">
        <f>IF($A19="","",T19-S19)</f>
        <v/>
      </c>
      <c r="V19" s="29">
        <f>IF($A19="","",IFERROR(S19/(H19+I19),""))</f>
        <v/>
      </c>
      <c r="W19" s="29">
        <f>IF($A19="","",IF(K19=0,"",T19/K19))</f>
        <v/>
      </c>
      <c r="X19" s="42">
        <f>IF($A19="","",IFERROR(O19/(H19+I19),""))</f>
        <v/>
      </c>
      <c r="Y19" s="43">
        <f>IF($A19="","",IF(_xlfn.MAXIFS(tProd[[Date]],tProd[[Batch ID]],$A19,tProd[[Measurement Type]],"Weighing")=0,"",IFERROR(AVERAGEIFS(tProd[[Average Weight kg]],tProd[[Batch ID]],$A19,tProd[[Measurement Type]],"Weighing",tProd[[Date]],_xlfn.MAXIFS(tProd[[Date]],tProd[[Batch ID]],$A19,tProd[[Measurement Type]],"Weighing")),"")))</f>
        <v/>
      </c>
    </row>
    <row r="20">
      <c r="A20" s="27">
        <f>IFERROR(INDEX(tBatches[[Batch ID]],16)&amp;"","")</f>
        <v/>
      </c>
      <c r="B20" s="36">
        <f>IF($A20="","",INDEX(tBatches[[Pen ID]],16)&amp;"")</f>
        <v/>
      </c>
      <c r="C20" s="36">
        <f>IF($A20="","",INDEX(tBatches[[Animal Type]],16)&amp;"")</f>
        <v/>
      </c>
      <c r="D20" s="31">
        <f>IF($A20="","",INDEX(tBatches[[Batch Start Date]],16))</f>
        <v/>
      </c>
      <c r="E20" s="36">
        <f>IF($A20="","",INDEX(tBatches[[Status]],16)&amp;"")</f>
        <v/>
      </c>
      <c r="F20" s="31">
        <f>IF($A20="","",IF(N(INDEX(tBatches[[Closing Date]],16))=0,"",INDEX(tBatches[[Closing Date]],16)))</f>
        <v/>
      </c>
      <c r="G20" s="39">
        <f>IF($A20="","",INDEX(tBatches[[Age (days)]],16))</f>
        <v/>
      </c>
      <c r="H20" s="39">
        <f>IF($A20="","",N(INDEX(tBatches[[Initial Quantity]],16)))</f>
        <v/>
      </c>
      <c r="I20" s="39">
        <f>IF($A20="","",INDEX(tBatches[[Transfers In / Added]],16))</f>
        <v/>
      </c>
      <c r="J20" s="39">
        <f>IF($A20="","",INDEX(tBatches[[Deaths]],16))</f>
        <v/>
      </c>
      <c r="K20" s="39">
        <f>IF($A20="","",INDEX(tBatches[[Heads Sold]],16))</f>
        <v/>
      </c>
      <c r="L20" s="39">
        <f>IF($A20="","",INDEX(tBatches[[Transfers Out]],16))</f>
        <v/>
      </c>
      <c r="M20" s="39">
        <f>IF($A20="","",INDEX(tBatches[[Current Quantity]],16))</f>
        <v/>
      </c>
      <c r="N20" s="40">
        <f>IF($A20="","",IFERROR(J20/(H20+I20),0))</f>
        <v/>
      </c>
      <c r="O20" s="28">
        <f>IF($A20="","",SUMIFS(tFeedIss[[Quantity Issued in kg]],tFeedIss[[Batch ID]],$A20))</f>
        <v/>
      </c>
      <c r="P20" s="29">
        <f>IF($A20="","",SUMIFS(tFeedIss[[Total Cost]],tFeedIss[[Batch ID]],$A20))</f>
        <v/>
      </c>
      <c r="Q20" s="29">
        <f>IF($A20="","",SUMIFS(tDrugUse[[Total Cost]],tDrugUse[[Batch ID]],$A20))</f>
        <v/>
      </c>
      <c r="R20" s="29">
        <f>IF($A20="","",SUMIFS(tExp[[Amount]],tExp[[Batch ID (if applicable)]],$A20))</f>
        <v/>
      </c>
      <c r="S20" s="41">
        <f>IF($A20="","",P20+Q20+R20)</f>
        <v/>
      </c>
      <c r="T20" s="41">
        <f>IF($A20="","",SUMIFS(tSales[[Total Revenue]],tSales[[Batch ID]],$A20))</f>
        <v/>
      </c>
      <c r="U20" s="41">
        <f>IF($A20="","",T20-S20)</f>
        <v/>
      </c>
      <c r="V20" s="29">
        <f>IF($A20="","",IFERROR(S20/(H20+I20),""))</f>
        <v/>
      </c>
      <c r="W20" s="29">
        <f>IF($A20="","",IF(K20=0,"",T20/K20))</f>
        <v/>
      </c>
      <c r="X20" s="42">
        <f>IF($A20="","",IFERROR(O20/(H20+I20),""))</f>
        <v/>
      </c>
      <c r="Y20" s="43">
        <f>IF($A20="","",IF(_xlfn.MAXIFS(tProd[[Date]],tProd[[Batch ID]],$A20,tProd[[Measurement Type]],"Weighing")=0,"",IFERROR(AVERAGEIFS(tProd[[Average Weight kg]],tProd[[Batch ID]],$A20,tProd[[Measurement Type]],"Weighing",tProd[[Date]],_xlfn.MAXIFS(tProd[[Date]],tProd[[Batch ID]],$A20,tProd[[Measurement Type]],"Weighing")),"")))</f>
        <v/>
      </c>
    </row>
    <row r="21">
      <c r="A21" s="27">
        <f>IFERROR(INDEX(tBatches[[Batch ID]],17)&amp;"","")</f>
        <v/>
      </c>
      <c r="B21" s="36">
        <f>IF($A21="","",INDEX(tBatches[[Pen ID]],17)&amp;"")</f>
        <v/>
      </c>
      <c r="C21" s="36">
        <f>IF($A21="","",INDEX(tBatches[[Animal Type]],17)&amp;"")</f>
        <v/>
      </c>
      <c r="D21" s="31">
        <f>IF($A21="","",INDEX(tBatches[[Batch Start Date]],17))</f>
        <v/>
      </c>
      <c r="E21" s="36">
        <f>IF($A21="","",INDEX(tBatches[[Status]],17)&amp;"")</f>
        <v/>
      </c>
      <c r="F21" s="31">
        <f>IF($A21="","",IF(N(INDEX(tBatches[[Closing Date]],17))=0,"",INDEX(tBatches[[Closing Date]],17)))</f>
        <v/>
      </c>
      <c r="G21" s="39">
        <f>IF($A21="","",INDEX(tBatches[[Age (days)]],17))</f>
        <v/>
      </c>
      <c r="H21" s="39">
        <f>IF($A21="","",N(INDEX(tBatches[[Initial Quantity]],17)))</f>
        <v/>
      </c>
      <c r="I21" s="39">
        <f>IF($A21="","",INDEX(tBatches[[Transfers In / Added]],17))</f>
        <v/>
      </c>
      <c r="J21" s="39">
        <f>IF($A21="","",INDEX(tBatches[[Deaths]],17))</f>
        <v/>
      </c>
      <c r="K21" s="39">
        <f>IF($A21="","",INDEX(tBatches[[Heads Sold]],17))</f>
        <v/>
      </c>
      <c r="L21" s="39">
        <f>IF($A21="","",INDEX(tBatches[[Transfers Out]],17))</f>
        <v/>
      </c>
      <c r="M21" s="39">
        <f>IF($A21="","",INDEX(tBatches[[Current Quantity]],17))</f>
        <v/>
      </c>
      <c r="N21" s="40">
        <f>IF($A21="","",IFERROR(J21/(H21+I21),0))</f>
        <v/>
      </c>
      <c r="O21" s="28">
        <f>IF($A21="","",SUMIFS(tFeedIss[[Quantity Issued in kg]],tFeedIss[[Batch ID]],$A21))</f>
        <v/>
      </c>
      <c r="P21" s="29">
        <f>IF($A21="","",SUMIFS(tFeedIss[[Total Cost]],tFeedIss[[Batch ID]],$A21))</f>
        <v/>
      </c>
      <c r="Q21" s="29">
        <f>IF($A21="","",SUMIFS(tDrugUse[[Total Cost]],tDrugUse[[Batch ID]],$A21))</f>
        <v/>
      </c>
      <c r="R21" s="29">
        <f>IF($A21="","",SUMIFS(tExp[[Amount]],tExp[[Batch ID (if applicable)]],$A21))</f>
        <v/>
      </c>
      <c r="S21" s="41">
        <f>IF($A21="","",P21+Q21+R21)</f>
        <v/>
      </c>
      <c r="T21" s="41">
        <f>IF($A21="","",SUMIFS(tSales[[Total Revenue]],tSales[[Batch ID]],$A21))</f>
        <v/>
      </c>
      <c r="U21" s="41">
        <f>IF($A21="","",T21-S21)</f>
        <v/>
      </c>
      <c r="V21" s="29">
        <f>IF($A21="","",IFERROR(S21/(H21+I21),""))</f>
        <v/>
      </c>
      <c r="W21" s="29">
        <f>IF($A21="","",IF(K21=0,"",T21/K21))</f>
        <v/>
      </c>
      <c r="X21" s="42">
        <f>IF($A21="","",IFERROR(O21/(H21+I21),""))</f>
        <v/>
      </c>
      <c r="Y21" s="43">
        <f>IF($A21="","",IF(_xlfn.MAXIFS(tProd[[Date]],tProd[[Batch ID]],$A21,tProd[[Measurement Type]],"Weighing")=0,"",IFERROR(AVERAGEIFS(tProd[[Average Weight kg]],tProd[[Batch ID]],$A21,tProd[[Measurement Type]],"Weighing",tProd[[Date]],_xlfn.MAXIFS(tProd[[Date]],tProd[[Batch ID]],$A21,tProd[[Measurement Type]],"Weighing")),"")))</f>
        <v/>
      </c>
    </row>
    <row r="22">
      <c r="A22" s="27">
        <f>IFERROR(INDEX(tBatches[[Batch ID]],18)&amp;"","")</f>
        <v/>
      </c>
      <c r="B22" s="36">
        <f>IF($A22="","",INDEX(tBatches[[Pen ID]],18)&amp;"")</f>
        <v/>
      </c>
      <c r="C22" s="36">
        <f>IF($A22="","",INDEX(tBatches[[Animal Type]],18)&amp;"")</f>
        <v/>
      </c>
      <c r="D22" s="31">
        <f>IF($A22="","",INDEX(tBatches[[Batch Start Date]],18))</f>
        <v/>
      </c>
      <c r="E22" s="36">
        <f>IF($A22="","",INDEX(tBatches[[Status]],18)&amp;"")</f>
        <v/>
      </c>
      <c r="F22" s="31">
        <f>IF($A22="","",IF(N(INDEX(tBatches[[Closing Date]],18))=0,"",INDEX(tBatches[[Closing Date]],18)))</f>
        <v/>
      </c>
      <c r="G22" s="39">
        <f>IF($A22="","",INDEX(tBatches[[Age (days)]],18))</f>
        <v/>
      </c>
      <c r="H22" s="39">
        <f>IF($A22="","",N(INDEX(tBatches[[Initial Quantity]],18)))</f>
        <v/>
      </c>
      <c r="I22" s="39">
        <f>IF($A22="","",INDEX(tBatches[[Transfers In / Added]],18))</f>
        <v/>
      </c>
      <c r="J22" s="39">
        <f>IF($A22="","",INDEX(tBatches[[Deaths]],18))</f>
        <v/>
      </c>
      <c r="K22" s="39">
        <f>IF($A22="","",INDEX(tBatches[[Heads Sold]],18))</f>
        <v/>
      </c>
      <c r="L22" s="39">
        <f>IF($A22="","",INDEX(tBatches[[Transfers Out]],18))</f>
        <v/>
      </c>
      <c r="M22" s="39">
        <f>IF($A22="","",INDEX(tBatches[[Current Quantity]],18))</f>
        <v/>
      </c>
      <c r="N22" s="40">
        <f>IF($A22="","",IFERROR(J22/(H22+I22),0))</f>
        <v/>
      </c>
      <c r="O22" s="28">
        <f>IF($A22="","",SUMIFS(tFeedIss[[Quantity Issued in kg]],tFeedIss[[Batch ID]],$A22))</f>
        <v/>
      </c>
      <c r="P22" s="29">
        <f>IF($A22="","",SUMIFS(tFeedIss[[Total Cost]],tFeedIss[[Batch ID]],$A22))</f>
        <v/>
      </c>
      <c r="Q22" s="29">
        <f>IF($A22="","",SUMIFS(tDrugUse[[Total Cost]],tDrugUse[[Batch ID]],$A22))</f>
        <v/>
      </c>
      <c r="R22" s="29">
        <f>IF($A22="","",SUMIFS(tExp[[Amount]],tExp[[Batch ID (if applicable)]],$A22))</f>
        <v/>
      </c>
      <c r="S22" s="41">
        <f>IF($A22="","",P22+Q22+R22)</f>
        <v/>
      </c>
      <c r="T22" s="41">
        <f>IF($A22="","",SUMIFS(tSales[[Total Revenue]],tSales[[Batch ID]],$A22))</f>
        <v/>
      </c>
      <c r="U22" s="41">
        <f>IF($A22="","",T22-S22)</f>
        <v/>
      </c>
      <c r="V22" s="29">
        <f>IF($A22="","",IFERROR(S22/(H22+I22),""))</f>
        <v/>
      </c>
      <c r="W22" s="29">
        <f>IF($A22="","",IF(K22=0,"",T22/K22))</f>
        <v/>
      </c>
      <c r="X22" s="42">
        <f>IF($A22="","",IFERROR(O22/(H22+I22),""))</f>
        <v/>
      </c>
      <c r="Y22" s="43">
        <f>IF($A22="","",IF(_xlfn.MAXIFS(tProd[[Date]],tProd[[Batch ID]],$A22,tProd[[Measurement Type]],"Weighing")=0,"",IFERROR(AVERAGEIFS(tProd[[Average Weight kg]],tProd[[Batch ID]],$A22,tProd[[Measurement Type]],"Weighing",tProd[[Date]],_xlfn.MAXIFS(tProd[[Date]],tProd[[Batch ID]],$A22,tProd[[Measurement Type]],"Weighing")),"")))</f>
        <v/>
      </c>
    </row>
    <row r="23">
      <c r="A23" s="27">
        <f>IFERROR(INDEX(tBatches[[Batch ID]],19)&amp;"","")</f>
        <v/>
      </c>
      <c r="B23" s="36">
        <f>IF($A23="","",INDEX(tBatches[[Pen ID]],19)&amp;"")</f>
        <v/>
      </c>
      <c r="C23" s="36">
        <f>IF($A23="","",INDEX(tBatches[[Animal Type]],19)&amp;"")</f>
        <v/>
      </c>
      <c r="D23" s="31">
        <f>IF($A23="","",INDEX(tBatches[[Batch Start Date]],19))</f>
        <v/>
      </c>
      <c r="E23" s="36">
        <f>IF($A23="","",INDEX(tBatches[[Status]],19)&amp;"")</f>
        <v/>
      </c>
      <c r="F23" s="31">
        <f>IF($A23="","",IF(N(INDEX(tBatches[[Closing Date]],19))=0,"",INDEX(tBatches[[Closing Date]],19)))</f>
        <v/>
      </c>
      <c r="G23" s="39">
        <f>IF($A23="","",INDEX(tBatches[[Age (days)]],19))</f>
        <v/>
      </c>
      <c r="H23" s="39">
        <f>IF($A23="","",N(INDEX(tBatches[[Initial Quantity]],19)))</f>
        <v/>
      </c>
      <c r="I23" s="39">
        <f>IF($A23="","",INDEX(tBatches[[Transfers In / Added]],19))</f>
        <v/>
      </c>
      <c r="J23" s="39">
        <f>IF($A23="","",INDEX(tBatches[[Deaths]],19))</f>
        <v/>
      </c>
      <c r="K23" s="39">
        <f>IF($A23="","",INDEX(tBatches[[Heads Sold]],19))</f>
        <v/>
      </c>
      <c r="L23" s="39">
        <f>IF($A23="","",INDEX(tBatches[[Transfers Out]],19))</f>
        <v/>
      </c>
      <c r="M23" s="39">
        <f>IF($A23="","",INDEX(tBatches[[Current Quantity]],19))</f>
        <v/>
      </c>
      <c r="N23" s="40">
        <f>IF($A23="","",IFERROR(J23/(H23+I23),0))</f>
        <v/>
      </c>
      <c r="O23" s="28">
        <f>IF($A23="","",SUMIFS(tFeedIss[[Quantity Issued in kg]],tFeedIss[[Batch ID]],$A23))</f>
        <v/>
      </c>
      <c r="P23" s="29">
        <f>IF($A23="","",SUMIFS(tFeedIss[[Total Cost]],tFeedIss[[Batch ID]],$A23))</f>
        <v/>
      </c>
      <c r="Q23" s="29">
        <f>IF($A23="","",SUMIFS(tDrugUse[[Total Cost]],tDrugUse[[Batch ID]],$A23))</f>
        <v/>
      </c>
      <c r="R23" s="29">
        <f>IF($A23="","",SUMIFS(tExp[[Amount]],tExp[[Batch ID (if applicable)]],$A23))</f>
        <v/>
      </c>
      <c r="S23" s="41">
        <f>IF($A23="","",P23+Q23+R23)</f>
        <v/>
      </c>
      <c r="T23" s="41">
        <f>IF($A23="","",SUMIFS(tSales[[Total Revenue]],tSales[[Batch ID]],$A23))</f>
        <v/>
      </c>
      <c r="U23" s="41">
        <f>IF($A23="","",T23-S23)</f>
        <v/>
      </c>
      <c r="V23" s="29">
        <f>IF($A23="","",IFERROR(S23/(H23+I23),""))</f>
        <v/>
      </c>
      <c r="W23" s="29">
        <f>IF($A23="","",IF(K23=0,"",T23/K23))</f>
        <v/>
      </c>
      <c r="X23" s="42">
        <f>IF($A23="","",IFERROR(O23/(H23+I23),""))</f>
        <v/>
      </c>
      <c r="Y23" s="43">
        <f>IF($A23="","",IF(_xlfn.MAXIFS(tProd[[Date]],tProd[[Batch ID]],$A23,tProd[[Measurement Type]],"Weighing")=0,"",IFERROR(AVERAGEIFS(tProd[[Average Weight kg]],tProd[[Batch ID]],$A23,tProd[[Measurement Type]],"Weighing",tProd[[Date]],_xlfn.MAXIFS(tProd[[Date]],tProd[[Batch ID]],$A23,tProd[[Measurement Type]],"Weighing")),"")))</f>
        <v/>
      </c>
    </row>
    <row r="24">
      <c r="A24" s="27">
        <f>IFERROR(INDEX(tBatches[[Batch ID]],20)&amp;"","")</f>
        <v/>
      </c>
      <c r="B24" s="36">
        <f>IF($A24="","",INDEX(tBatches[[Pen ID]],20)&amp;"")</f>
        <v/>
      </c>
      <c r="C24" s="36">
        <f>IF($A24="","",INDEX(tBatches[[Animal Type]],20)&amp;"")</f>
        <v/>
      </c>
      <c r="D24" s="31">
        <f>IF($A24="","",INDEX(tBatches[[Batch Start Date]],20))</f>
        <v/>
      </c>
      <c r="E24" s="36">
        <f>IF($A24="","",INDEX(tBatches[[Status]],20)&amp;"")</f>
        <v/>
      </c>
      <c r="F24" s="31">
        <f>IF($A24="","",IF(N(INDEX(tBatches[[Closing Date]],20))=0,"",INDEX(tBatches[[Closing Date]],20)))</f>
        <v/>
      </c>
      <c r="G24" s="39">
        <f>IF($A24="","",INDEX(tBatches[[Age (days)]],20))</f>
        <v/>
      </c>
      <c r="H24" s="39">
        <f>IF($A24="","",N(INDEX(tBatches[[Initial Quantity]],20)))</f>
        <v/>
      </c>
      <c r="I24" s="39">
        <f>IF($A24="","",INDEX(tBatches[[Transfers In / Added]],20))</f>
        <v/>
      </c>
      <c r="J24" s="39">
        <f>IF($A24="","",INDEX(tBatches[[Deaths]],20))</f>
        <v/>
      </c>
      <c r="K24" s="39">
        <f>IF($A24="","",INDEX(tBatches[[Heads Sold]],20))</f>
        <v/>
      </c>
      <c r="L24" s="39">
        <f>IF($A24="","",INDEX(tBatches[[Transfers Out]],20))</f>
        <v/>
      </c>
      <c r="M24" s="39">
        <f>IF($A24="","",INDEX(tBatches[[Current Quantity]],20))</f>
        <v/>
      </c>
      <c r="N24" s="40">
        <f>IF($A24="","",IFERROR(J24/(H24+I24),0))</f>
        <v/>
      </c>
      <c r="O24" s="28">
        <f>IF($A24="","",SUMIFS(tFeedIss[[Quantity Issued in kg]],tFeedIss[[Batch ID]],$A24))</f>
        <v/>
      </c>
      <c r="P24" s="29">
        <f>IF($A24="","",SUMIFS(tFeedIss[[Total Cost]],tFeedIss[[Batch ID]],$A24))</f>
        <v/>
      </c>
      <c r="Q24" s="29">
        <f>IF($A24="","",SUMIFS(tDrugUse[[Total Cost]],tDrugUse[[Batch ID]],$A24))</f>
        <v/>
      </c>
      <c r="R24" s="29">
        <f>IF($A24="","",SUMIFS(tExp[[Amount]],tExp[[Batch ID (if applicable)]],$A24))</f>
        <v/>
      </c>
      <c r="S24" s="41">
        <f>IF($A24="","",P24+Q24+R24)</f>
        <v/>
      </c>
      <c r="T24" s="41">
        <f>IF($A24="","",SUMIFS(tSales[[Total Revenue]],tSales[[Batch ID]],$A24))</f>
        <v/>
      </c>
      <c r="U24" s="41">
        <f>IF($A24="","",T24-S24)</f>
        <v/>
      </c>
      <c r="V24" s="29">
        <f>IF($A24="","",IFERROR(S24/(H24+I24),""))</f>
        <v/>
      </c>
      <c r="W24" s="29">
        <f>IF($A24="","",IF(K24=0,"",T24/K24))</f>
        <v/>
      </c>
      <c r="X24" s="42">
        <f>IF($A24="","",IFERROR(O24/(H24+I24),""))</f>
        <v/>
      </c>
      <c r="Y24" s="43">
        <f>IF($A24="","",IF(_xlfn.MAXIFS(tProd[[Date]],tProd[[Batch ID]],$A24,tProd[[Measurement Type]],"Weighing")=0,"",IFERROR(AVERAGEIFS(tProd[[Average Weight kg]],tProd[[Batch ID]],$A24,tProd[[Measurement Type]],"Weighing",tProd[[Date]],_xlfn.MAXIFS(tProd[[Date]],tProd[[Batch ID]],$A24,tProd[[Measurement Type]],"Weighing")),"")))</f>
        <v/>
      </c>
    </row>
    <row r="25">
      <c r="A25" s="27">
        <f>IFERROR(INDEX(tBatches[[Batch ID]],21)&amp;"","")</f>
        <v/>
      </c>
      <c r="B25" s="36">
        <f>IF($A25="","",INDEX(tBatches[[Pen ID]],21)&amp;"")</f>
        <v/>
      </c>
      <c r="C25" s="36">
        <f>IF($A25="","",INDEX(tBatches[[Animal Type]],21)&amp;"")</f>
        <v/>
      </c>
      <c r="D25" s="31">
        <f>IF($A25="","",INDEX(tBatches[[Batch Start Date]],21))</f>
        <v/>
      </c>
      <c r="E25" s="36">
        <f>IF($A25="","",INDEX(tBatches[[Status]],21)&amp;"")</f>
        <v/>
      </c>
      <c r="F25" s="31">
        <f>IF($A25="","",IF(N(INDEX(tBatches[[Closing Date]],21))=0,"",INDEX(tBatches[[Closing Date]],21)))</f>
        <v/>
      </c>
      <c r="G25" s="39">
        <f>IF($A25="","",INDEX(tBatches[[Age (days)]],21))</f>
        <v/>
      </c>
      <c r="H25" s="39">
        <f>IF($A25="","",N(INDEX(tBatches[[Initial Quantity]],21)))</f>
        <v/>
      </c>
      <c r="I25" s="39">
        <f>IF($A25="","",INDEX(tBatches[[Transfers In / Added]],21))</f>
        <v/>
      </c>
      <c r="J25" s="39">
        <f>IF($A25="","",INDEX(tBatches[[Deaths]],21))</f>
        <v/>
      </c>
      <c r="K25" s="39">
        <f>IF($A25="","",INDEX(tBatches[[Heads Sold]],21))</f>
        <v/>
      </c>
      <c r="L25" s="39">
        <f>IF($A25="","",INDEX(tBatches[[Transfers Out]],21))</f>
        <v/>
      </c>
      <c r="M25" s="39">
        <f>IF($A25="","",INDEX(tBatches[[Current Quantity]],21))</f>
        <v/>
      </c>
      <c r="N25" s="40">
        <f>IF($A25="","",IFERROR(J25/(H25+I25),0))</f>
        <v/>
      </c>
      <c r="O25" s="28">
        <f>IF($A25="","",SUMIFS(tFeedIss[[Quantity Issued in kg]],tFeedIss[[Batch ID]],$A25))</f>
        <v/>
      </c>
      <c r="P25" s="29">
        <f>IF($A25="","",SUMIFS(tFeedIss[[Total Cost]],tFeedIss[[Batch ID]],$A25))</f>
        <v/>
      </c>
      <c r="Q25" s="29">
        <f>IF($A25="","",SUMIFS(tDrugUse[[Total Cost]],tDrugUse[[Batch ID]],$A25))</f>
        <v/>
      </c>
      <c r="R25" s="29">
        <f>IF($A25="","",SUMIFS(tExp[[Amount]],tExp[[Batch ID (if applicable)]],$A25))</f>
        <v/>
      </c>
      <c r="S25" s="41">
        <f>IF($A25="","",P25+Q25+R25)</f>
        <v/>
      </c>
      <c r="T25" s="41">
        <f>IF($A25="","",SUMIFS(tSales[[Total Revenue]],tSales[[Batch ID]],$A25))</f>
        <v/>
      </c>
      <c r="U25" s="41">
        <f>IF($A25="","",T25-S25)</f>
        <v/>
      </c>
      <c r="V25" s="29">
        <f>IF($A25="","",IFERROR(S25/(H25+I25),""))</f>
        <v/>
      </c>
      <c r="W25" s="29">
        <f>IF($A25="","",IF(K25=0,"",T25/K25))</f>
        <v/>
      </c>
      <c r="X25" s="42">
        <f>IF($A25="","",IFERROR(O25/(H25+I25),""))</f>
        <v/>
      </c>
      <c r="Y25" s="43">
        <f>IF($A25="","",IF(_xlfn.MAXIFS(tProd[[Date]],tProd[[Batch ID]],$A25,tProd[[Measurement Type]],"Weighing")=0,"",IFERROR(AVERAGEIFS(tProd[[Average Weight kg]],tProd[[Batch ID]],$A25,tProd[[Measurement Type]],"Weighing",tProd[[Date]],_xlfn.MAXIFS(tProd[[Date]],tProd[[Batch ID]],$A25,tProd[[Measurement Type]],"Weighing")),"")))</f>
        <v/>
      </c>
    </row>
    <row r="26">
      <c r="A26" s="27">
        <f>IFERROR(INDEX(tBatches[[Batch ID]],22)&amp;"","")</f>
        <v/>
      </c>
      <c r="B26" s="36">
        <f>IF($A26="","",INDEX(tBatches[[Pen ID]],22)&amp;"")</f>
        <v/>
      </c>
      <c r="C26" s="36">
        <f>IF($A26="","",INDEX(tBatches[[Animal Type]],22)&amp;"")</f>
        <v/>
      </c>
      <c r="D26" s="31">
        <f>IF($A26="","",INDEX(tBatches[[Batch Start Date]],22))</f>
        <v/>
      </c>
      <c r="E26" s="36">
        <f>IF($A26="","",INDEX(tBatches[[Status]],22)&amp;"")</f>
        <v/>
      </c>
      <c r="F26" s="31">
        <f>IF($A26="","",IF(N(INDEX(tBatches[[Closing Date]],22))=0,"",INDEX(tBatches[[Closing Date]],22)))</f>
        <v/>
      </c>
      <c r="G26" s="39">
        <f>IF($A26="","",INDEX(tBatches[[Age (days)]],22))</f>
        <v/>
      </c>
      <c r="H26" s="39">
        <f>IF($A26="","",N(INDEX(tBatches[[Initial Quantity]],22)))</f>
        <v/>
      </c>
      <c r="I26" s="39">
        <f>IF($A26="","",INDEX(tBatches[[Transfers In / Added]],22))</f>
        <v/>
      </c>
      <c r="J26" s="39">
        <f>IF($A26="","",INDEX(tBatches[[Deaths]],22))</f>
        <v/>
      </c>
      <c r="K26" s="39">
        <f>IF($A26="","",INDEX(tBatches[[Heads Sold]],22))</f>
        <v/>
      </c>
      <c r="L26" s="39">
        <f>IF($A26="","",INDEX(tBatches[[Transfers Out]],22))</f>
        <v/>
      </c>
      <c r="M26" s="39">
        <f>IF($A26="","",INDEX(tBatches[[Current Quantity]],22))</f>
        <v/>
      </c>
      <c r="N26" s="40">
        <f>IF($A26="","",IFERROR(J26/(H26+I26),0))</f>
        <v/>
      </c>
      <c r="O26" s="28">
        <f>IF($A26="","",SUMIFS(tFeedIss[[Quantity Issued in kg]],tFeedIss[[Batch ID]],$A26))</f>
        <v/>
      </c>
      <c r="P26" s="29">
        <f>IF($A26="","",SUMIFS(tFeedIss[[Total Cost]],tFeedIss[[Batch ID]],$A26))</f>
        <v/>
      </c>
      <c r="Q26" s="29">
        <f>IF($A26="","",SUMIFS(tDrugUse[[Total Cost]],tDrugUse[[Batch ID]],$A26))</f>
        <v/>
      </c>
      <c r="R26" s="29">
        <f>IF($A26="","",SUMIFS(tExp[[Amount]],tExp[[Batch ID (if applicable)]],$A26))</f>
        <v/>
      </c>
      <c r="S26" s="41">
        <f>IF($A26="","",P26+Q26+R26)</f>
        <v/>
      </c>
      <c r="T26" s="41">
        <f>IF($A26="","",SUMIFS(tSales[[Total Revenue]],tSales[[Batch ID]],$A26))</f>
        <v/>
      </c>
      <c r="U26" s="41">
        <f>IF($A26="","",T26-S26)</f>
        <v/>
      </c>
      <c r="V26" s="29">
        <f>IF($A26="","",IFERROR(S26/(H26+I26),""))</f>
        <v/>
      </c>
      <c r="W26" s="29">
        <f>IF($A26="","",IF(K26=0,"",T26/K26))</f>
        <v/>
      </c>
      <c r="X26" s="42">
        <f>IF($A26="","",IFERROR(O26/(H26+I26),""))</f>
        <v/>
      </c>
      <c r="Y26" s="43">
        <f>IF($A26="","",IF(_xlfn.MAXIFS(tProd[[Date]],tProd[[Batch ID]],$A26,tProd[[Measurement Type]],"Weighing")=0,"",IFERROR(AVERAGEIFS(tProd[[Average Weight kg]],tProd[[Batch ID]],$A26,tProd[[Measurement Type]],"Weighing",tProd[[Date]],_xlfn.MAXIFS(tProd[[Date]],tProd[[Batch ID]],$A26,tProd[[Measurement Type]],"Weighing")),"")))</f>
        <v/>
      </c>
    </row>
    <row r="27">
      <c r="A27" s="27">
        <f>IFERROR(INDEX(tBatches[[Batch ID]],23)&amp;"","")</f>
        <v/>
      </c>
      <c r="B27" s="36">
        <f>IF($A27="","",INDEX(tBatches[[Pen ID]],23)&amp;"")</f>
        <v/>
      </c>
      <c r="C27" s="36">
        <f>IF($A27="","",INDEX(tBatches[[Animal Type]],23)&amp;"")</f>
        <v/>
      </c>
      <c r="D27" s="31">
        <f>IF($A27="","",INDEX(tBatches[[Batch Start Date]],23))</f>
        <v/>
      </c>
      <c r="E27" s="36">
        <f>IF($A27="","",INDEX(tBatches[[Status]],23)&amp;"")</f>
        <v/>
      </c>
      <c r="F27" s="31">
        <f>IF($A27="","",IF(N(INDEX(tBatches[[Closing Date]],23))=0,"",INDEX(tBatches[[Closing Date]],23)))</f>
        <v/>
      </c>
      <c r="G27" s="39">
        <f>IF($A27="","",INDEX(tBatches[[Age (days)]],23))</f>
        <v/>
      </c>
      <c r="H27" s="39">
        <f>IF($A27="","",N(INDEX(tBatches[[Initial Quantity]],23)))</f>
        <v/>
      </c>
      <c r="I27" s="39">
        <f>IF($A27="","",INDEX(tBatches[[Transfers In / Added]],23))</f>
        <v/>
      </c>
      <c r="J27" s="39">
        <f>IF($A27="","",INDEX(tBatches[[Deaths]],23))</f>
        <v/>
      </c>
      <c r="K27" s="39">
        <f>IF($A27="","",INDEX(tBatches[[Heads Sold]],23))</f>
        <v/>
      </c>
      <c r="L27" s="39">
        <f>IF($A27="","",INDEX(tBatches[[Transfers Out]],23))</f>
        <v/>
      </c>
      <c r="M27" s="39">
        <f>IF($A27="","",INDEX(tBatches[[Current Quantity]],23))</f>
        <v/>
      </c>
      <c r="N27" s="40">
        <f>IF($A27="","",IFERROR(J27/(H27+I27),0))</f>
        <v/>
      </c>
      <c r="O27" s="28">
        <f>IF($A27="","",SUMIFS(tFeedIss[[Quantity Issued in kg]],tFeedIss[[Batch ID]],$A27))</f>
        <v/>
      </c>
      <c r="P27" s="29">
        <f>IF($A27="","",SUMIFS(tFeedIss[[Total Cost]],tFeedIss[[Batch ID]],$A27))</f>
        <v/>
      </c>
      <c r="Q27" s="29">
        <f>IF($A27="","",SUMIFS(tDrugUse[[Total Cost]],tDrugUse[[Batch ID]],$A27))</f>
        <v/>
      </c>
      <c r="R27" s="29">
        <f>IF($A27="","",SUMIFS(tExp[[Amount]],tExp[[Batch ID (if applicable)]],$A27))</f>
        <v/>
      </c>
      <c r="S27" s="41">
        <f>IF($A27="","",P27+Q27+R27)</f>
        <v/>
      </c>
      <c r="T27" s="41">
        <f>IF($A27="","",SUMIFS(tSales[[Total Revenue]],tSales[[Batch ID]],$A27))</f>
        <v/>
      </c>
      <c r="U27" s="41">
        <f>IF($A27="","",T27-S27)</f>
        <v/>
      </c>
      <c r="V27" s="29">
        <f>IF($A27="","",IFERROR(S27/(H27+I27),""))</f>
        <v/>
      </c>
      <c r="W27" s="29">
        <f>IF($A27="","",IF(K27=0,"",T27/K27))</f>
        <v/>
      </c>
      <c r="X27" s="42">
        <f>IF($A27="","",IFERROR(O27/(H27+I27),""))</f>
        <v/>
      </c>
      <c r="Y27" s="43">
        <f>IF($A27="","",IF(_xlfn.MAXIFS(tProd[[Date]],tProd[[Batch ID]],$A27,tProd[[Measurement Type]],"Weighing")=0,"",IFERROR(AVERAGEIFS(tProd[[Average Weight kg]],tProd[[Batch ID]],$A27,tProd[[Measurement Type]],"Weighing",tProd[[Date]],_xlfn.MAXIFS(tProd[[Date]],tProd[[Batch ID]],$A27,tProd[[Measurement Type]],"Weighing")),"")))</f>
        <v/>
      </c>
    </row>
    <row r="28">
      <c r="A28" s="27">
        <f>IFERROR(INDEX(tBatches[[Batch ID]],24)&amp;"","")</f>
        <v/>
      </c>
      <c r="B28" s="36">
        <f>IF($A28="","",INDEX(tBatches[[Pen ID]],24)&amp;"")</f>
        <v/>
      </c>
      <c r="C28" s="36">
        <f>IF($A28="","",INDEX(tBatches[[Animal Type]],24)&amp;"")</f>
        <v/>
      </c>
      <c r="D28" s="31">
        <f>IF($A28="","",INDEX(tBatches[[Batch Start Date]],24))</f>
        <v/>
      </c>
      <c r="E28" s="36">
        <f>IF($A28="","",INDEX(tBatches[[Status]],24)&amp;"")</f>
        <v/>
      </c>
      <c r="F28" s="31">
        <f>IF($A28="","",IF(N(INDEX(tBatches[[Closing Date]],24))=0,"",INDEX(tBatches[[Closing Date]],24)))</f>
        <v/>
      </c>
      <c r="G28" s="39">
        <f>IF($A28="","",INDEX(tBatches[[Age (days)]],24))</f>
        <v/>
      </c>
      <c r="H28" s="39">
        <f>IF($A28="","",N(INDEX(tBatches[[Initial Quantity]],24)))</f>
        <v/>
      </c>
      <c r="I28" s="39">
        <f>IF($A28="","",INDEX(tBatches[[Transfers In / Added]],24))</f>
        <v/>
      </c>
      <c r="J28" s="39">
        <f>IF($A28="","",INDEX(tBatches[[Deaths]],24))</f>
        <v/>
      </c>
      <c r="K28" s="39">
        <f>IF($A28="","",INDEX(tBatches[[Heads Sold]],24))</f>
        <v/>
      </c>
      <c r="L28" s="39">
        <f>IF($A28="","",INDEX(tBatches[[Transfers Out]],24))</f>
        <v/>
      </c>
      <c r="M28" s="39">
        <f>IF($A28="","",INDEX(tBatches[[Current Quantity]],24))</f>
        <v/>
      </c>
      <c r="N28" s="40">
        <f>IF($A28="","",IFERROR(J28/(H28+I28),0))</f>
        <v/>
      </c>
      <c r="O28" s="28">
        <f>IF($A28="","",SUMIFS(tFeedIss[[Quantity Issued in kg]],tFeedIss[[Batch ID]],$A28))</f>
        <v/>
      </c>
      <c r="P28" s="29">
        <f>IF($A28="","",SUMIFS(tFeedIss[[Total Cost]],tFeedIss[[Batch ID]],$A28))</f>
        <v/>
      </c>
      <c r="Q28" s="29">
        <f>IF($A28="","",SUMIFS(tDrugUse[[Total Cost]],tDrugUse[[Batch ID]],$A28))</f>
        <v/>
      </c>
      <c r="R28" s="29">
        <f>IF($A28="","",SUMIFS(tExp[[Amount]],tExp[[Batch ID (if applicable)]],$A28))</f>
        <v/>
      </c>
      <c r="S28" s="41">
        <f>IF($A28="","",P28+Q28+R28)</f>
        <v/>
      </c>
      <c r="T28" s="41">
        <f>IF($A28="","",SUMIFS(tSales[[Total Revenue]],tSales[[Batch ID]],$A28))</f>
        <v/>
      </c>
      <c r="U28" s="41">
        <f>IF($A28="","",T28-S28)</f>
        <v/>
      </c>
      <c r="V28" s="29">
        <f>IF($A28="","",IFERROR(S28/(H28+I28),""))</f>
        <v/>
      </c>
      <c r="W28" s="29">
        <f>IF($A28="","",IF(K28=0,"",T28/K28))</f>
        <v/>
      </c>
      <c r="X28" s="42">
        <f>IF($A28="","",IFERROR(O28/(H28+I28),""))</f>
        <v/>
      </c>
      <c r="Y28" s="43">
        <f>IF($A28="","",IF(_xlfn.MAXIFS(tProd[[Date]],tProd[[Batch ID]],$A28,tProd[[Measurement Type]],"Weighing")=0,"",IFERROR(AVERAGEIFS(tProd[[Average Weight kg]],tProd[[Batch ID]],$A28,tProd[[Measurement Type]],"Weighing",tProd[[Date]],_xlfn.MAXIFS(tProd[[Date]],tProd[[Batch ID]],$A28,tProd[[Measurement Type]],"Weighing")),"")))</f>
        <v/>
      </c>
    </row>
    <row r="29">
      <c r="A29" s="27">
        <f>IFERROR(INDEX(tBatches[[Batch ID]],25)&amp;"","")</f>
        <v/>
      </c>
      <c r="B29" s="36">
        <f>IF($A29="","",INDEX(tBatches[[Pen ID]],25)&amp;"")</f>
        <v/>
      </c>
      <c r="C29" s="36">
        <f>IF($A29="","",INDEX(tBatches[[Animal Type]],25)&amp;"")</f>
        <v/>
      </c>
      <c r="D29" s="31">
        <f>IF($A29="","",INDEX(tBatches[[Batch Start Date]],25))</f>
        <v/>
      </c>
      <c r="E29" s="36">
        <f>IF($A29="","",INDEX(tBatches[[Status]],25)&amp;"")</f>
        <v/>
      </c>
      <c r="F29" s="31">
        <f>IF($A29="","",IF(N(INDEX(tBatches[[Closing Date]],25))=0,"",INDEX(tBatches[[Closing Date]],25)))</f>
        <v/>
      </c>
      <c r="G29" s="39">
        <f>IF($A29="","",INDEX(tBatches[[Age (days)]],25))</f>
        <v/>
      </c>
      <c r="H29" s="39">
        <f>IF($A29="","",N(INDEX(tBatches[[Initial Quantity]],25)))</f>
        <v/>
      </c>
      <c r="I29" s="39">
        <f>IF($A29="","",INDEX(tBatches[[Transfers In / Added]],25))</f>
        <v/>
      </c>
      <c r="J29" s="39">
        <f>IF($A29="","",INDEX(tBatches[[Deaths]],25))</f>
        <v/>
      </c>
      <c r="K29" s="39">
        <f>IF($A29="","",INDEX(tBatches[[Heads Sold]],25))</f>
        <v/>
      </c>
      <c r="L29" s="39">
        <f>IF($A29="","",INDEX(tBatches[[Transfers Out]],25))</f>
        <v/>
      </c>
      <c r="M29" s="39">
        <f>IF($A29="","",INDEX(tBatches[[Current Quantity]],25))</f>
        <v/>
      </c>
      <c r="N29" s="40">
        <f>IF($A29="","",IFERROR(J29/(H29+I29),0))</f>
        <v/>
      </c>
      <c r="O29" s="28">
        <f>IF($A29="","",SUMIFS(tFeedIss[[Quantity Issued in kg]],tFeedIss[[Batch ID]],$A29))</f>
        <v/>
      </c>
      <c r="P29" s="29">
        <f>IF($A29="","",SUMIFS(tFeedIss[[Total Cost]],tFeedIss[[Batch ID]],$A29))</f>
        <v/>
      </c>
      <c r="Q29" s="29">
        <f>IF($A29="","",SUMIFS(tDrugUse[[Total Cost]],tDrugUse[[Batch ID]],$A29))</f>
        <v/>
      </c>
      <c r="R29" s="29">
        <f>IF($A29="","",SUMIFS(tExp[[Amount]],tExp[[Batch ID (if applicable)]],$A29))</f>
        <v/>
      </c>
      <c r="S29" s="41">
        <f>IF($A29="","",P29+Q29+R29)</f>
        <v/>
      </c>
      <c r="T29" s="41">
        <f>IF($A29="","",SUMIFS(tSales[[Total Revenue]],tSales[[Batch ID]],$A29))</f>
        <v/>
      </c>
      <c r="U29" s="41">
        <f>IF($A29="","",T29-S29)</f>
        <v/>
      </c>
      <c r="V29" s="29">
        <f>IF($A29="","",IFERROR(S29/(H29+I29),""))</f>
        <v/>
      </c>
      <c r="W29" s="29">
        <f>IF($A29="","",IF(K29=0,"",T29/K29))</f>
        <v/>
      </c>
      <c r="X29" s="42">
        <f>IF($A29="","",IFERROR(O29/(H29+I29),""))</f>
        <v/>
      </c>
      <c r="Y29" s="43">
        <f>IF($A29="","",IF(_xlfn.MAXIFS(tProd[[Date]],tProd[[Batch ID]],$A29,tProd[[Measurement Type]],"Weighing")=0,"",IFERROR(AVERAGEIFS(tProd[[Average Weight kg]],tProd[[Batch ID]],$A29,tProd[[Measurement Type]],"Weighing",tProd[[Date]],_xlfn.MAXIFS(tProd[[Date]],tProd[[Batch ID]],$A29,tProd[[Measurement Type]],"Weighing")),"")))</f>
        <v/>
      </c>
    </row>
    <row r="30">
      <c r="A30" s="27">
        <f>IFERROR(INDEX(tBatches[[Batch ID]],26)&amp;"","")</f>
        <v/>
      </c>
      <c r="B30" s="36">
        <f>IF($A30="","",INDEX(tBatches[[Pen ID]],26)&amp;"")</f>
        <v/>
      </c>
      <c r="C30" s="36">
        <f>IF($A30="","",INDEX(tBatches[[Animal Type]],26)&amp;"")</f>
        <v/>
      </c>
      <c r="D30" s="31">
        <f>IF($A30="","",INDEX(tBatches[[Batch Start Date]],26))</f>
        <v/>
      </c>
      <c r="E30" s="36">
        <f>IF($A30="","",INDEX(tBatches[[Status]],26)&amp;"")</f>
        <v/>
      </c>
      <c r="F30" s="31">
        <f>IF($A30="","",IF(N(INDEX(tBatches[[Closing Date]],26))=0,"",INDEX(tBatches[[Closing Date]],26)))</f>
        <v/>
      </c>
      <c r="G30" s="39">
        <f>IF($A30="","",INDEX(tBatches[[Age (days)]],26))</f>
        <v/>
      </c>
      <c r="H30" s="39">
        <f>IF($A30="","",N(INDEX(tBatches[[Initial Quantity]],26)))</f>
        <v/>
      </c>
      <c r="I30" s="39">
        <f>IF($A30="","",INDEX(tBatches[[Transfers In / Added]],26))</f>
        <v/>
      </c>
      <c r="J30" s="39">
        <f>IF($A30="","",INDEX(tBatches[[Deaths]],26))</f>
        <v/>
      </c>
      <c r="K30" s="39">
        <f>IF($A30="","",INDEX(tBatches[[Heads Sold]],26))</f>
        <v/>
      </c>
      <c r="L30" s="39">
        <f>IF($A30="","",INDEX(tBatches[[Transfers Out]],26))</f>
        <v/>
      </c>
      <c r="M30" s="39">
        <f>IF($A30="","",INDEX(tBatches[[Current Quantity]],26))</f>
        <v/>
      </c>
      <c r="N30" s="40">
        <f>IF($A30="","",IFERROR(J30/(H30+I30),0))</f>
        <v/>
      </c>
      <c r="O30" s="28">
        <f>IF($A30="","",SUMIFS(tFeedIss[[Quantity Issued in kg]],tFeedIss[[Batch ID]],$A30))</f>
        <v/>
      </c>
      <c r="P30" s="29">
        <f>IF($A30="","",SUMIFS(tFeedIss[[Total Cost]],tFeedIss[[Batch ID]],$A30))</f>
        <v/>
      </c>
      <c r="Q30" s="29">
        <f>IF($A30="","",SUMIFS(tDrugUse[[Total Cost]],tDrugUse[[Batch ID]],$A30))</f>
        <v/>
      </c>
      <c r="R30" s="29">
        <f>IF($A30="","",SUMIFS(tExp[[Amount]],tExp[[Batch ID (if applicable)]],$A30))</f>
        <v/>
      </c>
      <c r="S30" s="41">
        <f>IF($A30="","",P30+Q30+R30)</f>
        <v/>
      </c>
      <c r="T30" s="41">
        <f>IF($A30="","",SUMIFS(tSales[[Total Revenue]],tSales[[Batch ID]],$A30))</f>
        <v/>
      </c>
      <c r="U30" s="41">
        <f>IF($A30="","",T30-S30)</f>
        <v/>
      </c>
      <c r="V30" s="29">
        <f>IF($A30="","",IFERROR(S30/(H30+I30),""))</f>
        <v/>
      </c>
      <c r="W30" s="29">
        <f>IF($A30="","",IF(K30=0,"",T30/K30))</f>
        <v/>
      </c>
      <c r="X30" s="42">
        <f>IF($A30="","",IFERROR(O30/(H30+I30),""))</f>
        <v/>
      </c>
      <c r="Y30" s="43">
        <f>IF($A30="","",IF(_xlfn.MAXIFS(tProd[[Date]],tProd[[Batch ID]],$A30,tProd[[Measurement Type]],"Weighing")=0,"",IFERROR(AVERAGEIFS(tProd[[Average Weight kg]],tProd[[Batch ID]],$A30,tProd[[Measurement Type]],"Weighing",tProd[[Date]],_xlfn.MAXIFS(tProd[[Date]],tProd[[Batch ID]],$A30,tProd[[Measurement Type]],"Weighing")),"")))</f>
        <v/>
      </c>
    </row>
    <row r="31">
      <c r="A31" s="27">
        <f>IFERROR(INDEX(tBatches[[Batch ID]],27)&amp;"","")</f>
        <v/>
      </c>
      <c r="B31" s="36">
        <f>IF($A31="","",INDEX(tBatches[[Pen ID]],27)&amp;"")</f>
        <v/>
      </c>
      <c r="C31" s="36">
        <f>IF($A31="","",INDEX(tBatches[[Animal Type]],27)&amp;"")</f>
        <v/>
      </c>
      <c r="D31" s="31">
        <f>IF($A31="","",INDEX(tBatches[[Batch Start Date]],27))</f>
        <v/>
      </c>
      <c r="E31" s="36">
        <f>IF($A31="","",INDEX(tBatches[[Status]],27)&amp;"")</f>
        <v/>
      </c>
      <c r="F31" s="31">
        <f>IF($A31="","",IF(N(INDEX(tBatches[[Closing Date]],27))=0,"",INDEX(tBatches[[Closing Date]],27)))</f>
        <v/>
      </c>
      <c r="G31" s="39">
        <f>IF($A31="","",INDEX(tBatches[[Age (days)]],27))</f>
        <v/>
      </c>
      <c r="H31" s="39">
        <f>IF($A31="","",N(INDEX(tBatches[[Initial Quantity]],27)))</f>
        <v/>
      </c>
      <c r="I31" s="39">
        <f>IF($A31="","",INDEX(tBatches[[Transfers In / Added]],27))</f>
        <v/>
      </c>
      <c r="J31" s="39">
        <f>IF($A31="","",INDEX(tBatches[[Deaths]],27))</f>
        <v/>
      </c>
      <c r="K31" s="39">
        <f>IF($A31="","",INDEX(tBatches[[Heads Sold]],27))</f>
        <v/>
      </c>
      <c r="L31" s="39">
        <f>IF($A31="","",INDEX(tBatches[[Transfers Out]],27))</f>
        <v/>
      </c>
      <c r="M31" s="39">
        <f>IF($A31="","",INDEX(tBatches[[Current Quantity]],27))</f>
        <v/>
      </c>
      <c r="N31" s="40">
        <f>IF($A31="","",IFERROR(J31/(H31+I31),0))</f>
        <v/>
      </c>
      <c r="O31" s="28">
        <f>IF($A31="","",SUMIFS(tFeedIss[[Quantity Issued in kg]],tFeedIss[[Batch ID]],$A31))</f>
        <v/>
      </c>
      <c r="P31" s="29">
        <f>IF($A31="","",SUMIFS(tFeedIss[[Total Cost]],tFeedIss[[Batch ID]],$A31))</f>
        <v/>
      </c>
      <c r="Q31" s="29">
        <f>IF($A31="","",SUMIFS(tDrugUse[[Total Cost]],tDrugUse[[Batch ID]],$A31))</f>
        <v/>
      </c>
      <c r="R31" s="29">
        <f>IF($A31="","",SUMIFS(tExp[[Amount]],tExp[[Batch ID (if applicable)]],$A31))</f>
        <v/>
      </c>
      <c r="S31" s="41">
        <f>IF($A31="","",P31+Q31+R31)</f>
        <v/>
      </c>
      <c r="T31" s="41">
        <f>IF($A31="","",SUMIFS(tSales[[Total Revenue]],tSales[[Batch ID]],$A31))</f>
        <v/>
      </c>
      <c r="U31" s="41">
        <f>IF($A31="","",T31-S31)</f>
        <v/>
      </c>
      <c r="V31" s="29">
        <f>IF($A31="","",IFERROR(S31/(H31+I31),""))</f>
        <v/>
      </c>
      <c r="W31" s="29">
        <f>IF($A31="","",IF(K31=0,"",T31/K31))</f>
        <v/>
      </c>
      <c r="X31" s="42">
        <f>IF($A31="","",IFERROR(O31/(H31+I31),""))</f>
        <v/>
      </c>
      <c r="Y31" s="43">
        <f>IF($A31="","",IF(_xlfn.MAXIFS(tProd[[Date]],tProd[[Batch ID]],$A31,tProd[[Measurement Type]],"Weighing")=0,"",IFERROR(AVERAGEIFS(tProd[[Average Weight kg]],tProd[[Batch ID]],$A31,tProd[[Measurement Type]],"Weighing",tProd[[Date]],_xlfn.MAXIFS(tProd[[Date]],tProd[[Batch ID]],$A31,tProd[[Measurement Type]],"Weighing")),"")))</f>
        <v/>
      </c>
    </row>
    <row r="32">
      <c r="A32" s="27">
        <f>IFERROR(INDEX(tBatches[[Batch ID]],28)&amp;"","")</f>
        <v/>
      </c>
      <c r="B32" s="36">
        <f>IF($A32="","",INDEX(tBatches[[Pen ID]],28)&amp;"")</f>
        <v/>
      </c>
      <c r="C32" s="36">
        <f>IF($A32="","",INDEX(tBatches[[Animal Type]],28)&amp;"")</f>
        <v/>
      </c>
      <c r="D32" s="31">
        <f>IF($A32="","",INDEX(tBatches[[Batch Start Date]],28))</f>
        <v/>
      </c>
      <c r="E32" s="36">
        <f>IF($A32="","",INDEX(tBatches[[Status]],28)&amp;"")</f>
        <v/>
      </c>
      <c r="F32" s="31">
        <f>IF($A32="","",IF(N(INDEX(tBatches[[Closing Date]],28))=0,"",INDEX(tBatches[[Closing Date]],28)))</f>
        <v/>
      </c>
      <c r="G32" s="39">
        <f>IF($A32="","",INDEX(tBatches[[Age (days)]],28))</f>
        <v/>
      </c>
      <c r="H32" s="39">
        <f>IF($A32="","",N(INDEX(tBatches[[Initial Quantity]],28)))</f>
        <v/>
      </c>
      <c r="I32" s="39">
        <f>IF($A32="","",INDEX(tBatches[[Transfers In / Added]],28))</f>
        <v/>
      </c>
      <c r="J32" s="39">
        <f>IF($A32="","",INDEX(tBatches[[Deaths]],28))</f>
        <v/>
      </c>
      <c r="K32" s="39">
        <f>IF($A32="","",INDEX(tBatches[[Heads Sold]],28))</f>
        <v/>
      </c>
      <c r="L32" s="39">
        <f>IF($A32="","",INDEX(tBatches[[Transfers Out]],28))</f>
        <v/>
      </c>
      <c r="M32" s="39">
        <f>IF($A32="","",INDEX(tBatches[[Current Quantity]],28))</f>
        <v/>
      </c>
      <c r="N32" s="40">
        <f>IF($A32="","",IFERROR(J32/(H32+I32),0))</f>
        <v/>
      </c>
      <c r="O32" s="28">
        <f>IF($A32="","",SUMIFS(tFeedIss[[Quantity Issued in kg]],tFeedIss[[Batch ID]],$A32))</f>
        <v/>
      </c>
      <c r="P32" s="29">
        <f>IF($A32="","",SUMIFS(tFeedIss[[Total Cost]],tFeedIss[[Batch ID]],$A32))</f>
        <v/>
      </c>
      <c r="Q32" s="29">
        <f>IF($A32="","",SUMIFS(tDrugUse[[Total Cost]],tDrugUse[[Batch ID]],$A32))</f>
        <v/>
      </c>
      <c r="R32" s="29">
        <f>IF($A32="","",SUMIFS(tExp[[Amount]],tExp[[Batch ID (if applicable)]],$A32))</f>
        <v/>
      </c>
      <c r="S32" s="41">
        <f>IF($A32="","",P32+Q32+R32)</f>
        <v/>
      </c>
      <c r="T32" s="41">
        <f>IF($A32="","",SUMIFS(tSales[[Total Revenue]],tSales[[Batch ID]],$A32))</f>
        <v/>
      </c>
      <c r="U32" s="41">
        <f>IF($A32="","",T32-S32)</f>
        <v/>
      </c>
      <c r="V32" s="29">
        <f>IF($A32="","",IFERROR(S32/(H32+I32),""))</f>
        <v/>
      </c>
      <c r="W32" s="29">
        <f>IF($A32="","",IF(K32=0,"",T32/K32))</f>
        <v/>
      </c>
      <c r="X32" s="42">
        <f>IF($A32="","",IFERROR(O32/(H32+I32),""))</f>
        <v/>
      </c>
      <c r="Y32" s="43">
        <f>IF($A32="","",IF(_xlfn.MAXIFS(tProd[[Date]],tProd[[Batch ID]],$A32,tProd[[Measurement Type]],"Weighing")=0,"",IFERROR(AVERAGEIFS(tProd[[Average Weight kg]],tProd[[Batch ID]],$A32,tProd[[Measurement Type]],"Weighing",tProd[[Date]],_xlfn.MAXIFS(tProd[[Date]],tProd[[Batch ID]],$A32,tProd[[Measurement Type]],"Weighing")),"")))</f>
        <v/>
      </c>
    </row>
    <row r="33">
      <c r="A33" s="27">
        <f>IFERROR(INDEX(tBatches[[Batch ID]],29)&amp;"","")</f>
        <v/>
      </c>
      <c r="B33" s="36">
        <f>IF($A33="","",INDEX(tBatches[[Pen ID]],29)&amp;"")</f>
        <v/>
      </c>
      <c r="C33" s="36">
        <f>IF($A33="","",INDEX(tBatches[[Animal Type]],29)&amp;"")</f>
        <v/>
      </c>
      <c r="D33" s="31">
        <f>IF($A33="","",INDEX(tBatches[[Batch Start Date]],29))</f>
        <v/>
      </c>
      <c r="E33" s="36">
        <f>IF($A33="","",INDEX(tBatches[[Status]],29)&amp;"")</f>
        <v/>
      </c>
      <c r="F33" s="31">
        <f>IF($A33="","",IF(N(INDEX(tBatches[[Closing Date]],29))=0,"",INDEX(tBatches[[Closing Date]],29)))</f>
        <v/>
      </c>
      <c r="G33" s="39">
        <f>IF($A33="","",INDEX(tBatches[[Age (days)]],29))</f>
        <v/>
      </c>
      <c r="H33" s="39">
        <f>IF($A33="","",N(INDEX(tBatches[[Initial Quantity]],29)))</f>
        <v/>
      </c>
      <c r="I33" s="39">
        <f>IF($A33="","",INDEX(tBatches[[Transfers In / Added]],29))</f>
        <v/>
      </c>
      <c r="J33" s="39">
        <f>IF($A33="","",INDEX(tBatches[[Deaths]],29))</f>
        <v/>
      </c>
      <c r="K33" s="39">
        <f>IF($A33="","",INDEX(tBatches[[Heads Sold]],29))</f>
        <v/>
      </c>
      <c r="L33" s="39">
        <f>IF($A33="","",INDEX(tBatches[[Transfers Out]],29))</f>
        <v/>
      </c>
      <c r="M33" s="39">
        <f>IF($A33="","",INDEX(tBatches[[Current Quantity]],29))</f>
        <v/>
      </c>
      <c r="N33" s="40">
        <f>IF($A33="","",IFERROR(J33/(H33+I33),0))</f>
        <v/>
      </c>
      <c r="O33" s="28">
        <f>IF($A33="","",SUMIFS(tFeedIss[[Quantity Issued in kg]],tFeedIss[[Batch ID]],$A33))</f>
        <v/>
      </c>
      <c r="P33" s="29">
        <f>IF($A33="","",SUMIFS(tFeedIss[[Total Cost]],tFeedIss[[Batch ID]],$A33))</f>
        <v/>
      </c>
      <c r="Q33" s="29">
        <f>IF($A33="","",SUMIFS(tDrugUse[[Total Cost]],tDrugUse[[Batch ID]],$A33))</f>
        <v/>
      </c>
      <c r="R33" s="29">
        <f>IF($A33="","",SUMIFS(tExp[[Amount]],tExp[[Batch ID (if applicable)]],$A33))</f>
        <v/>
      </c>
      <c r="S33" s="41">
        <f>IF($A33="","",P33+Q33+R33)</f>
        <v/>
      </c>
      <c r="T33" s="41">
        <f>IF($A33="","",SUMIFS(tSales[[Total Revenue]],tSales[[Batch ID]],$A33))</f>
        <v/>
      </c>
      <c r="U33" s="41">
        <f>IF($A33="","",T33-S33)</f>
        <v/>
      </c>
      <c r="V33" s="29">
        <f>IF($A33="","",IFERROR(S33/(H33+I33),""))</f>
        <v/>
      </c>
      <c r="W33" s="29">
        <f>IF($A33="","",IF(K33=0,"",T33/K33))</f>
        <v/>
      </c>
      <c r="X33" s="42">
        <f>IF($A33="","",IFERROR(O33/(H33+I33),""))</f>
        <v/>
      </c>
      <c r="Y33" s="43">
        <f>IF($A33="","",IF(_xlfn.MAXIFS(tProd[[Date]],tProd[[Batch ID]],$A33,tProd[[Measurement Type]],"Weighing")=0,"",IFERROR(AVERAGEIFS(tProd[[Average Weight kg]],tProd[[Batch ID]],$A33,tProd[[Measurement Type]],"Weighing",tProd[[Date]],_xlfn.MAXIFS(tProd[[Date]],tProd[[Batch ID]],$A33,tProd[[Measurement Type]],"Weighing")),"")))</f>
        <v/>
      </c>
    </row>
    <row r="34">
      <c r="A34" s="27">
        <f>IFERROR(INDEX(tBatches[[Batch ID]],30)&amp;"","")</f>
        <v/>
      </c>
      <c r="B34" s="36">
        <f>IF($A34="","",INDEX(tBatches[[Pen ID]],30)&amp;"")</f>
        <v/>
      </c>
      <c r="C34" s="36">
        <f>IF($A34="","",INDEX(tBatches[[Animal Type]],30)&amp;"")</f>
        <v/>
      </c>
      <c r="D34" s="31">
        <f>IF($A34="","",INDEX(tBatches[[Batch Start Date]],30))</f>
        <v/>
      </c>
      <c r="E34" s="36">
        <f>IF($A34="","",INDEX(tBatches[[Status]],30)&amp;"")</f>
        <v/>
      </c>
      <c r="F34" s="31">
        <f>IF($A34="","",IF(N(INDEX(tBatches[[Closing Date]],30))=0,"",INDEX(tBatches[[Closing Date]],30)))</f>
        <v/>
      </c>
      <c r="G34" s="39">
        <f>IF($A34="","",INDEX(tBatches[[Age (days)]],30))</f>
        <v/>
      </c>
      <c r="H34" s="39">
        <f>IF($A34="","",N(INDEX(tBatches[[Initial Quantity]],30)))</f>
        <v/>
      </c>
      <c r="I34" s="39">
        <f>IF($A34="","",INDEX(tBatches[[Transfers In / Added]],30))</f>
        <v/>
      </c>
      <c r="J34" s="39">
        <f>IF($A34="","",INDEX(tBatches[[Deaths]],30))</f>
        <v/>
      </c>
      <c r="K34" s="39">
        <f>IF($A34="","",INDEX(tBatches[[Heads Sold]],30))</f>
        <v/>
      </c>
      <c r="L34" s="39">
        <f>IF($A34="","",INDEX(tBatches[[Transfers Out]],30))</f>
        <v/>
      </c>
      <c r="M34" s="39">
        <f>IF($A34="","",INDEX(tBatches[[Current Quantity]],30))</f>
        <v/>
      </c>
      <c r="N34" s="40">
        <f>IF($A34="","",IFERROR(J34/(H34+I34),0))</f>
        <v/>
      </c>
      <c r="O34" s="28">
        <f>IF($A34="","",SUMIFS(tFeedIss[[Quantity Issued in kg]],tFeedIss[[Batch ID]],$A34))</f>
        <v/>
      </c>
      <c r="P34" s="29">
        <f>IF($A34="","",SUMIFS(tFeedIss[[Total Cost]],tFeedIss[[Batch ID]],$A34))</f>
        <v/>
      </c>
      <c r="Q34" s="29">
        <f>IF($A34="","",SUMIFS(tDrugUse[[Total Cost]],tDrugUse[[Batch ID]],$A34))</f>
        <v/>
      </c>
      <c r="R34" s="29">
        <f>IF($A34="","",SUMIFS(tExp[[Amount]],tExp[[Batch ID (if applicable)]],$A34))</f>
        <v/>
      </c>
      <c r="S34" s="41">
        <f>IF($A34="","",P34+Q34+R34)</f>
        <v/>
      </c>
      <c r="T34" s="41">
        <f>IF($A34="","",SUMIFS(tSales[[Total Revenue]],tSales[[Batch ID]],$A34))</f>
        <v/>
      </c>
      <c r="U34" s="41">
        <f>IF($A34="","",T34-S34)</f>
        <v/>
      </c>
      <c r="V34" s="29">
        <f>IF($A34="","",IFERROR(S34/(H34+I34),""))</f>
        <v/>
      </c>
      <c r="W34" s="29">
        <f>IF($A34="","",IF(K34=0,"",T34/K34))</f>
        <v/>
      </c>
      <c r="X34" s="42">
        <f>IF($A34="","",IFERROR(O34/(H34+I34),""))</f>
        <v/>
      </c>
      <c r="Y34" s="43">
        <f>IF($A34="","",IF(_xlfn.MAXIFS(tProd[[Date]],tProd[[Batch ID]],$A34,tProd[[Measurement Type]],"Weighing")=0,"",IFERROR(AVERAGEIFS(tProd[[Average Weight kg]],tProd[[Batch ID]],$A34,tProd[[Measurement Type]],"Weighing",tProd[[Date]],_xlfn.MAXIFS(tProd[[Date]],tProd[[Batch ID]],$A34,tProd[[Measurement Type]],"Weighing")),"")))</f>
        <v/>
      </c>
    </row>
    <row r="35">
      <c r="A35" s="27">
        <f>IFERROR(INDEX(tBatches[[Batch ID]],31)&amp;"","")</f>
        <v/>
      </c>
      <c r="B35" s="36">
        <f>IF($A35="","",INDEX(tBatches[[Pen ID]],31)&amp;"")</f>
        <v/>
      </c>
      <c r="C35" s="36">
        <f>IF($A35="","",INDEX(tBatches[[Animal Type]],31)&amp;"")</f>
        <v/>
      </c>
      <c r="D35" s="31">
        <f>IF($A35="","",INDEX(tBatches[[Batch Start Date]],31))</f>
        <v/>
      </c>
      <c r="E35" s="36">
        <f>IF($A35="","",INDEX(tBatches[[Status]],31)&amp;"")</f>
        <v/>
      </c>
      <c r="F35" s="31">
        <f>IF($A35="","",IF(N(INDEX(tBatches[[Closing Date]],31))=0,"",INDEX(tBatches[[Closing Date]],31)))</f>
        <v/>
      </c>
      <c r="G35" s="39">
        <f>IF($A35="","",INDEX(tBatches[[Age (days)]],31))</f>
        <v/>
      </c>
      <c r="H35" s="39">
        <f>IF($A35="","",N(INDEX(tBatches[[Initial Quantity]],31)))</f>
        <v/>
      </c>
      <c r="I35" s="39">
        <f>IF($A35="","",INDEX(tBatches[[Transfers In / Added]],31))</f>
        <v/>
      </c>
      <c r="J35" s="39">
        <f>IF($A35="","",INDEX(tBatches[[Deaths]],31))</f>
        <v/>
      </c>
      <c r="K35" s="39">
        <f>IF($A35="","",INDEX(tBatches[[Heads Sold]],31))</f>
        <v/>
      </c>
      <c r="L35" s="39">
        <f>IF($A35="","",INDEX(tBatches[[Transfers Out]],31))</f>
        <v/>
      </c>
      <c r="M35" s="39">
        <f>IF($A35="","",INDEX(tBatches[[Current Quantity]],31))</f>
        <v/>
      </c>
      <c r="N35" s="40">
        <f>IF($A35="","",IFERROR(J35/(H35+I35),0))</f>
        <v/>
      </c>
      <c r="O35" s="28">
        <f>IF($A35="","",SUMIFS(tFeedIss[[Quantity Issued in kg]],tFeedIss[[Batch ID]],$A35))</f>
        <v/>
      </c>
      <c r="P35" s="29">
        <f>IF($A35="","",SUMIFS(tFeedIss[[Total Cost]],tFeedIss[[Batch ID]],$A35))</f>
        <v/>
      </c>
      <c r="Q35" s="29">
        <f>IF($A35="","",SUMIFS(tDrugUse[[Total Cost]],tDrugUse[[Batch ID]],$A35))</f>
        <v/>
      </c>
      <c r="R35" s="29">
        <f>IF($A35="","",SUMIFS(tExp[[Amount]],tExp[[Batch ID (if applicable)]],$A35))</f>
        <v/>
      </c>
      <c r="S35" s="41">
        <f>IF($A35="","",P35+Q35+R35)</f>
        <v/>
      </c>
      <c r="T35" s="41">
        <f>IF($A35="","",SUMIFS(tSales[[Total Revenue]],tSales[[Batch ID]],$A35))</f>
        <v/>
      </c>
      <c r="U35" s="41">
        <f>IF($A35="","",T35-S35)</f>
        <v/>
      </c>
      <c r="V35" s="29">
        <f>IF($A35="","",IFERROR(S35/(H35+I35),""))</f>
        <v/>
      </c>
      <c r="W35" s="29">
        <f>IF($A35="","",IF(K35=0,"",T35/K35))</f>
        <v/>
      </c>
      <c r="X35" s="42">
        <f>IF($A35="","",IFERROR(O35/(H35+I35),""))</f>
        <v/>
      </c>
      <c r="Y35" s="43">
        <f>IF($A35="","",IF(_xlfn.MAXIFS(tProd[[Date]],tProd[[Batch ID]],$A35,tProd[[Measurement Type]],"Weighing")=0,"",IFERROR(AVERAGEIFS(tProd[[Average Weight kg]],tProd[[Batch ID]],$A35,tProd[[Measurement Type]],"Weighing",tProd[[Date]],_xlfn.MAXIFS(tProd[[Date]],tProd[[Batch ID]],$A35,tProd[[Measurement Type]],"Weighing")),"")))</f>
        <v/>
      </c>
    </row>
    <row r="36">
      <c r="A36" s="27">
        <f>IFERROR(INDEX(tBatches[[Batch ID]],32)&amp;"","")</f>
        <v/>
      </c>
      <c r="B36" s="36">
        <f>IF($A36="","",INDEX(tBatches[[Pen ID]],32)&amp;"")</f>
        <v/>
      </c>
      <c r="C36" s="36">
        <f>IF($A36="","",INDEX(tBatches[[Animal Type]],32)&amp;"")</f>
        <v/>
      </c>
      <c r="D36" s="31">
        <f>IF($A36="","",INDEX(tBatches[[Batch Start Date]],32))</f>
        <v/>
      </c>
      <c r="E36" s="36">
        <f>IF($A36="","",INDEX(tBatches[[Status]],32)&amp;"")</f>
        <v/>
      </c>
      <c r="F36" s="31">
        <f>IF($A36="","",IF(N(INDEX(tBatches[[Closing Date]],32))=0,"",INDEX(tBatches[[Closing Date]],32)))</f>
        <v/>
      </c>
      <c r="G36" s="39">
        <f>IF($A36="","",INDEX(tBatches[[Age (days)]],32))</f>
        <v/>
      </c>
      <c r="H36" s="39">
        <f>IF($A36="","",N(INDEX(tBatches[[Initial Quantity]],32)))</f>
        <v/>
      </c>
      <c r="I36" s="39">
        <f>IF($A36="","",INDEX(tBatches[[Transfers In / Added]],32))</f>
        <v/>
      </c>
      <c r="J36" s="39">
        <f>IF($A36="","",INDEX(tBatches[[Deaths]],32))</f>
        <v/>
      </c>
      <c r="K36" s="39">
        <f>IF($A36="","",INDEX(tBatches[[Heads Sold]],32))</f>
        <v/>
      </c>
      <c r="L36" s="39">
        <f>IF($A36="","",INDEX(tBatches[[Transfers Out]],32))</f>
        <v/>
      </c>
      <c r="M36" s="39">
        <f>IF($A36="","",INDEX(tBatches[[Current Quantity]],32))</f>
        <v/>
      </c>
      <c r="N36" s="40">
        <f>IF($A36="","",IFERROR(J36/(H36+I36),0))</f>
        <v/>
      </c>
      <c r="O36" s="28">
        <f>IF($A36="","",SUMIFS(tFeedIss[[Quantity Issued in kg]],tFeedIss[[Batch ID]],$A36))</f>
        <v/>
      </c>
      <c r="P36" s="29">
        <f>IF($A36="","",SUMIFS(tFeedIss[[Total Cost]],tFeedIss[[Batch ID]],$A36))</f>
        <v/>
      </c>
      <c r="Q36" s="29">
        <f>IF($A36="","",SUMIFS(tDrugUse[[Total Cost]],tDrugUse[[Batch ID]],$A36))</f>
        <v/>
      </c>
      <c r="R36" s="29">
        <f>IF($A36="","",SUMIFS(tExp[[Amount]],tExp[[Batch ID (if applicable)]],$A36))</f>
        <v/>
      </c>
      <c r="S36" s="41">
        <f>IF($A36="","",P36+Q36+R36)</f>
        <v/>
      </c>
      <c r="T36" s="41">
        <f>IF($A36="","",SUMIFS(tSales[[Total Revenue]],tSales[[Batch ID]],$A36))</f>
        <v/>
      </c>
      <c r="U36" s="41">
        <f>IF($A36="","",T36-S36)</f>
        <v/>
      </c>
      <c r="V36" s="29">
        <f>IF($A36="","",IFERROR(S36/(H36+I36),""))</f>
        <v/>
      </c>
      <c r="W36" s="29">
        <f>IF($A36="","",IF(K36=0,"",T36/K36))</f>
        <v/>
      </c>
      <c r="X36" s="42">
        <f>IF($A36="","",IFERROR(O36/(H36+I36),""))</f>
        <v/>
      </c>
      <c r="Y36" s="43">
        <f>IF($A36="","",IF(_xlfn.MAXIFS(tProd[[Date]],tProd[[Batch ID]],$A36,tProd[[Measurement Type]],"Weighing")=0,"",IFERROR(AVERAGEIFS(tProd[[Average Weight kg]],tProd[[Batch ID]],$A36,tProd[[Measurement Type]],"Weighing",tProd[[Date]],_xlfn.MAXIFS(tProd[[Date]],tProd[[Batch ID]],$A36,tProd[[Measurement Type]],"Weighing")),"")))</f>
        <v/>
      </c>
    </row>
    <row r="37">
      <c r="A37" s="27">
        <f>IFERROR(INDEX(tBatches[[Batch ID]],33)&amp;"","")</f>
        <v/>
      </c>
      <c r="B37" s="36">
        <f>IF($A37="","",INDEX(tBatches[[Pen ID]],33)&amp;"")</f>
        <v/>
      </c>
      <c r="C37" s="36">
        <f>IF($A37="","",INDEX(tBatches[[Animal Type]],33)&amp;"")</f>
        <v/>
      </c>
      <c r="D37" s="31">
        <f>IF($A37="","",INDEX(tBatches[[Batch Start Date]],33))</f>
        <v/>
      </c>
      <c r="E37" s="36">
        <f>IF($A37="","",INDEX(tBatches[[Status]],33)&amp;"")</f>
        <v/>
      </c>
      <c r="F37" s="31">
        <f>IF($A37="","",IF(N(INDEX(tBatches[[Closing Date]],33))=0,"",INDEX(tBatches[[Closing Date]],33)))</f>
        <v/>
      </c>
      <c r="G37" s="39">
        <f>IF($A37="","",INDEX(tBatches[[Age (days)]],33))</f>
        <v/>
      </c>
      <c r="H37" s="39">
        <f>IF($A37="","",N(INDEX(tBatches[[Initial Quantity]],33)))</f>
        <v/>
      </c>
      <c r="I37" s="39">
        <f>IF($A37="","",INDEX(tBatches[[Transfers In / Added]],33))</f>
        <v/>
      </c>
      <c r="J37" s="39">
        <f>IF($A37="","",INDEX(tBatches[[Deaths]],33))</f>
        <v/>
      </c>
      <c r="K37" s="39">
        <f>IF($A37="","",INDEX(tBatches[[Heads Sold]],33))</f>
        <v/>
      </c>
      <c r="L37" s="39">
        <f>IF($A37="","",INDEX(tBatches[[Transfers Out]],33))</f>
        <v/>
      </c>
      <c r="M37" s="39">
        <f>IF($A37="","",INDEX(tBatches[[Current Quantity]],33))</f>
        <v/>
      </c>
      <c r="N37" s="40">
        <f>IF($A37="","",IFERROR(J37/(H37+I37),0))</f>
        <v/>
      </c>
      <c r="O37" s="28">
        <f>IF($A37="","",SUMIFS(tFeedIss[[Quantity Issued in kg]],tFeedIss[[Batch ID]],$A37))</f>
        <v/>
      </c>
      <c r="P37" s="29">
        <f>IF($A37="","",SUMIFS(tFeedIss[[Total Cost]],tFeedIss[[Batch ID]],$A37))</f>
        <v/>
      </c>
      <c r="Q37" s="29">
        <f>IF($A37="","",SUMIFS(tDrugUse[[Total Cost]],tDrugUse[[Batch ID]],$A37))</f>
        <v/>
      </c>
      <c r="R37" s="29">
        <f>IF($A37="","",SUMIFS(tExp[[Amount]],tExp[[Batch ID (if applicable)]],$A37))</f>
        <v/>
      </c>
      <c r="S37" s="41">
        <f>IF($A37="","",P37+Q37+R37)</f>
        <v/>
      </c>
      <c r="T37" s="41">
        <f>IF($A37="","",SUMIFS(tSales[[Total Revenue]],tSales[[Batch ID]],$A37))</f>
        <v/>
      </c>
      <c r="U37" s="41">
        <f>IF($A37="","",T37-S37)</f>
        <v/>
      </c>
      <c r="V37" s="29">
        <f>IF($A37="","",IFERROR(S37/(H37+I37),""))</f>
        <v/>
      </c>
      <c r="W37" s="29">
        <f>IF($A37="","",IF(K37=0,"",T37/K37))</f>
        <v/>
      </c>
      <c r="X37" s="42">
        <f>IF($A37="","",IFERROR(O37/(H37+I37),""))</f>
        <v/>
      </c>
      <c r="Y37" s="43">
        <f>IF($A37="","",IF(_xlfn.MAXIFS(tProd[[Date]],tProd[[Batch ID]],$A37,tProd[[Measurement Type]],"Weighing")=0,"",IFERROR(AVERAGEIFS(tProd[[Average Weight kg]],tProd[[Batch ID]],$A37,tProd[[Measurement Type]],"Weighing",tProd[[Date]],_xlfn.MAXIFS(tProd[[Date]],tProd[[Batch ID]],$A37,tProd[[Measurement Type]],"Weighing")),"")))</f>
        <v/>
      </c>
    </row>
    <row r="38">
      <c r="A38" s="27">
        <f>IFERROR(INDEX(tBatches[[Batch ID]],34)&amp;"","")</f>
        <v/>
      </c>
      <c r="B38" s="36">
        <f>IF($A38="","",INDEX(tBatches[[Pen ID]],34)&amp;"")</f>
        <v/>
      </c>
      <c r="C38" s="36">
        <f>IF($A38="","",INDEX(tBatches[[Animal Type]],34)&amp;"")</f>
        <v/>
      </c>
      <c r="D38" s="31">
        <f>IF($A38="","",INDEX(tBatches[[Batch Start Date]],34))</f>
        <v/>
      </c>
      <c r="E38" s="36">
        <f>IF($A38="","",INDEX(tBatches[[Status]],34)&amp;"")</f>
        <v/>
      </c>
      <c r="F38" s="31">
        <f>IF($A38="","",IF(N(INDEX(tBatches[[Closing Date]],34))=0,"",INDEX(tBatches[[Closing Date]],34)))</f>
        <v/>
      </c>
      <c r="G38" s="39">
        <f>IF($A38="","",INDEX(tBatches[[Age (days)]],34))</f>
        <v/>
      </c>
      <c r="H38" s="39">
        <f>IF($A38="","",N(INDEX(tBatches[[Initial Quantity]],34)))</f>
        <v/>
      </c>
      <c r="I38" s="39">
        <f>IF($A38="","",INDEX(tBatches[[Transfers In / Added]],34))</f>
        <v/>
      </c>
      <c r="J38" s="39">
        <f>IF($A38="","",INDEX(tBatches[[Deaths]],34))</f>
        <v/>
      </c>
      <c r="K38" s="39">
        <f>IF($A38="","",INDEX(tBatches[[Heads Sold]],34))</f>
        <v/>
      </c>
      <c r="L38" s="39">
        <f>IF($A38="","",INDEX(tBatches[[Transfers Out]],34))</f>
        <v/>
      </c>
      <c r="M38" s="39">
        <f>IF($A38="","",INDEX(tBatches[[Current Quantity]],34))</f>
        <v/>
      </c>
      <c r="N38" s="40">
        <f>IF($A38="","",IFERROR(J38/(H38+I38),0))</f>
        <v/>
      </c>
      <c r="O38" s="28">
        <f>IF($A38="","",SUMIFS(tFeedIss[[Quantity Issued in kg]],tFeedIss[[Batch ID]],$A38))</f>
        <v/>
      </c>
      <c r="P38" s="29">
        <f>IF($A38="","",SUMIFS(tFeedIss[[Total Cost]],tFeedIss[[Batch ID]],$A38))</f>
        <v/>
      </c>
      <c r="Q38" s="29">
        <f>IF($A38="","",SUMIFS(tDrugUse[[Total Cost]],tDrugUse[[Batch ID]],$A38))</f>
        <v/>
      </c>
      <c r="R38" s="29">
        <f>IF($A38="","",SUMIFS(tExp[[Amount]],tExp[[Batch ID (if applicable)]],$A38))</f>
        <v/>
      </c>
      <c r="S38" s="41">
        <f>IF($A38="","",P38+Q38+R38)</f>
        <v/>
      </c>
      <c r="T38" s="41">
        <f>IF($A38="","",SUMIFS(tSales[[Total Revenue]],tSales[[Batch ID]],$A38))</f>
        <v/>
      </c>
      <c r="U38" s="41">
        <f>IF($A38="","",T38-S38)</f>
        <v/>
      </c>
      <c r="V38" s="29">
        <f>IF($A38="","",IFERROR(S38/(H38+I38),""))</f>
        <v/>
      </c>
      <c r="W38" s="29">
        <f>IF($A38="","",IF(K38=0,"",T38/K38))</f>
        <v/>
      </c>
      <c r="X38" s="42">
        <f>IF($A38="","",IFERROR(O38/(H38+I38),""))</f>
        <v/>
      </c>
      <c r="Y38" s="43">
        <f>IF($A38="","",IF(_xlfn.MAXIFS(tProd[[Date]],tProd[[Batch ID]],$A38,tProd[[Measurement Type]],"Weighing")=0,"",IFERROR(AVERAGEIFS(tProd[[Average Weight kg]],tProd[[Batch ID]],$A38,tProd[[Measurement Type]],"Weighing",tProd[[Date]],_xlfn.MAXIFS(tProd[[Date]],tProd[[Batch ID]],$A38,tProd[[Measurement Type]],"Weighing")),"")))</f>
        <v/>
      </c>
    </row>
    <row r="39">
      <c r="A39" s="27">
        <f>IFERROR(INDEX(tBatches[[Batch ID]],35)&amp;"","")</f>
        <v/>
      </c>
      <c r="B39" s="36">
        <f>IF($A39="","",INDEX(tBatches[[Pen ID]],35)&amp;"")</f>
        <v/>
      </c>
      <c r="C39" s="36">
        <f>IF($A39="","",INDEX(tBatches[[Animal Type]],35)&amp;"")</f>
        <v/>
      </c>
      <c r="D39" s="31">
        <f>IF($A39="","",INDEX(tBatches[[Batch Start Date]],35))</f>
        <v/>
      </c>
      <c r="E39" s="36">
        <f>IF($A39="","",INDEX(tBatches[[Status]],35)&amp;"")</f>
        <v/>
      </c>
      <c r="F39" s="31">
        <f>IF($A39="","",IF(N(INDEX(tBatches[[Closing Date]],35))=0,"",INDEX(tBatches[[Closing Date]],35)))</f>
        <v/>
      </c>
      <c r="G39" s="39">
        <f>IF($A39="","",INDEX(tBatches[[Age (days)]],35))</f>
        <v/>
      </c>
      <c r="H39" s="39">
        <f>IF($A39="","",N(INDEX(tBatches[[Initial Quantity]],35)))</f>
        <v/>
      </c>
      <c r="I39" s="39">
        <f>IF($A39="","",INDEX(tBatches[[Transfers In / Added]],35))</f>
        <v/>
      </c>
      <c r="J39" s="39">
        <f>IF($A39="","",INDEX(tBatches[[Deaths]],35))</f>
        <v/>
      </c>
      <c r="K39" s="39">
        <f>IF($A39="","",INDEX(tBatches[[Heads Sold]],35))</f>
        <v/>
      </c>
      <c r="L39" s="39">
        <f>IF($A39="","",INDEX(tBatches[[Transfers Out]],35))</f>
        <v/>
      </c>
      <c r="M39" s="39">
        <f>IF($A39="","",INDEX(tBatches[[Current Quantity]],35))</f>
        <v/>
      </c>
      <c r="N39" s="40">
        <f>IF($A39="","",IFERROR(J39/(H39+I39),0))</f>
        <v/>
      </c>
      <c r="O39" s="28">
        <f>IF($A39="","",SUMIFS(tFeedIss[[Quantity Issued in kg]],tFeedIss[[Batch ID]],$A39))</f>
        <v/>
      </c>
      <c r="P39" s="29">
        <f>IF($A39="","",SUMIFS(tFeedIss[[Total Cost]],tFeedIss[[Batch ID]],$A39))</f>
        <v/>
      </c>
      <c r="Q39" s="29">
        <f>IF($A39="","",SUMIFS(tDrugUse[[Total Cost]],tDrugUse[[Batch ID]],$A39))</f>
        <v/>
      </c>
      <c r="R39" s="29">
        <f>IF($A39="","",SUMIFS(tExp[[Amount]],tExp[[Batch ID (if applicable)]],$A39))</f>
        <v/>
      </c>
      <c r="S39" s="41">
        <f>IF($A39="","",P39+Q39+R39)</f>
        <v/>
      </c>
      <c r="T39" s="41">
        <f>IF($A39="","",SUMIFS(tSales[[Total Revenue]],tSales[[Batch ID]],$A39))</f>
        <v/>
      </c>
      <c r="U39" s="41">
        <f>IF($A39="","",T39-S39)</f>
        <v/>
      </c>
      <c r="V39" s="29">
        <f>IF($A39="","",IFERROR(S39/(H39+I39),""))</f>
        <v/>
      </c>
      <c r="W39" s="29">
        <f>IF($A39="","",IF(K39=0,"",T39/K39))</f>
        <v/>
      </c>
      <c r="X39" s="42">
        <f>IF($A39="","",IFERROR(O39/(H39+I39),""))</f>
        <v/>
      </c>
      <c r="Y39" s="43">
        <f>IF($A39="","",IF(_xlfn.MAXIFS(tProd[[Date]],tProd[[Batch ID]],$A39,tProd[[Measurement Type]],"Weighing")=0,"",IFERROR(AVERAGEIFS(tProd[[Average Weight kg]],tProd[[Batch ID]],$A39,tProd[[Measurement Type]],"Weighing",tProd[[Date]],_xlfn.MAXIFS(tProd[[Date]],tProd[[Batch ID]],$A39,tProd[[Measurement Type]],"Weighing")),"")))</f>
        <v/>
      </c>
    </row>
    <row r="40">
      <c r="A40" s="27">
        <f>IFERROR(INDEX(tBatches[[Batch ID]],36)&amp;"","")</f>
        <v/>
      </c>
      <c r="B40" s="36">
        <f>IF($A40="","",INDEX(tBatches[[Pen ID]],36)&amp;"")</f>
        <v/>
      </c>
      <c r="C40" s="36">
        <f>IF($A40="","",INDEX(tBatches[[Animal Type]],36)&amp;"")</f>
        <v/>
      </c>
      <c r="D40" s="31">
        <f>IF($A40="","",INDEX(tBatches[[Batch Start Date]],36))</f>
        <v/>
      </c>
      <c r="E40" s="36">
        <f>IF($A40="","",INDEX(tBatches[[Status]],36)&amp;"")</f>
        <v/>
      </c>
      <c r="F40" s="31">
        <f>IF($A40="","",IF(N(INDEX(tBatches[[Closing Date]],36))=0,"",INDEX(tBatches[[Closing Date]],36)))</f>
        <v/>
      </c>
      <c r="G40" s="39">
        <f>IF($A40="","",INDEX(tBatches[[Age (days)]],36))</f>
        <v/>
      </c>
      <c r="H40" s="39">
        <f>IF($A40="","",N(INDEX(tBatches[[Initial Quantity]],36)))</f>
        <v/>
      </c>
      <c r="I40" s="39">
        <f>IF($A40="","",INDEX(tBatches[[Transfers In / Added]],36))</f>
        <v/>
      </c>
      <c r="J40" s="39">
        <f>IF($A40="","",INDEX(tBatches[[Deaths]],36))</f>
        <v/>
      </c>
      <c r="K40" s="39">
        <f>IF($A40="","",INDEX(tBatches[[Heads Sold]],36))</f>
        <v/>
      </c>
      <c r="L40" s="39">
        <f>IF($A40="","",INDEX(tBatches[[Transfers Out]],36))</f>
        <v/>
      </c>
      <c r="M40" s="39">
        <f>IF($A40="","",INDEX(tBatches[[Current Quantity]],36))</f>
        <v/>
      </c>
      <c r="N40" s="40">
        <f>IF($A40="","",IFERROR(J40/(H40+I40),0))</f>
        <v/>
      </c>
      <c r="O40" s="28">
        <f>IF($A40="","",SUMIFS(tFeedIss[[Quantity Issued in kg]],tFeedIss[[Batch ID]],$A40))</f>
        <v/>
      </c>
      <c r="P40" s="29">
        <f>IF($A40="","",SUMIFS(tFeedIss[[Total Cost]],tFeedIss[[Batch ID]],$A40))</f>
        <v/>
      </c>
      <c r="Q40" s="29">
        <f>IF($A40="","",SUMIFS(tDrugUse[[Total Cost]],tDrugUse[[Batch ID]],$A40))</f>
        <v/>
      </c>
      <c r="R40" s="29">
        <f>IF($A40="","",SUMIFS(tExp[[Amount]],tExp[[Batch ID (if applicable)]],$A40))</f>
        <v/>
      </c>
      <c r="S40" s="41">
        <f>IF($A40="","",P40+Q40+R40)</f>
        <v/>
      </c>
      <c r="T40" s="41">
        <f>IF($A40="","",SUMIFS(tSales[[Total Revenue]],tSales[[Batch ID]],$A40))</f>
        <v/>
      </c>
      <c r="U40" s="41">
        <f>IF($A40="","",T40-S40)</f>
        <v/>
      </c>
      <c r="V40" s="29">
        <f>IF($A40="","",IFERROR(S40/(H40+I40),""))</f>
        <v/>
      </c>
      <c r="W40" s="29">
        <f>IF($A40="","",IF(K40=0,"",T40/K40))</f>
        <v/>
      </c>
      <c r="X40" s="42">
        <f>IF($A40="","",IFERROR(O40/(H40+I40),""))</f>
        <v/>
      </c>
      <c r="Y40" s="43">
        <f>IF($A40="","",IF(_xlfn.MAXIFS(tProd[[Date]],tProd[[Batch ID]],$A40,tProd[[Measurement Type]],"Weighing")=0,"",IFERROR(AVERAGEIFS(tProd[[Average Weight kg]],tProd[[Batch ID]],$A40,tProd[[Measurement Type]],"Weighing",tProd[[Date]],_xlfn.MAXIFS(tProd[[Date]],tProd[[Batch ID]],$A40,tProd[[Measurement Type]],"Weighing")),"")))</f>
        <v/>
      </c>
    </row>
    <row r="41">
      <c r="A41" s="27">
        <f>IFERROR(INDEX(tBatches[[Batch ID]],37)&amp;"","")</f>
        <v/>
      </c>
      <c r="B41" s="36">
        <f>IF($A41="","",INDEX(tBatches[[Pen ID]],37)&amp;"")</f>
        <v/>
      </c>
      <c r="C41" s="36">
        <f>IF($A41="","",INDEX(tBatches[[Animal Type]],37)&amp;"")</f>
        <v/>
      </c>
      <c r="D41" s="31">
        <f>IF($A41="","",INDEX(tBatches[[Batch Start Date]],37))</f>
        <v/>
      </c>
      <c r="E41" s="36">
        <f>IF($A41="","",INDEX(tBatches[[Status]],37)&amp;"")</f>
        <v/>
      </c>
      <c r="F41" s="31">
        <f>IF($A41="","",IF(N(INDEX(tBatches[[Closing Date]],37))=0,"",INDEX(tBatches[[Closing Date]],37)))</f>
        <v/>
      </c>
      <c r="G41" s="39">
        <f>IF($A41="","",INDEX(tBatches[[Age (days)]],37))</f>
        <v/>
      </c>
      <c r="H41" s="39">
        <f>IF($A41="","",N(INDEX(tBatches[[Initial Quantity]],37)))</f>
        <v/>
      </c>
      <c r="I41" s="39">
        <f>IF($A41="","",INDEX(tBatches[[Transfers In / Added]],37))</f>
        <v/>
      </c>
      <c r="J41" s="39">
        <f>IF($A41="","",INDEX(tBatches[[Deaths]],37))</f>
        <v/>
      </c>
      <c r="K41" s="39">
        <f>IF($A41="","",INDEX(tBatches[[Heads Sold]],37))</f>
        <v/>
      </c>
      <c r="L41" s="39">
        <f>IF($A41="","",INDEX(tBatches[[Transfers Out]],37))</f>
        <v/>
      </c>
      <c r="M41" s="39">
        <f>IF($A41="","",INDEX(tBatches[[Current Quantity]],37))</f>
        <v/>
      </c>
      <c r="N41" s="40">
        <f>IF($A41="","",IFERROR(J41/(H41+I41),0))</f>
        <v/>
      </c>
      <c r="O41" s="28">
        <f>IF($A41="","",SUMIFS(tFeedIss[[Quantity Issued in kg]],tFeedIss[[Batch ID]],$A41))</f>
        <v/>
      </c>
      <c r="P41" s="29">
        <f>IF($A41="","",SUMIFS(tFeedIss[[Total Cost]],tFeedIss[[Batch ID]],$A41))</f>
        <v/>
      </c>
      <c r="Q41" s="29">
        <f>IF($A41="","",SUMIFS(tDrugUse[[Total Cost]],tDrugUse[[Batch ID]],$A41))</f>
        <v/>
      </c>
      <c r="R41" s="29">
        <f>IF($A41="","",SUMIFS(tExp[[Amount]],tExp[[Batch ID (if applicable)]],$A41))</f>
        <v/>
      </c>
      <c r="S41" s="41">
        <f>IF($A41="","",P41+Q41+R41)</f>
        <v/>
      </c>
      <c r="T41" s="41">
        <f>IF($A41="","",SUMIFS(tSales[[Total Revenue]],tSales[[Batch ID]],$A41))</f>
        <v/>
      </c>
      <c r="U41" s="41">
        <f>IF($A41="","",T41-S41)</f>
        <v/>
      </c>
      <c r="V41" s="29">
        <f>IF($A41="","",IFERROR(S41/(H41+I41),""))</f>
        <v/>
      </c>
      <c r="W41" s="29">
        <f>IF($A41="","",IF(K41=0,"",T41/K41))</f>
        <v/>
      </c>
      <c r="X41" s="42">
        <f>IF($A41="","",IFERROR(O41/(H41+I41),""))</f>
        <v/>
      </c>
      <c r="Y41" s="43">
        <f>IF($A41="","",IF(_xlfn.MAXIFS(tProd[[Date]],tProd[[Batch ID]],$A41,tProd[[Measurement Type]],"Weighing")=0,"",IFERROR(AVERAGEIFS(tProd[[Average Weight kg]],tProd[[Batch ID]],$A41,tProd[[Measurement Type]],"Weighing",tProd[[Date]],_xlfn.MAXIFS(tProd[[Date]],tProd[[Batch ID]],$A41,tProd[[Measurement Type]],"Weighing")),"")))</f>
        <v/>
      </c>
    </row>
    <row r="42">
      <c r="A42" s="27">
        <f>IFERROR(INDEX(tBatches[[Batch ID]],38)&amp;"","")</f>
        <v/>
      </c>
      <c r="B42" s="36">
        <f>IF($A42="","",INDEX(tBatches[[Pen ID]],38)&amp;"")</f>
        <v/>
      </c>
      <c r="C42" s="36">
        <f>IF($A42="","",INDEX(tBatches[[Animal Type]],38)&amp;"")</f>
        <v/>
      </c>
      <c r="D42" s="31">
        <f>IF($A42="","",INDEX(tBatches[[Batch Start Date]],38))</f>
        <v/>
      </c>
      <c r="E42" s="36">
        <f>IF($A42="","",INDEX(tBatches[[Status]],38)&amp;"")</f>
        <v/>
      </c>
      <c r="F42" s="31">
        <f>IF($A42="","",IF(N(INDEX(tBatches[[Closing Date]],38))=0,"",INDEX(tBatches[[Closing Date]],38)))</f>
        <v/>
      </c>
      <c r="G42" s="39">
        <f>IF($A42="","",INDEX(tBatches[[Age (days)]],38))</f>
        <v/>
      </c>
      <c r="H42" s="39">
        <f>IF($A42="","",N(INDEX(tBatches[[Initial Quantity]],38)))</f>
        <v/>
      </c>
      <c r="I42" s="39">
        <f>IF($A42="","",INDEX(tBatches[[Transfers In / Added]],38))</f>
        <v/>
      </c>
      <c r="J42" s="39">
        <f>IF($A42="","",INDEX(tBatches[[Deaths]],38))</f>
        <v/>
      </c>
      <c r="K42" s="39">
        <f>IF($A42="","",INDEX(tBatches[[Heads Sold]],38))</f>
        <v/>
      </c>
      <c r="L42" s="39">
        <f>IF($A42="","",INDEX(tBatches[[Transfers Out]],38))</f>
        <v/>
      </c>
      <c r="M42" s="39">
        <f>IF($A42="","",INDEX(tBatches[[Current Quantity]],38))</f>
        <v/>
      </c>
      <c r="N42" s="40">
        <f>IF($A42="","",IFERROR(J42/(H42+I42),0))</f>
        <v/>
      </c>
      <c r="O42" s="28">
        <f>IF($A42="","",SUMIFS(tFeedIss[[Quantity Issued in kg]],tFeedIss[[Batch ID]],$A42))</f>
        <v/>
      </c>
      <c r="P42" s="29">
        <f>IF($A42="","",SUMIFS(tFeedIss[[Total Cost]],tFeedIss[[Batch ID]],$A42))</f>
        <v/>
      </c>
      <c r="Q42" s="29">
        <f>IF($A42="","",SUMIFS(tDrugUse[[Total Cost]],tDrugUse[[Batch ID]],$A42))</f>
        <v/>
      </c>
      <c r="R42" s="29">
        <f>IF($A42="","",SUMIFS(tExp[[Amount]],tExp[[Batch ID (if applicable)]],$A42))</f>
        <v/>
      </c>
      <c r="S42" s="41">
        <f>IF($A42="","",P42+Q42+R42)</f>
        <v/>
      </c>
      <c r="T42" s="41">
        <f>IF($A42="","",SUMIFS(tSales[[Total Revenue]],tSales[[Batch ID]],$A42))</f>
        <v/>
      </c>
      <c r="U42" s="41">
        <f>IF($A42="","",T42-S42)</f>
        <v/>
      </c>
      <c r="V42" s="29">
        <f>IF($A42="","",IFERROR(S42/(H42+I42),""))</f>
        <v/>
      </c>
      <c r="W42" s="29">
        <f>IF($A42="","",IF(K42=0,"",T42/K42))</f>
        <v/>
      </c>
      <c r="X42" s="42">
        <f>IF($A42="","",IFERROR(O42/(H42+I42),""))</f>
        <v/>
      </c>
      <c r="Y42" s="43">
        <f>IF($A42="","",IF(_xlfn.MAXIFS(tProd[[Date]],tProd[[Batch ID]],$A42,tProd[[Measurement Type]],"Weighing")=0,"",IFERROR(AVERAGEIFS(tProd[[Average Weight kg]],tProd[[Batch ID]],$A42,tProd[[Measurement Type]],"Weighing",tProd[[Date]],_xlfn.MAXIFS(tProd[[Date]],tProd[[Batch ID]],$A42,tProd[[Measurement Type]],"Weighing")),"")))</f>
        <v/>
      </c>
    </row>
    <row r="43">
      <c r="A43" s="27">
        <f>IFERROR(INDEX(tBatches[[Batch ID]],39)&amp;"","")</f>
        <v/>
      </c>
      <c r="B43" s="36">
        <f>IF($A43="","",INDEX(tBatches[[Pen ID]],39)&amp;"")</f>
        <v/>
      </c>
      <c r="C43" s="36">
        <f>IF($A43="","",INDEX(tBatches[[Animal Type]],39)&amp;"")</f>
        <v/>
      </c>
      <c r="D43" s="31">
        <f>IF($A43="","",INDEX(tBatches[[Batch Start Date]],39))</f>
        <v/>
      </c>
      <c r="E43" s="36">
        <f>IF($A43="","",INDEX(tBatches[[Status]],39)&amp;"")</f>
        <v/>
      </c>
      <c r="F43" s="31">
        <f>IF($A43="","",IF(N(INDEX(tBatches[[Closing Date]],39))=0,"",INDEX(tBatches[[Closing Date]],39)))</f>
        <v/>
      </c>
      <c r="G43" s="39">
        <f>IF($A43="","",INDEX(tBatches[[Age (days)]],39))</f>
        <v/>
      </c>
      <c r="H43" s="39">
        <f>IF($A43="","",N(INDEX(tBatches[[Initial Quantity]],39)))</f>
        <v/>
      </c>
      <c r="I43" s="39">
        <f>IF($A43="","",INDEX(tBatches[[Transfers In / Added]],39))</f>
        <v/>
      </c>
      <c r="J43" s="39">
        <f>IF($A43="","",INDEX(tBatches[[Deaths]],39))</f>
        <v/>
      </c>
      <c r="K43" s="39">
        <f>IF($A43="","",INDEX(tBatches[[Heads Sold]],39))</f>
        <v/>
      </c>
      <c r="L43" s="39">
        <f>IF($A43="","",INDEX(tBatches[[Transfers Out]],39))</f>
        <v/>
      </c>
      <c r="M43" s="39">
        <f>IF($A43="","",INDEX(tBatches[[Current Quantity]],39))</f>
        <v/>
      </c>
      <c r="N43" s="40">
        <f>IF($A43="","",IFERROR(J43/(H43+I43),0))</f>
        <v/>
      </c>
      <c r="O43" s="28">
        <f>IF($A43="","",SUMIFS(tFeedIss[[Quantity Issued in kg]],tFeedIss[[Batch ID]],$A43))</f>
        <v/>
      </c>
      <c r="P43" s="29">
        <f>IF($A43="","",SUMIFS(tFeedIss[[Total Cost]],tFeedIss[[Batch ID]],$A43))</f>
        <v/>
      </c>
      <c r="Q43" s="29">
        <f>IF($A43="","",SUMIFS(tDrugUse[[Total Cost]],tDrugUse[[Batch ID]],$A43))</f>
        <v/>
      </c>
      <c r="R43" s="29">
        <f>IF($A43="","",SUMIFS(tExp[[Amount]],tExp[[Batch ID (if applicable)]],$A43))</f>
        <v/>
      </c>
      <c r="S43" s="41">
        <f>IF($A43="","",P43+Q43+R43)</f>
        <v/>
      </c>
      <c r="T43" s="41">
        <f>IF($A43="","",SUMIFS(tSales[[Total Revenue]],tSales[[Batch ID]],$A43))</f>
        <v/>
      </c>
      <c r="U43" s="41">
        <f>IF($A43="","",T43-S43)</f>
        <v/>
      </c>
      <c r="V43" s="29">
        <f>IF($A43="","",IFERROR(S43/(H43+I43),""))</f>
        <v/>
      </c>
      <c r="W43" s="29">
        <f>IF($A43="","",IF(K43=0,"",T43/K43))</f>
        <v/>
      </c>
      <c r="X43" s="42">
        <f>IF($A43="","",IFERROR(O43/(H43+I43),""))</f>
        <v/>
      </c>
      <c r="Y43" s="43">
        <f>IF($A43="","",IF(_xlfn.MAXIFS(tProd[[Date]],tProd[[Batch ID]],$A43,tProd[[Measurement Type]],"Weighing")=0,"",IFERROR(AVERAGEIFS(tProd[[Average Weight kg]],tProd[[Batch ID]],$A43,tProd[[Measurement Type]],"Weighing",tProd[[Date]],_xlfn.MAXIFS(tProd[[Date]],tProd[[Batch ID]],$A43,tProd[[Measurement Type]],"Weighing")),"")))</f>
        <v/>
      </c>
    </row>
    <row r="44">
      <c r="A44" s="27">
        <f>IFERROR(INDEX(tBatches[[Batch ID]],40)&amp;"","")</f>
        <v/>
      </c>
      <c r="B44" s="36">
        <f>IF($A44="","",INDEX(tBatches[[Pen ID]],40)&amp;"")</f>
        <v/>
      </c>
      <c r="C44" s="36">
        <f>IF($A44="","",INDEX(tBatches[[Animal Type]],40)&amp;"")</f>
        <v/>
      </c>
      <c r="D44" s="31">
        <f>IF($A44="","",INDEX(tBatches[[Batch Start Date]],40))</f>
        <v/>
      </c>
      <c r="E44" s="36">
        <f>IF($A44="","",INDEX(tBatches[[Status]],40)&amp;"")</f>
        <v/>
      </c>
      <c r="F44" s="31">
        <f>IF($A44="","",IF(N(INDEX(tBatches[[Closing Date]],40))=0,"",INDEX(tBatches[[Closing Date]],40)))</f>
        <v/>
      </c>
      <c r="G44" s="39">
        <f>IF($A44="","",INDEX(tBatches[[Age (days)]],40))</f>
        <v/>
      </c>
      <c r="H44" s="39">
        <f>IF($A44="","",N(INDEX(tBatches[[Initial Quantity]],40)))</f>
        <v/>
      </c>
      <c r="I44" s="39">
        <f>IF($A44="","",INDEX(tBatches[[Transfers In / Added]],40))</f>
        <v/>
      </c>
      <c r="J44" s="39">
        <f>IF($A44="","",INDEX(tBatches[[Deaths]],40))</f>
        <v/>
      </c>
      <c r="K44" s="39">
        <f>IF($A44="","",INDEX(tBatches[[Heads Sold]],40))</f>
        <v/>
      </c>
      <c r="L44" s="39">
        <f>IF($A44="","",INDEX(tBatches[[Transfers Out]],40))</f>
        <v/>
      </c>
      <c r="M44" s="39">
        <f>IF($A44="","",INDEX(tBatches[[Current Quantity]],40))</f>
        <v/>
      </c>
      <c r="N44" s="40">
        <f>IF($A44="","",IFERROR(J44/(H44+I44),0))</f>
        <v/>
      </c>
      <c r="O44" s="28">
        <f>IF($A44="","",SUMIFS(tFeedIss[[Quantity Issued in kg]],tFeedIss[[Batch ID]],$A44))</f>
        <v/>
      </c>
      <c r="P44" s="29">
        <f>IF($A44="","",SUMIFS(tFeedIss[[Total Cost]],tFeedIss[[Batch ID]],$A44))</f>
        <v/>
      </c>
      <c r="Q44" s="29">
        <f>IF($A44="","",SUMIFS(tDrugUse[[Total Cost]],tDrugUse[[Batch ID]],$A44))</f>
        <v/>
      </c>
      <c r="R44" s="29">
        <f>IF($A44="","",SUMIFS(tExp[[Amount]],tExp[[Batch ID (if applicable)]],$A44))</f>
        <v/>
      </c>
      <c r="S44" s="41">
        <f>IF($A44="","",P44+Q44+R44)</f>
        <v/>
      </c>
      <c r="T44" s="41">
        <f>IF($A44="","",SUMIFS(tSales[[Total Revenue]],tSales[[Batch ID]],$A44))</f>
        <v/>
      </c>
      <c r="U44" s="41">
        <f>IF($A44="","",T44-S44)</f>
        <v/>
      </c>
      <c r="V44" s="29">
        <f>IF($A44="","",IFERROR(S44/(H44+I44),""))</f>
        <v/>
      </c>
      <c r="W44" s="29">
        <f>IF($A44="","",IF(K44=0,"",T44/K44))</f>
        <v/>
      </c>
      <c r="X44" s="42">
        <f>IF($A44="","",IFERROR(O44/(H44+I44),""))</f>
        <v/>
      </c>
      <c r="Y44" s="43">
        <f>IF($A44="","",IF(_xlfn.MAXIFS(tProd[[Date]],tProd[[Batch ID]],$A44,tProd[[Measurement Type]],"Weighing")=0,"",IFERROR(AVERAGEIFS(tProd[[Average Weight kg]],tProd[[Batch ID]],$A44,tProd[[Measurement Type]],"Weighing",tProd[[Date]],_xlfn.MAXIFS(tProd[[Date]],tProd[[Batch ID]],$A44,tProd[[Measurement Type]],"Weighing")),"")))</f>
        <v/>
      </c>
    </row>
    <row r="45">
      <c r="A45" s="27">
        <f>IFERROR(INDEX(tBatches[[Batch ID]],41)&amp;"","")</f>
        <v/>
      </c>
      <c r="B45" s="36">
        <f>IF($A45="","",INDEX(tBatches[[Pen ID]],41)&amp;"")</f>
        <v/>
      </c>
      <c r="C45" s="36">
        <f>IF($A45="","",INDEX(tBatches[[Animal Type]],41)&amp;"")</f>
        <v/>
      </c>
      <c r="D45" s="31">
        <f>IF($A45="","",INDEX(tBatches[[Batch Start Date]],41))</f>
        <v/>
      </c>
      <c r="E45" s="36">
        <f>IF($A45="","",INDEX(tBatches[[Status]],41)&amp;"")</f>
        <v/>
      </c>
      <c r="F45" s="31">
        <f>IF($A45="","",IF(N(INDEX(tBatches[[Closing Date]],41))=0,"",INDEX(tBatches[[Closing Date]],41)))</f>
        <v/>
      </c>
      <c r="G45" s="39">
        <f>IF($A45="","",INDEX(tBatches[[Age (days)]],41))</f>
        <v/>
      </c>
      <c r="H45" s="39">
        <f>IF($A45="","",N(INDEX(tBatches[[Initial Quantity]],41)))</f>
        <v/>
      </c>
      <c r="I45" s="39">
        <f>IF($A45="","",INDEX(tBatches[[Transfers In / Added]],41))</f>
        <v/>
      </c>
      <c r="J45" s="39">
        <f>IF($A45="","",INDEX(tBatches[[Deaths]],41))</f>
        <v/>
      </c>
      <c r="K45" s="39">
        <f>IF($A45="","",INDEX(tBatches[[Heads Sold]],41))</f>
        <v/>
      </c>
      <c r="L45" s="39">
        <f>IF($A45="","",INDEX(tBatches[[Transfers Out]],41))</f>
        <v/>
      </c>
      <c r="M45" s="39">
        <f>IF($A45="","",INDEX(tBatches[[Current Quantity]],41))</f>
        <v/>
      </c>
      <c r="N45" s="40">
        <f>IF($A45="","",IFERROR(J45/(H45+I45),0))</f>
        <v/>
      </c>
      <c r="O45" s="28">
        <f>IF($A45="","",SUMIFS(tFeedIss[[Quantity Issued in kg]],tFeedIss[[Batch ID]],$A45))</f>
        <v/>
      </c>
      <c r="P45" s="29">
        <f>IF($A45="","",SUMIFS(tFeedIss[[Total Cost]],tFeedIss[[Batch ID]],$A45))</f>
        <v/>
      </c>
      <c r="Q45" s="29">
        <f>IF($A45="","",SUMIFS(tDrugUse[[Total Cost]],tDrugUse[[Batch ID]],$A45))</f>
        <v/>
      </c>
      <c r="R45" s="29">
        <f>IF($A45="","",SUMIFS(tExp[[Amount]],tExp[[Batch ID (if applicable)]],$A45))</f>
        <v/>
      </c>
      <c r="S45" s="41">
        <f>IF($A45="","",P45+Q45+R45)</f>
        <v/>
      </c>
      <c r="T45" s="41">
        <f>IF($A45="","",SUMIFS(tSales[[Total Revenue]],tSales[[Batch ID]],$A45))</f>
        <v/>
      </c>
      <c r="U45" s="41">
        <f>IF($A45="","",T45-S45)</f>
        <v/>
      </c>
      <c r="V45" s="29">
        <f>IF($A45="","",IFERROR(S45/(H45+I45),""))</f>
        <v/>
      </c>
      <c r="W45" s="29">
        <f>IF($A45="","",IF(K45=0,"",T45/K45))</f>
        <v/>
      </c>
      <c r="X45" s="42">
        <f>IF($A45="","",IFERROR(O45/(H45+I45),""))</f>
        <v/>
      </c>
      <c r="Y45" s="43">
        <f>IF($A45="","",IF(_xlfn.MAXIFS(tProd[[Date]],tProd[[Batch ID]],$A45,tProd[[Measurement Type]],"Weighing")=0,"",IFERROR(AVERAGEIFS(tProd[[Average Weight kg]],tProd[[Batch ID]],$A45,tProd[[Measurement Type]],"Weighing",tProd[[Date]],_xlfn.MAXIFS(tProd[[Date]],tProd[[Batch ID]],$A45,tProd[[Measurement Type]],"Weighing")),"")))</f>
        <v/>
      </c>
    </row>
    <row r="46">
      <c r="A46" s="27">
        <f>IFERROR(INDEX(tBatches[[Batch ID]],42)&amp;"","")</f>
        <v/>
      </c>
      <c r="B46" s="36">
        <f>IF($A46="","",INDEX(tBatches[[Pen ID]],42)&amp;"")</f>
        <v/>
      </c>
      <c r="C46" s="36">
        <f>IF($A46="","",INDEX(tBatches[[Animal Type]],42)&amp;"")</f>
        <v/>
      </c>
      <c r="D46" s="31">
        <f>IF($A46="","",INDEX(tBatches[[Batch Start Date]],42))</f>
        <v/>
      </c>
      <c r="E46" s="36">
        <f>IF($A46="","",INDEX(tBatches[[Status]],42)&amp;"")</f>
        <v/>
      </c>
      <c r="F46" s="31">
        <f>IF($A46="","",IF(N(INDEX(tBatches[[Closing Date]],42))=0,"",INDEX(tBatches[[Closing Date]],42)))</f>
        <v/>
      </c>
      <c r="G46" s="39">
        <f>IF($A46="","",INDEX(tBatches[[Age (days)]],42))</f>
        <v/>
      </c>
      <c r="H46" s="39">
        <f>IF($A46="","",N(INDEX(tBatches[[Initial Quantity]],42)))</f>
        <v/>
      </c>
      <c r="I46" s="39">
        <f>IF($A46="","",INDEX(tBatches[[Transfers In / Added]],42))</f>
        <v/>
      </c>
      <c r="J46" s="39">
        <f>IF($A46="","",INDEX(tBatches[[Deaths]],42))</f>
        <v/>
      </c>
      <c r="K46" s="39">
        <f>IF($A46="","",INDEX(tBatches[[Heads Sold]],42))</f>
        <v/>
      </c>
      <c r="L46" s="39">
        <f>IF($A46="","",INDEX(tBatches[[Transfers Out]],42))</f>
        <v/>
      </c>
      <c r="M46" s="39">
        <f>IF($A46="","",INDEX(tBatches[[Current Quantity]],42))</f>
        <v/>
      </c>
      <c r="N46" s="40">
        <f>IF($A46="","",IFERROR(J46/(H46+I46),0))</f>
        <v/>
      </c>
      <c r="O46" s="28">
        <f>IF($A46="","",SUMIFS(tFeedIss[[Quantity Issued in kg]],tFeedIss[[Batch ID]],$A46))</f>
        <v/>
      </c>
      <c r="P46" s="29">
        <f>IF($A46="","",SUMIFS(tFeedIss[[Total Cost]],tFeedIss[[Batch ID]],$A46))</f>
        <v/>
      </c>
      <c r="Q46" s="29">
        <f>IF($A46="","",SUMIFS(tDrugUse[[Total Cost]],tDrugUse[[Batch ID]],$A46))</f>
        <v/>
      </c>
      <c r="R46" s="29">
        <f>IF($A46="","",SUMIFS(tExp[[Amount]],tExp[[Batch ID (if applicable)]],$A46))</f>
        <v/>
      </c>
      <c r="S46" s="41">
        <f>IF($A46="","",P46+Q46+R46)</f>
        <v/>
      </c>
      <c r="T46" s="41">
        <f>IF($A46="","",SUMIFS(tSales[[Total Revenue]],tSales[[Batch ID]],$A46))</f>
        <v/>
      </c>
      <c r="U46" s="41">
        <f>IF($A46="","",T46-S46)</f>
        <v/>
      </c>
      <c r="V46" s="29">
        <f>IF($A46="","",IFERROR(S46/(H46+I46),""))</f>
        <v/>
      </c>
      <c r="W46" s="29">
        <f>IF($A46="","",IF(K46=0,"",T46/K46))</f>
        <v/>
      </c>
      <c r="X46" s="42">
        <f>IF($A46="","",IFERROR(O46/(H46+I46),""))</f>
        <v/>
      </c>
      <c r="Y46" s="43">
        <f>IF($A46="","",IF(_xlfn.MAXIFS(tProd[[Date]],tProd[[Batch ID]],$A46,tProd[[Measurement Type]],"Weighing")=0,"",IFERROR(AVERAGEIFS(tProd[[Average Weight kg]],tProd[[Batch ID]],$A46,tProd[[Measurement Type]],"Weighing",tProd[[Date]],_xlfn.MAXIFS(tProd[[Date]],tProd[[Batch ID]],$A46,tProd[[Measurement Type]],"Weighing")),"")))</f>
        <v/>
      </c>
    </row>
    <row r="47">
      <c r="A47" s="27">
        <f>IFERROR(INDEX(tBatches[[Batch ID]],43)&amp;"","")</f>
        <v/>
      </c>
      <c r="B47" s="36">
        <f>IF($A47="","",INDEX(tBatches[[Pen ID]],43)&amp;"")</f>
        <v/>
      </c>
      <c r="C47" s="36">
        <f>IF($A47="","",INDEX(tBatches[[Animal Type]],43)&amp;"")</f>
        <v/>
      </c>
      <c r="D47" s="31">
        <f>IF($A47="","",INDEX(tBatches[[Batch Start Date]],43))</f>
        <v/>
      </c>
      <c r="E47" s="36">
        <f>IF($A47="","",INDEX(tBatches[[Status]],43)&amp;"")</f>
        <v/>
      </c>
      <c r="F47" s="31">
        <f>IF($A47="","",IF(N(INDEX(tBatches[[Closing Date]],43))=0,"",INDEX(tBatches[[Closing Date]],43)))</f>
        <v/>
      </c>
      <c r="G47" s="39">
        <f>IF($A47="","",INDEX(tBatches[[Age (days)]],43))</f>
        <v/>
      </c>
      <c r="H47" s="39">
        <f>IF($A47="","",N(INDEX(tBatches[[Initial Quantity]],43)))</f>
        <v/>
      </c>
      <c r="I47" s="39">
        <f>IF($A47="","",INDEX(tBatches[[Transfers In / Added]],43))</f>
        <v/>
      </c>
      <c r="J47" s="39">
        <f>IF($A47="","",INDEX(tBatches[[Deaths]],43))</f>
        <v/>
      </c>
      <c r="K47" s="39">
        <f>IF($A47="","",INDEX(tBatches[[Heads Sold]],43))</f>
        <v/>
      </c>
      <c r="L47" s="39">
        <f>IF($A47="","",INDEX(tBatches[[Transfers Out]],43))</f>
        <v/>
      </c>
      <c r="M47" s="39">
        <f>IF($A47="","",INDEX(tBatches[[Current Quantity]],43))</f>
        <v/>
      </c>
      <c r="N47" s="40">
        <f>IF($A47="","",IFERROR(J47/(H47+I47),0))</f>
        <v/>
      </c>
      <c r="O47" s="28">
        <f>IF($A47="","",SUMIFS(tFeedIss[[Quantity Issued in kg]],tFeedIss[[Batch ID]],$A47))</f>
        <v/>
      </c>
      <c r="P47" s="29">
        <f>IF($A47="","",SUMIFS(tFeedIss[[Total Cost]],tFeedIss[[Batch ID]],$A47))</f>
        <v/>
      </c>
      <c r="Q47" s="29">
        <f>IF($A47="","",SUMIFS(tDrugUse[[Total Cost]],tDrugUse[[Batch ID]],$A47))</f>
        <v/>
      </c>
      <c r="R47" s="29">
        <f>IF($A47="","",SUMIFS(tExp[[Amount]],tExp[[Batch ID (if applicable)]],$A47))</f>
        <v/>
      </c>
      <c r="S47" s="41">
        <f>IF($A47="","",P47+Q47+R47)</f>
        <v/>
      </c>
      <c r="T47" s="41">
        <f>IF($A47="","",SUMIFS(tSales[[Total Revenue]],tSales[[Batch ID]],$A47))</f>
        <v/>
      </c>
      <c r="U47" s="41">
        <f>IF($A47="","",T47-S47)</f>
        <v/>
      </c>
      <c r="V47" s="29">
        <f>IF($A47="","",IFERROR(S47/(H47+I47),""))</f>
        <v/>
      </c>
      <c r="W47" s="29">
        <f>IF($A47="","",IF(K47=0,"",T47/K47))</f>
        <v/>
      </c>
      <c r="X47" s="42">
        <f>IF($A47="","",IFERROR(O47/(H47+I47),""))</f>
        <v/>
      </c>
      <c r="Y47" s="43">
        <f>IF($A47="","",IF(_xlfn.MAXIFS(tProd[[Date]],tProd[[Batch ID]],$A47,tProd[[Measurement Type]],"Weighing")=0,"",IFERROR(AVERAGEIFS(tProd[[Average Weight kg]],tProd[[Batch ID]],$A47,tProd[[Measurement Type]],"Weighing",tProd[[Date]],_xlfn.MAXIFS(tProd[[Date]],tProd[[Batch ID]],$A47,tProd[[Measurement Type]],"Weighing")),"")))</f>
        <v/>
      </c>
    </row>
    <row r="48">
      <c r="A48" s="27">
        <f>IFERROR(INDEX(tBatches[[Batch ID]],44)&amp;"","")</f>
        <v/>
      </c>
      <c r="B48" s="36">
        <f>IF($A48="","",INDEX(tBatches[[Pen ID]],44)&amp;"")</f>
        <v/>
      </c>
      <c r="C48" s="36">
        <f>IF($A48="","",INDEX(tBatches[[Animal Type]],44)&amp;"")</f>
        <v/>
      </c>
      <c r="D48" s="31">
        <f>IF($A48="","",INDEX(tBatches[[Batch Start Date]],44))</f>
        <v/>
      </c>
      <c r="E48" s="36">
        <f>IF($A48="","",INDEX(tBatches[[Status]],44)&amp;"")</f>
        <v/>
      </c>
      <c r="F48" s="31">
        <f>IF($A48="","",IF(N(INDEX(tBatches[[Closing Date]],44))=0,"",INDEX(tBatches[[Closing Date]],44)))</f>
        <v/>
      </c>
      <c r="G48" s="39">
        <f>IF($A48="","",INDEX(tBatches[[Age (days)]],44))</f>
        <v/>
      </c>
      <c r="H48" s="39">
        <f>IF($A48="","",N(INDEX(tBatches[[Initial Quantity]],44)))</f>
        <v/>
      </c>
      <c r="I48" s="39">
        <f>IF($A48="","",INDEX(tBatches[[Transfers In / Added]],44))</f>
        <v/>
      </c>
      <c r="J48" s="39">
        <f>IF($A48="","",INDEX(tBatches[[Deaths]],44))</f>
        <v/>
      </c>
      <c r="K48" s="39">
        <f>IF($A48="","",INDEX(tBatches[[Heads Sold]],44))</f>
        <v/>
      </c>
      <c r="L48" s="39">
        <f>IF($A48="","",INDEX(tBatches[[Transfers Out]],44))</f>
        <v/>
      </c>
      <c r="M48" s="39">
        <f>IF($A48="","",INDEX(tBatches[[Current Quantity]],44))</f>
        <v/>
      </c>
      <c r="N48" s="40">
        <f>IF($A48="","",IFERROR(J48/(H48+I48),0))</f>
        <v/>
      </c>
      <c r="O48" s="28">
        <f>IF($A48="","",SUMIFS(tFeedIss[[Quantity Issued in kg]],tFeedIss[[Batch ID]],$A48))</f>
        <v/>
      </c>
      <c r="P48" s="29">
        <f>IF($A48="","",SUMIFS(tFeedIss[[Total Cost]],tFeedIss[[Batch ID]],$A48))</f>
        <v/>
      </c>
      <c r="Q48" s="29">
        <f>IF($A48="","",SUMIFS(tDrugUse[[Total Cost]],tDrugUse[[Batch ID]],$A48))</f>
        <v/>
      </c>
      <c r="R48" s="29">
        <f>IF($A48="","",SUMIFS(tExp[[Amount]],tExp[[Batch ID (if applicable)]],$A48))</f>
        <v/>
      </c>
      <c r="S48" s="41">
        <f>IF($A48="","",P48+Q48+R48)</f>
        <v/>
      </c>
      <c r="T48" s="41">
        <f>IF($A48="","",SUMIFS(tSales[[Total Revenue]],tSales[[Batch ID]],$A48))</f>
        <v/>
      </c>
      <c r="U48" s="41">
        <f>IF($A48="","",T48-S48)</f>
        <v/>
      </c>
      <c r="V48" s="29">
        <f>IF($A48="","",IFERROR(S48/(H48+I48),""))</f>
        <v/>
      </c>
      <c r="W48" s="29">
        <f>IF($A48="","",IF(K48=0,"",T48/K48))</f>
        <v/>
      </c>
      <c r="X48" s="42">
        <f>IF($A48="","",IFERROR(O48/(H48+I48),""))</f>
        <v/>
      </c>
      <c r="Y48" s="43">
        <f>IF($A48="","",IF(_xlfn.MAXIFS(tProd[[Date]],tProd[[Batch ID]],$A48,tProd[[Measurement Type]],"Weighing")=0,"",IFERROR(AVERAGEIFS(tProd[[Average Weight kg]],tProd[[Batch ID]],$A48,tProd[[Measurement Type]],"Weighing",tProd[[Date]],_xlfn.MAXIFS(tProd[[Date]],tProd[[Batch ID]],$A48,tProd[[Measurement Type]],"Weighing")),"")))</f>
        <v/>
      </c>
    </row>
    <row r="49">
      <c r="A49" s="27">
        <f>IFERROR(INDEX(tBatches[[Batch ID]],45)&amp;"","")</f>
        <v/>
      </c>
      <c r="B49" s="36">
        <f>IF($A49="","",INDEX(tBatches[[Pen ID]],45)&amp;"")</f>
        <v/>
      </c>
      <c r="C49" s="36">
        <f>IF($A49="","",INDEX(tBatches[[Animal Type]],45)&amp;"")</f>
        <v/>
      </c>
      <c r="D49" s="31">
        <f>IF($A49="","",INDEX(tBatches[[Batch Start Date]],45))</f>
        <v/>
      </c>
      <c r="E49" s="36">
        <f>IF($A49="","",INDEX(tBatches[[Status]],45)&amp;"")</f>
        <v/>
      </c>
      <c r="F49" s="31">
        <f>IF($A49="","",IF(N(INDEX(tBatches[[Closing Date]],45))=0,"",INDEX(tBatches[[Closing Date]],45)))</f>
        <v/>
      </c>
      <c r="G49" s="39">
        <f>IF($A49="","",INDEX(tBatches[[Age (days)]],45))</f>
        <v/>
      </c>
      <c r="H49" s="39">
        <f>IF($A49="","",N(INDEX(tBatches[[Initial Quantity]],45)))</f>
        <v/>
      </c>
      <c r="I49" s="39">
        <f>IF($A49="","",INDEX(tBatches[[Transfers In / Added]],45))</f>
        <v/>
      </c>
      <c r="J49" s="39">
        <f>IF($A49="","",INDEX(tBatches[[Deaths]],45))</f>
        <v/>
      </c>
      <c r="K49" s="39">
        <f>IF($A49="","",INDEX(tBatches[[Heads Sold]],45))</f>
        <v/>
      </c>
      <c r="L49" s="39">
        <f>IF($A49="","",INDEX(tBatches[[Transfers Out]],45))</f>
        <v/>
      </c>
      <c r="M49" s="39">
        <f>IF($A49="","",INDEX(tBatches[[Current Quantity]],45))</f>
        <v/>
      </c>
      <c r="N49" s="40">
        <f>IF($A49="","",IFERROR(J49/(H49+I49),0))</f>
        <v/>
      </c>
      <c r="O49" s="28">
        <f>IF($A49="","",SUMIFS(tFeedIss[[Quantity Issued in kg]],tFeedIss[[Batch ID]],$A49))</f>
        <v/>
      </c>
      <c r="P49" s="29">
        <f>IF($A49="","",SUMIFS(tFeedIss[[Total Cost]],tFeedIss[[Batch ID]],$A49))</f>
        <v/>
      </c>
      <c r="Q49" s="29">
        <f>IF($A49="","",SUMIFS(tDrugUse[[Total Cost]],tDrugUse[[Batch ID]],$A49))</f>
        <v/>
      </c>
      <c r="R49" s="29">
        <f>IF($A49="","",SUMIFS(tExp[[Amount]],tExp[[Batch ID (if applicable)]],$A49))</f>
        <v/>
      </c>
      <c r="S49" s="41">
        <f>IF($A49="","",P49+Q49+R49)</f>
        <v/>
      </c>
      <c r="T49" s="41">
        <f>IF($A49="","",SUMIFS(tSales[[Total Revenue]],tSales[[Batch ID]],$A49))</f>
        <v/>
      </c>
      <c r="U49" s="41">
        <f>IF($A49="","",T49-S49)</f>
        <v/>
      </c>
      <c r="V49" s="29">
        <f>IF($A49="","",IFERROR(S49/(H49+I49),""))</f>
        <v/>
      </c>
      <c r="W49" s="29">
        <f>IF($A49="","",IF(K49=0,"",T49/K49))</f>
        <v/>
      </c>
      <c r="X49" s="42">
        <f>IF($A49="","",IFERROR(O49/(H49+I49),""))</f>
        <v/>
      </c>
      <c r="Y49" s="43">
        <f>IF($A49="","",IF(_xlfn.MAXIFS(tProd[[Date]],tProd[[Batch ID]],$A49,tProd[[Measurement Type]],"Weighing")=0,"",IFERROR(AVERAGEIFS(tProd[[Average Weight kg]],tProd[[Batch ID]],$A49,tProd[[Measurement Type]],"Weighing",tProd[[Date]],_xlfn.MAXIFS(tProd[[Date]],tProd[[Batch ID]],$A49,tProd[[Measurement Type]],"Weighing")),"")))</f>
        <v/>
      </c>
    </row>
    <row r="50">
      <c r="A50" s="27">
        <f>IFERROR(INDEX(tBatches[[Batch ID]],46)&amp;"","")</f>
        <v/>
      </c>
      <c r="B50" s="36">
        <f>IF($A50="","",INDEX(tBatches[[Pen ID]],46)&amp;"")</f>
        <v/>
      </c>
      <c r="C50" s="36">
        <f>IF($A50="","",INDEX(tBatches[[Animal Type]],46)&amp;"")</f>
        <v/>
      </c>
      <c r="D50" s="31">
        <f>IF($A50="","",INDEX(tBatches[[Batch Start Date]],46))</f>
        <v/>
      </c>
      <c r="E50" s="36">
        <f>IF($A50="","",INDEX(tBatches[[Status]],46)&amp;"")</f>
        <v/>
      </c>
      <c r="F50" s="31">
        <f>IF($A50="","",IF(N(INDEX(tBatches[[Closing Date]],46))=0,"",INDEX(tBatches[[Closing Date]],46)))</f>
        <v/>
      </c>
      <c r="G50" s="39">
        <f>IF($A50="","",INDEX(tBatches[[Age (days)]],46))</f>
        <v/>
      </c>
      <c r="H50" s="39">
        <f>IF($A50="","",N(INDEX(tBatches[[Initial Quantity]],46)))</f>
        <v/>
      </c>
      <c r="I50" s="39">
        <f>IF($A50="","",INDEX(tBatches[[Transfers In / Added]],46))</f>
        <v/>
      </c>
      <c r="J50" s="39">
        <f>IF($A50="","",INDEX(tBatches[[Deaths]],46))</f>
        <v/>
      </c>
      <c r="K50" s="39">
        <f>IF($A50="","",INDEX(tBatches[[Heads Sold]],46))</f>
        <v/>
      </c>
      <c r="L50" s="39">
        <f>IF($A50="","",INDEX(tBatches[[Transfers Out]],46))</f>
        <v/>
      </c>
      <c r="M50" s="39">
        <f>IF($A50="","",INDEX(tBatches[[Current Quantity]],46))</f>
        <v/>
      </c>
      <c r="N50" s="40">
        <f>IF($A50="","",IFERROR(J50/(H50+I50),0))</f>
        <v/>
      </c>
      <c r="O50" s="28">
        <f>IF($A50="","",SUMIFS(tFeedIss[[Quantity Issued in kg]],tFeedIss[[Batch ID]],$A50))</f>
        <v/>
      </c>
      <c r="P50" s="29">
        <f>IF($A50="","",SUMIFS(tFeedIss[[Total Cost]],tFeedIss[[Batch ID]],$A50))</f>
        <v/>
      </c>
      <c r="Q50" s="29">
        <f>IF($A50="","",SUMIFS(tDrugUse[[Total Cost]],tDrugUse[[Batch ID]],$A50))</f>
        <v/>
      </c>
      <c r="R50" s="29">
        <f>IF($A50="","",SUMIFS(tExp[[Amount]],tExp[[Batch ID (if applicable)]],$A50))</f>
        <v/>
      </c>
      <c r="S50" s="41">
        <f>IF($A50="","",P50+Q50+R50)</f>
        <v/>
      </c>
      <c r="T50" s="41">
        <f>IF($A50="","",SUMIFS(tSales[[Total Revenue]],tSales[[Batch ID]],$A50))</f>
        <v/>
      </c>
      <c r="U50" s="41">
        <f>IF($A50="","",T50-S50)</f>
        <v/>
      </c>
      <c r="V50" s="29">
        <f>IF($A50="","",IFERROR(S50/(H50+I50),""))</f>
        <v/>
      </c>
      <c r="W50" s="29">
        <f>IF($A50="","",IF(K50=0,"",T50/K50))</f>
        <v/>
      </c>
      <c r="X50" s="42">
        <f>IF($A50="","",IFERROR(O50/(H50+I50),""))</f>
        <v/>
      </c>
      <c r="Y50" s="43">
        <f>IF($A50="","",IF(_xlfn.MAXIFS(tProd[[Date]],tProd[[Batch ID]],$A50,tProd[[Measurement Type]],"Weighing")=0,"",IFERROR(AVERAGEIFS(tProd[[Average Weight kg]],tProd[[Batch ID]],$A50,tProd[[Measurement Type]],"Weighing",tProd[[Date]],_xlfn.MAXIFS(tProd[[Date]],tProd[[Batch ID]],$A50,tProd[[Measurement Type]],"Weighing")),"")))</f>
        <v/>
      </c>
    </row>
    <row r="51">
      <c r="A51" s="27">
        <f>IFERROR(INDEX(tBatches[[Batch ID]],47)&amp;"","")</f>
        <v/>
      </c>
      <c r="B51" s="36">
        <f>IF($A51="","",INDEX(tBatches[[Pen ID]],47)&amp;"")</f>
        <v/>
      </c>
      <c r="C51" s="36">
        <f>IF($A51="","",INDEX(tBatches[[Animal Type]],47)&amp;"")</f>
        <v/>
      </c>
      <c r="D51" s="31">
        <f>IF($A51="","",INDEX(tBatches[[Batch Start Date]],47))</f>
        <v/>
      </c>
      <c r="E51" s="36">
        <f>IF($A51="","",INDEX(tBatches[[Status]],47)&amp;"")</f>
        <v/>
      </c>
      <c r="F51" s="31">
        <f>IF($A51="","",IF(N(INDEX(tBatches[[Closing Date]],47))=0,"",INDEX(tBatches[[Closing Date]],47)))</f>
        <v/>
      </c>
      <c r="G51" s="39">
        <f>IF($A51="","",INDEX(tBatches[[Age (days)]],47))</f>
        <v/>
      </c>
      <c r="H51" s="39">
        <f>IF($A51="","",N(INDEX(tBatches[[Initial Quantity]],47)))</f>
        <v/>
      </c>
      <c r="I51" s="39">
        <f>IF($A51="","",INDEX(tBatches[[Transfers In / Added]],47))</f>
        <v/>
      </c>
      <c r="J51" s="39">
        <f>IF($A51="","",INDEX(tBatches[[Deaths]],47))</f>
        <v/>
      </c>
      <c r="K51" s="39">
        <f>IF($A51="","",INDEX(tBatches[[Heads Sold]],47))</f>
        <v/>
      </c>
      <c r="L51" s="39">
        <f>IF($A51="","",INDEX(tBatches[[Transfers Out]],47))</f>
        <v/>
      </c>
      <c r="M51" s="39">
        <f>IF($A51="","",INDEX(tBatches[[Current Quantity]],47))</f>
        <v/>
      </c>
      <c r="N51" s="40">
        <f>IF($A51="","",IFERROR(J51/(H51+I51),0))</f>
        <v/>
      </c>
      <c r="O51" s="28">
        <f>IF($A51="","",SUMIFS(tFeedIss[[Quantity Issued in kg]],tFeedIss[[Batch ID]],$A51))</f>
        <v/>
      </c>
      <c r="P51" s="29">
        <f>IF($A51="","",SUMIFS(tFeedIss[[Total Cost]],tFeedIss[[Batch ID]],$A51))</f>
        <v/>
      </c>
      <c r="Q51" s="29">
        <f>IF($A51="","",SUMIFS(tDrugUse[[Total Cost]],tDrugUse[[Batch ID]],$A51))</f>
        <v/>
      </c>
      <c r="R51" s="29">
        <f>IF($A51="","",SUMIFS(tExp[[Amount]],tExp[[Batch ID (if applicable)]],$A51))</f>
        <v/>
      </c>
      <c r="S51" s="41">
        <f>IF($A51="","",P51+Q51+R51)</f>
        <v/>
      </c>
      <c r="T51" s="41">
        <f>IF($A51="","",SUMIFS(tSales[[Total Revenue]],tSales[[Batch ID]],$A51))</f>
        <v/>
      </c>
      <c r="U51" s="41">
        <f>IF($A51="","",T51-S51)</f>
        <v/>
      </c>
      <c r="V51" s="29">
        <f>IF($A51="","",IFERROR(S51/(H51+I51),""))</f>
        <v/>
      </c>
      <c r="W51" s="29">
        <f>IF($A51="","",IF(K51=0,"",T51/K51))</f>
        <v/>
      </c>
      <c r="X51" s="42">
        <f>IF($A51="","",IFERROR(O51/(H51+I51),""))</f>
        <v/>
      </c>
      <c r="Y51" s="43">
        <f>IF($A51="","",IF(_xlfn.MAXIFS(tProd[[Date]],tProd[[Batch ID]],$A51,tProd[[Measurement Type]],"Weighing")=0,"",IFERROR(AVERAGEIFS(tProd[[Average Weight kg]],tProd[[Batch ID]],$A51,tProd[[Measurement Type]],"Weighing",tProd[[Date]],_xlfn.MAXIFS(tProd[[Date]],tProd[[Batch ID]],$A51,tProd[[Measurement Type]],"Weighing")),"")))</f>
        <v/>
      </c>
    </row>
    <row r="52">
      <c r="A52" s="27">
        <f>IFERROR(INDEX(tBatches[[Batch ID]],48)&amp;"","")</f>
        <v/>
      </c>
      <c r="B52" s="36">
        <f>IF($A52="","",INDEX(tBatches[[Pen ID]],48)&amp;"")</f>
        <v/>
      </c>
      <c r="C52" s="36">
        <f>IF($A52="","",INDEX(tBatches[[Animal Type]],48)&amp;"")</f>
        <v/>
      </c>
      <c r="D52" s="31">
        <f>IF($A52="","",INDEX(tBatches[[Batch Start Date]],48))</f>
        <v/>
      </c>
      <c r="E52" s="36">
        <f>IF($A52="","",INDEX(tBatches[[Status]],48)&amp;"")</f>
        <v/>
      </c>
      <c r="F52" s="31">
        <f>IF($A52="","",IF(N(INDEX(tBatches[[Closing Date]],48))=0,"",INDEX(tBatches[[Closing Date]],48)))</f>
        <v/>
      </c>
      <c r="G52" s="39">
        <f>IF($A52="","",INDEX(tBatches[[Age (days)]],48))</f>
        <v/>
      </c>
      <c r="H52" s="39">
        <f>IF($A52="","",N(INDEX(tBatches[[Initial Quantity]],48)))</f>
        <v/>
      </c>
      <c r="I52" s="39">
        <f>IF($A52="","",INDEX(tBatches[[Transfers In / Added]],48))</f>
        <v/>
      </c>
      <c r="J52" s="39">
        <f>IF($A52="","",INDEX(tBatches[[Deaths]],48))</f>
        <v/>
      </c>
      <c r="K52" s="39">
        <f>IF($A52="","",INDEX(tBatches[[Heads Sold]],48))</f>
        <v/>
      </c>
      <c r="L52" s="39">
        <f>IF($A52="","",INDEX(tBatches[[Transfers Out]],48))</f>
        <v/>
      </c>
      <c r="M52" s="39">
        <f>IF($A52="","",INDEX(tBatches[[Current Quantity]],48))</f>
        <v/>
      </c>
      <c r="N52" s="40">
        <f>IF($A52="","",IFERROR(J52/(H52+I52),0))</f>
        <v/>
      </c>
      <c r="O52" s="28">
        <f>IF($A52="","",SUMIFS(tFeedIss[[Quantity Issued in kg]],tFeedIss[[Batch ID]],$A52))</f>
        <v/>
      </c>
      <c r="P52" s="29">
        <f>IF($A52="","",SUMIFS(tFeedIss[[Total Cost]],tFeedIss[[Batch ID]],$A52))</f>
        <v/>
      </c>
      <c r="Q52" s="29">
        <f>IF($A52="","",SUMIFS(tDrugUse[[Total Cost]],tDrugUse[[Batch ID]],$A52))</f>
        <v/>
      </c>
      <c r="R52" s="29">
        <f>IF($A52="","",SUMIFS(tExp[[Amount]],tExp[[Batch ID (if applicable)]],$A52))</f>
        <v/>
      </c>
      <c r="S52" s="41">
        <f>IF($A52="","",P52+Q52+R52)</f>
        <v/>
      </c>
      <c r="T52" s="41">
        <f>IF($A52="","",SUMIFS(tSales[[Total Revenue]],tSales[[Batch ID]],$A52))</f>
        <v/>
      </c>
      <c r="U52" s="41">
        <f>IF($A52="","",T52-S52)</f>
        <v/>
      </c>
      <c r="V52" s="29">
        <f>IF($A52="","",IFERROR(S52/(H52+I52),""))</f>
        <v/>
      </c>
      <c r="W52" s="29">
        <f>IF($A52="","",IF(K52=0,"",T52/K52))</f>
        <v/>
      </c>
      <c r="X52" s="42">
        <f>IF($A52="","",IFERROR(O52/(H52+I52),""))</f>
        <v/>
      </c>
      <c r="Y52" s="43">
        <f>IF($A52="","",IF(_xlfn.MAXIFS(tProd[[Date]],tProd[[Batch ID]],$A52,tProd[[Measurement Type]],"Weighing")=0,"",IFERROR(AVERAGEIFS(tProd[[Average Weight kg]],tProd[[Batch ID]],$A52,tProd[[Measurement Type]],"Weighing",tProd[[Date]],_xlfn.MAXIFS(tProd[[Date]],tProd[[Batch ID]],$A52,tProd[[Measurement Type]],"Weighing")),"")))</f>
        <v/>
      </c>
    </row>
    <row r="53">
      <c r="A53" s="27">
        <f>IFERROR(INDEX(tBatches[[Batch ID]],49)&amp;"","")</f>
        <v/>
      </c>
      <c r="B53" s="36">
        <f>IF($A53="","",INDEX(tBatches[[Pen ID]],49)&amp;"")</f>
        <v/>
      </c>
      <c r="C53" s="36">
        <f>IF($A53="","",INDEX(tBatches[[Animal Type]],49)&amp;"")</f>
        <v/>
      </c>
      <c r="D53" s="31">
        <f>IF($A53="","",INDEX(tBatches[[Batch Start Date]],49))</f>
        <v/>
      </c>
      <c r="E53" s="36">
        <f>IF($A53="","",INDEX(tBatches[[Status]],49)&amp;"")</f>
        <v/>
      </c>
      <c r="F53" s="31">
        <f>IF($A53="","",IF(N(INDEX(tBatches[[Closing Date]],49))=0,"",INDEX(tBatches[[Closing Date]],49)))</f>
        <v/>
      </c>
      <c r="G53" s="39">
        <f>IF($A53="","",INDEX(tBatches[[Age (days)]],49))</f>
        <v/>
      </c>
      <c r="H53" s="39">
        <f>IF($A53="","",N(INDEX(tBatches[[Initial Quantity]],49)))</f>
        <v/>
      </c>
      <c r="I53" s="39">
        <f>IF($A53="","",INDEX(tBatches[[Transfers In / Added]],49))</f>
        <v/>
      </c>
      <c r="J53" s="39">
        <f>IF($A53="","",INDEX(tBatches[[Deaths]],49))</f>
        <v/>
      </c>
      <c r="K53" s="39">
        <f>IF($A53="","",INDEX(tBatches[[Heads Sold]],49))</f>
        <v/>
      </c>
      <c r="L53" s="39">
        <f>IF($A53="","",INDEX(tBatches[[Transfers Out]],49))</f>
        <v/>
      </c>
      <c r="M53" s="39">
        <f>IF($A53="","",INDEX(tBatches[[Current Quantity]],49))</f>
        <v/>
      </c>
      <c r="N53" s="40">
        <f>IF($A53="","",IFERROR(J53/(H53+I53),0))</f>
        <v/>
      </c>
      <c r="O53" s="28">
        <f>IF($A53="","",SUMIFS(tFeedIss[[Quantity Issued in kg]],tFeedIss[[Batch ID]],$A53))</f>
        <v/>
      </c>
      <c r="P53" s="29">
        <f>IF($A53="","",SUMIFS(tFeedIss[[Total Cost]],tFeedIss[[Batch ID]],$A53))</f>
        <v/>
      </c>
      <c r="Q53" s="29">
        <f>IF($A53="","",SUMIFS(tDrugUse[[Total Cost]],tDrugUse[[Batch ID]],$A53))</f>
        <v/>
      </c>
      <c r="R53" s="29">
        <f>IF($A53="","",SUMIFS(tExp[[Amount]],tExp[[Batch ID (if applicable)]],$A53))</f>
        <v/>
      </c>
      <c r="S53" s="41">
        <f>IF($A53="","",P53+Q53+R53)</f>
        <v/>
      </c>
      <c r="T53" s="41">
        <f>IF($A53="","",SUMIFS(tSales[[Total Revenue]],tSales[[Batch ID]],$A53))</f>
        <v/>
      </c>
      <c r="U53" s="41">
        <f>IF($A53="","",T53-S53)</f>
        <v/>
      </c>
      <c r="V53" s="29">
        <f>IF($A53="","",IFERROR(S53/(H53+I53),""))</f>
        <v/>
      </c>
      <c r="W53" s="29">
        <f>IF($A53="","",IF(K53=0,"",T53/K53))</f>
        <v/>
      </c>
      <c r="X53" s="42">
        <f>IF($A53="","",IFERROR(O53/(H53+I53),""))</f>
        <v/>
      </c>
      <c r="Y53" s="43">
        <f>IF($A53="","",IF(_xlfn.MAXIFS(tProd[[Date]],tProd[[Batch ID]],$A53,tProd[[Measurement Type]],"Weighing")=0,"",IFERROR(AVERAGEIFS(tProd[[Average Weight kg]],tProd[[Batch ID]],$A53,tProd[[Measurement Type]],"Weighing",tProd[[Date]],_xlfn.MAXIFS(tProd[[Date]],tProd[[Batch ID]],$A53,tProd[[Measurement Type]],"Weighing")),"")))</f>
        <v/>
      </c>
    </row>
    <row r="54">
      <c r="A54" s="27">
        <f>IFERROR(INDEX(tBatches[[Batch ID]],50)&amp;"","")</f>
        <v/>
      </c>
      <c r="B54" s="36">
        <f>IF($A54="","",INDEX(tBatches[[Pen ID]],50)&amp;"")</f>
        <v/>
      </c>
      <c r="C54" s="36">
        <f>IF($A54="","",INDEX(tBatches[[Animal Type]],50)&amp;"")</f>
        <v/>
      </c>
      <c r="D54" s="31">
        <f>IF($A54="","",INDEX(tBatches[[Batch Start Date]],50))</f>
        <v/>
      </c>
      <c r="E54" s="36">
        <f>IF($A54="","",INDEX(tBatches[[Status]],50)&amp;"")</f>
        <v/>
      </c>
      <c r="F54" s="31">
        <f>IF($A54="","",IF(N(INDEX(tBatches[[Closing Date]],50))=0,"",INDEX(tBatches[[Closing Date]],50)))</f>
        <v/>
      </c>
      <c r="G54" s="39">
        <f>IF($A54="","",INDEX(tBatches[[Age (days)]],50))</f>
        <v/>
      </c>
      <c r="H54" s="39">
        <f>IF($A54="","",N(INDEX(tBatches[[Initial Quantity]],50)))</f>
        <v/>
      </c>
      <c r="I54" s="39">
        <f>IF($A54="","",INDEX(tBatches[[Transfers In / Added]],50))</f>
        <v/>
      </c>
      <c r="J54" s="39">
        <f>IF($A54="","",INDEX(tBatches[[Deaths]],50))</f>
        <v/>
      </c>
      <c r="K54" s="39">
        <f>IF($A54="","",INDEX(tBatches[[Heads Sold]],50))</f>
        <v/>
      </c>
      <c r="L54" s="39">
        <f>IF($A54="","",INDEX(tBatches[[Transfers Out]],50))</f>
        <v/>
      </c>
      <c r="M54" s="39">
        <f>IF($A54="","",INDEX(tBatches[[Current Quantity]],50))</f>
        <v/>
      </c>
      <c r="N54" s="40">
        <f>IF($A54="","",IFERROR(J54/(H54+I54),0))</f>
        <v/>
      </c>
      <c r="O54" s="28">
        <f>IF($A54="","",SUMIFS(tFeedIss[[Quantity Issued in kg]],tFeedIss[[Batch ID]],$A54))</f>
        <v/>
      </c>
      <c r="P54" s="29">
        <f>IF($A54="","",SUMIFS(tFeedIss[[Total Cost]],tFeedIss[[Batch ID]],$A54))</f>
        <v/>
      </c>
      <c r="Q54" s="29">
        <f>IF($A54="","",SUMIFS(tDrugUse[[Total Cost]],tDrugUse[[Batch ID]],$A54))</f>
        <v/>
      </c>
      <c r="R54" s="29">
        <f>IF($A54="","",SUMIFS(tExp[[Amount]],tExp[[Batch ID (if applicable)]],$A54))</f>
        <v/>
      </c>
      <c r="S54" s="41">
        <f>IF($A54="","",P54+Q54+R54)</f>
        <v/>
      </c>
      <c r="T54" s="41">
        <f>IF($A54="","",SUMIFS(tSales[[Total Revenue]],tSales[[Batch ID]],$A54))</f>
        <v/>
      </c>
      <c r="U54" s="41">
        <f>IF($A54="","",T54-S54)</f>
        <v/>
      </c>
      <c r="V54" s="29">
        <f>IF($A54="","",IFERROR(S54/(H54+I54),""))</f>
        <v/>
      </c>
      <c r="W54" s="29">
        <f>IF($A54="","",IF(K54=0,"",T54/K54))</f>
        <v/>
      </c>
      <c r="X54" s="42">
        <f>IF($A54="","",IFERROR(O54/(H54+I54),""))</f>
        <v/>
      </c>
      <c r="Y54" s="43">
        <f>IF($A54="","",IF(_xlfn.MAXIFS(tProd[[Date]],tProd[[Batch ID]],$A54,tProd[[Measurement Type]],"Weighing")=0,"",IFERROR(AVERAGEIFS(tProd[[Average Weight kg]],tProd[[Batch ID]],$A54,tProd[[Measurement Type]],"Weighing",tProd[[Date]],_xlfn.MAXIFS(tProd[[Date]],tProd[[Batch ID]],$A54,tProd[[Measurement Type]],"Weighing")),"")))</f>
        <v/>
      </c>
    </row>
    <row r="55">
      <c r="A55" s="27">
        <f>IFERROR(INDEX(tBatches[[Batch ID]],51)&amp;"","")</f>
        <v/>
      </c>
      <c r="B55" s="36">
        <f>IF($A55="","",INDEX(tBatches[[Pen ID]],51)&amp;"")</f>
        <v/>
      </c>
      <c r="C55" s="36">
        <f>IF($A55="","",INDEX(tBatches[[Animal Type]],51)&amp;"")</f>
        <v/>
      </c>
      <c r="D55" s="31">
        <f>IF($A55="","",INDEX(tBatches[[Batch Start Date]],51))</f>
        <v/>
      </c>
      <c r="E55" s="36">
        <f>IF($A55="","",INDEX(tBatches[[Status]],51)&amp;"")</f>
        <v/>
      </c>
      <c r="F55" s="31">
        <f>IF($A55="","",IF(N(INDEX(tBatches[[Closing Date]],51))=0,"",INDEX(tBatches[[Closing Date]],51)))</f>
        <v/>
      </c>
      <c r="G55" s="39">
        <f>IF($A55="","",INDEX(tBatches[[Age (days)]],51))</f>
        <v/>
      </c>
      <c r="H55" s="39">
        <f>IF($A55="","",N(INDEX(tBatches[[Initial Quantity]],51)))</f>
        <v/>
      </c>
      <c r="I55" s="39">
        <f>IF($A55="","",INDEX(tBatches[[Transfers In / Added]],51))</f>
        <v/>
      </c>
      <c r="J55" s="39">
        <f>IF($A55="","",INDEX(tBatches[[Deaths]],51))</f>
        <v/>
      </c>
      <c r="K55" s="39">
        <f>IF($A55="","",INDEX(tBatches[[Heads Sold]],51))</f>
        <v/>
      </c>
      <c r="L55" s="39">
        <f>IF($A55="","",INDEX(tBatches[[Transfers Out]],51))</f>
        <v/>
      </c>
      <c r="M55" s="39">
        <f>IF($A55="","",INDEX(tBatches[[Current Quantity]],51))</f>
        <v/>
      </c>
      <c r="N55" s="40">
        <f>IF($A55="","",IFERROR(J55/(H55+I55),0))</f>
        <v/>
      </c>
      <c r="O55" s="28">
        <f>IF($A55="","",SUMIFS(tFeedIss[[Quantity Issued in kg]],tFeedIss[[Batch ID]],$A55))</f>
        <v/>
      </c>
      <c r="P55" s="29">
        <f>IF($A55="","",SUMIFS(tFeedIss[[Total Cost]],tFeedIss[[Batch ID]],$A55))</f>
        <v/>
      </c>
      <c r="Q55" s="29">
        <f>IF($A55="","",SUMIFS(tDrugUse[[Total Cost]],tDrugUse[[Batch ID]],$A55))</f>
        <v/>
      </c>
      <c r="R55" s="29">
        <f>IF($A55="","",SUMIFS(tExp[[Amount]],tExp[[Batch ID (if applicable)]],$A55))</f>
        <v/>
      </c>
      <c r="S55" s="41">
        <f>IF($A55="","",P55+Q55+R55)</f>
        <v/>
      </c>
      <c r="T55" s="41">
        <f>IF($A55="","",SUMIFS(tSales[[Total Revenue]],tSales[[Batch ID]],$A55))</f>
        <v/>
      </c>
      <c r="U55" s="41">
        <f>IF($A55="","",T55-S55)</f>
        <v/>
      </c>
      <c r="V55" s="29">
        <f>IF($A55="","",IFERROR(S55/(H55+I55),""))</f>
        <v/>
      </c>
      <c r="W55" s="29">
        <f>IF($A55="","",IF(K55=0,"",T55/K55))</f>
        <v/>
      </c>
      <c r="X55" s="42">
        <f>IF($A55="","",IFERROR(O55/(H55+I55),""))</f>
        <v/>
      </c>
      <c r="Y55" s="43">
        <f>IF($A55="","",IF(_xlfn.MAXIFS(tProd[[Date]],tProd[[Batch ID]],$A55,tProd[[Measurement Type]],"Weighing")=0,"",IFERROR(AVERAGEIFS(tProd[[Average Weight kg]],tProd[[Batch ID]],$A55,tProd[[Measurement Type]],"Weighing",tProd[[Date]],_xlfn.MAXIFS(tProd[[Date]],tProd[[Batch ID]],$A55,tProd[[Measurement Type]],"Weighing")),"")))</f>
        <v/>
      </c>
    </row>
    <row r="56">
      <c r="A56" s="27">
        <f>IFERROR(INDEX(tBatches[[Batch ID]],52)&amp;"","")</f>
        <v/>
      </c>
      <c r="B56" s="36">
        <f>IF($A56="","",INDEX(tBatches[[Pen ID]],52)&amp;"")</f>
        <v/>
      </c>
      <c r="C56" s="36">
        <f>IF($A56="","",INDEX(tBatches[[Animal Type]],52)&amp;"")</f>
        <v/>
      </c>
      <c r="D56" s="31">
        <f>IF($A56="","",INDEX(tBatches[[Batch Start Date]],52))</f>
        <v/>
      </c>
      <c r="E56" s="36">
        <f>IF($A56="","",INDEX(tBatches[[Status]],52)&amp;"")</f>
        <v/>
      </c>
      <c r="F56" s="31">
        <f>IF($A56="","",IF(N(INDEX(tBatches[[Closing Date]],52))=0,"",INDEX(tBatches[[Closing Date]],52)))</f>
        <v/>
      </c>
      <c r="G56" s="39">
        <f>IF($A56="","",INDEX(tBatches[[Age (days)]],52))</f>
        <v/>
      </c>
      <c r="H56" s="39">
        <f>IF($A56="","",N(INDEX(tBatches[[Initial Quantity]],52)))</f>
        <v/>
      </c>
      <c r="I56" s="39">
        <f>IF($A56="","",INDEX(tBatches[[Transfers In / Added]],52))</f>
        <v/>
      </c>
      <c r="J56" s="39">
        <f>IF($A56="","",INDEX(tBatches[[Deaths]],52))</f>
        <v/>
      </c>
      <c r="K56" s="39">
        <f>IF($A56="","",INDEX(tBatches[[Heads Sold]],52))</f>
        <v/>
      </c>
      <c r="L56" s="39">
        <f>IF($A56="","",INDEX(tBatches[[Transfers Out]],52))</f>
        <v/>
      </c>
      <c r="M56" s="39">
        <f>IF($A56="","",INDEX(tBatches[[Current Quantity]],52))</f>
        <v/>
      </c>
      <c r="N56" s="40">
        <f>IF($A56="","",IFERROR(J56/(H56+I56),0))</f>
        <v/>
      </c>
      <c r="O56" s="28">
        <f>IF($A56="","",SUMIFS(tFeedIss[[Quantity Issued in kg]],tFeedIss[[Batch ID]],$A56))</f>
        <v/>
      </c>
      <c r="P56" s="29">
        <f>IF($A56="","",SUMIFS(tFeedIss[[Total Cost]],tFeedIss[[Batch ID]],$A56))</f>
        <v/>
      </c>
      <c r="Q56" s="29">
        <f>IF($A56="","",SUMIFS(tDrugUse[[Total Cost]],tDrugUse[[Batch ID]],$A56))</f>
        <v/>
      </c>
      <c r="R56" s="29">
        <f>IF($A56="","",SUMIFS(tExp[[Amount]],tExp[[Batch ID (if applicable)]],$A56))</f>
        <v/>
      </c>
      <c r="S56" s="41">
        <f>IF($A56="","",P56+Q56+R56)</f>
        <v/>
      </c>
      <c r="T56" s="41">
        <f>IF($A56="","",SUMIFS(tSales[[Total Revenue]],tSales[[Batch ID]],$A56))</f>
        <v/>
      </c>
      <c r="U56" s="41">
        <f>IF($A56="","",T56-S56)</f>
        <v/>
      </c>
      <c r="V56" s="29">
        <f>IF($A56="","",IFERROR(S56/(H56+I56),""))</f>
        <v/>
      </c>
      <c r="W56" s="29">
        <f>IF($A56="","",IF(K56=0,"",T56/K56))</f>
        <v/>
      </c>
      <c r="X56" s="42">
        <f>IF($A56="","",IFERROR(O56/(H56+I56),""))</f>
        <v/>
      </c>
      <c r="Y56" s="43">
        <f>IF($A56="","",IF(_xlfn.MAXIFS(tProd[[Date]],tProd[[Batch ID]],$A56,tProd[[Measurement Type]],"Weighing")=0,"",IFERROR(AVERAGEIFS(tProd[[Average Weight kg]],tProd[[Batch ID]],$A56,tProd[[Measurement Type]],"Weighing",tProd[[Date]],_xlfn.MAXIFS(tProd[[Date]],tProd[[Batch ID]],$A56,tProd[[Measurement Type]],"Weighing")),"")))</f>
        <v/>
      </c>
    </row>
    <row r="57">
      <c r="A57" s="27">
        <f>IFERROR(INDEX(tBatches[[Batch ID]],53)&amp;"","")</f>
        <v/>
      </c>
      <c r="B57" s="36">
        <f>IF($A57="","",INDEX(tBatches[[Pen ID]],53)&amp;"")</f>
        <v/>
      </c>
      <c r="C57" s="36">
        <f>IF($A57="","",INDEX(tBatches[[Animal Type]],53)&amp;"")</f>
        <v/>
      </c>
      <c r="D57" s="31">
        <f>IF($A57="","",INDEX(tBatches[[Batch Start Date]],53))</f>
        <v/>
      </c>
      <c r="E57" s="36">
        <f>IF($A57="","",INDEX(tBatches[[Status]],53)&amp;"")</f>
        <v/>
      </c>
      <c r="F57" s="31">
        <f>IF($A57="","",IF(N(INDEX(tBatches[[Closing Date]],53))=0,"",INDEX(tBatches[[Closing Date]],53)))</f>
        <v/>
      </c>
      <c r="G57" s="39">
        <f>IF($A57="","",INDEX(tBatches[[Age (days)]],53))</f>
        <v/>
      </c>
      <c r="H57" s="39">
        <f>IF($A57="","",N(INDEX(tBatches[[Initial Quantity]],53)))</f>
        <v/>
      </c>
      <c r="I57" s="39">
        <f>IF($A57="","",INDEX(tBatches[[Transfers In / Added]],53))</f>
        <v/>
      </c>
      <c r="J57" s="39">
        <f>IF($A57="","",INDEX(tBatches[[Deaths]],53))</f>
        <v/>
      </c>
      <c r="K57" s="39">
        <f>IF($A57="","",INDEX(tBatches[[Heads Sold]],53))</f>
        <v/>
      </c>
      <c r="L57" s="39">
        <f>IF($A57="","",INDEX(tBatches[[Transfers Out]],53))</f>
        <v/>
      </c>
      <c r="M57" s="39">
        <f>IF($A57="","",INDEX(tBatches[[Current Quantity]],53))</f>
        <v/>
      </c>
      <c r="N57" s="40">
        <f>IF($A57="","",IFERROR(J57/(H57+I57),0))</f>
        <v/>
      </c>
      <c r="O57" s="28">
        <f>IF($A57="","",SUMIFS(tFeedIss[[Quantity Issued in kg]],tFeedIss[[Batch ID]],$A57))</f>
        <v/>
      </c>
      <c r="P57" s="29">
        <f>IF($A57="","",SUMIFS(tFeedIss[[Total Cost]],tFeedIss[[Batch ID]],$A57))</f>
        <v/>
      </c>
      <c r="Q57" s="29">
        <f>IF($A57="","",SUMIFS(tDrugUse[[Total Cost]],tDrugUse[[Batch ID]],$A57))</f>
        <v/>
      </c>
      <c r="R57" s="29">
        <f>IF($A57="","",SUMIFS(tExp[[Amount]],tExp[[Batch ID (if applicable)]],$A57))</f>
        <v/>
      </c>
      <c r="S57" s="41">
        <f>IF($A57="","",P57+Q57+R57)</f>
        <v/>
      </c>
      <c r="T57" s="41">
        <f>IF($A57="","",SUMIFS(tSales[[Total Revenue]],tSales[[Batch ID]],$A57))</f>
        <v/>
      </c>
      <c r="U57" s="41">
        <f>IF($A57="","",T57-S57)</f>
        <v/>
      </c>
      <c r="V57" s="29">
        <f>IF($A57="","",IFERROR(S57/(H57+I57),""))</f>
        <v/>
      </c>
      <c r="W57" s="29">
        <f>IF($A57="","",IF(K57=0,"",T57/K57))</f>
        <v/>
      </c>
      <c r="X57" s="42">
        <f>IF($A57="","",IFERROR(O57/(H57+I57),""))</f>
        <v/>
      </c>
      <c r="Y57" s="43">
        <f>IF($A57="","",IF(_xlfn.MAXIFS(tProd[[Date]],tProd[[Batch ID]],$A57,tProd[[Measurement Type]],"Weighing")=0,"",IFERROR(AVERAGEIFS(tProd[[Average Weight kg]],tProd[[Batch ID]],$A57,tProd[[Measurement Type]],"Weighing",tProd[[Date]],_xlfn.MAXIFS(tProd[[Date]],tProd[[Batch ID]],$A57,tProd[[Measurement Type]],"Weighing")),"")))</f>
        <v/>
      </c>
    </row>
    <row r="58">
      <c r="A58" s="27">
        <f>IFERROR(INDEX(tBatches[[Batch ID]],54)&amp;"","")</f>
        <v/>
      </c>
      <c r="B58" s="36">
        <f>IF($A58="","",INDEX(tBatches[[Pen ID]],54)&amp;"")</f>
        <v/>
      </c>
      <c r="C58" s="36">
        <f>IF($A58="","",INDEX(tBatches[[Animal Type]],54)&amp;"")</f>
        <v/>
      </c>
      <c r="D58" s="31">
        <f>IF($A58="","",INDEX(tBatches[[Batch Start Date]],54))</f>
        <v/>
      </c>
      <c r="E58" s="36">
        <f>IF($A58="","",INDEX(tBatches[[Status]],54)&amp;"")</f>
        <v/>
      </c>
      <c r="F58" s="31">
        <f>IF($A58="","",IF(N(INDEX(tBatches[[Closing Date]],54))=0,"",INDEX(tBatches[[Closing Date]],54)))</f>
        <v/>
      </c>
      <c r="G58" s="39">
        <f>IF($A58="","",INDEX(tBatches[[Age (days)]],54))</f>
        <v/>
      </c>
      <c r="H58" s="39">
        <f>IF($A58="","",N(INDEX(tBatches[[Initial Quantity]],54)))</f>
        <v/>
      </c>
      <c r="I58" s="39">
        <f>IF($A58="","",INDEX(tBatches[[Transfers In / Added]],54))</f>
        <v/>
      </c>
      <c r="J58" s="39">
        <f>IF($A58="","",INDEX(tBatches[[Deaths]],54))</f>
        <v/>
      </c>
      <c r="K58" s="39">
        <f>IF($A58="","",INDEX(tBatches[[Heads Sold]],54))</f>
        <v/>
      </c>
      <c r="L58" s="39">
        <f>IF($A58="","",INDEX(tBatches[[Transfers Out]],54))</f>
        <v/>
      </c>
      <c r="M58" s="39">
        <f>IF($A58="","",INDEX(tBatches[[Current Quantity]],54))</f>
        <v/>
      </c>
      <c r="N58" s="40">
        <f>IF($A58="","",IFERROR(J58/(H58+I58),0))</f>
        <v/>
      </c>
      <c r="O58" s="28">
        <f>IF($A58="","",SUMIFS(tFeedIss[[Quantity Issued in kg]],tFeedIss[[Batch ID]],$A58))</f>
        <v/>
      </c>
      <c r="P58" s="29">
        <f>IF($A58="","",SUMIFS(tFeedIss[[Total Cost]],tFeedIss[[Batch ID]],$A58))</f>
        <v/>
      </c>
      <c r="Q58" s="29">
        <f>IF($A58="","",SUMIFS(tDrugUse[[Total Cost]],tDrugUse[[Batch ID]],$A58))</f>
        <v/>
      </c>
      <c r="R58" s="29">
        <f>IF($A58="","",SUMIFS(tExp[[Amount]],tExp[[Batch ID (if applicable)]],$A58))</f>
        <v/>
      </c>
      <c r="S58" s="41">
        <f>IF($A58="","",P58+Q58+R58)</f>
        <v/>
      </c>
      <c r="T58" s="41">
        <f>IF($A58="","",SUMIFS(tSales[[Total Revenue]],tSales[[Batch ID]],$A58))</f>
        <v/>
      </c>
      <c r="U58" s="41">
        <f>IF($A58="","",T58-S58)</f>
        <v/>
      </c>
      <c r="V58" s="29">
        <f>IF($A58="","",IFERROR(S58/(H58+I58),""))</f>
        <v/>
      </c>
      <c r="W58" s="29">
        <f>IF($A58="","",IF(K58=0,"",T58/K58))</f>
        <v/>
      </c>
      <c r="X58" s="42">
        <f>IF($A58="","",IFERROR(O58/(H58+I58),""))</f>
        <v/>
      </c>
      <c r="Y58" s="43">
        <f>IF($A58="","",IF(_xlfn.MAXIFS(tProd[[Date]],tProd[[Batch ID]],$A58,tProd[[Measurement Type]],"Weighing")=0,"",IFERROR(AVERAGEIFS(tProd[[Average Weight kg]],tProd[[Batch ID]],$A58,tProd[[Measurement Type]],"Weighing",tProd[[Date]],_xlfn.MAXIFS(tProd[[Date]],tProd[[Batch ID]],$A58,tProd[[Measurement Type]],"Weighing")),"")))</f>
        <v/>
      </c>
    </row>
    <row r="59">
      <c r="A59" s="27">
        <f>IFERROR(INDEX(tBatches[[Batch ID]],55)&amp;"","")</f>
        <v/>
      </c>
      <c r="B59" s="36">
        <f>IF($A59="","",INDEX(tBatches[[Pen ID]],55)&amp;"")</f>
        <v/>
      </c>
      <c r="C59" s="36">
        <f>IF($A59="","",INDEX(tBatches[[Animal Type]],55)&amp;"")</f>
        <v/>
      </c>
      <c r="D59" s="31">
        <f>IF($A59="","",INDEX(tBatches[[Batch Start Date]],55))</f>
        <v/>
      </c>
      <c r="E59" s="36">
        <f>IF($A59="","",INDEX(tBatches[[Status]],55)&amp;"")</f>
        <v/>
      </c>
      <c r="F59" s="31">
        <f>IF($A59="","",IF(N(INDEX(tBatches[[Closing Date]],55))=0,"",INDEX(tBatches[[Closing Date]],55)))</f>
        <v/>
      </c>
      <c r="G59" s="39">
        <f>IF($A59="","",INDEX(tBatches[[Age (days)]],55))</f>
        <v/>
      </c>
      <c r="H59" s="39">
        <f>IF($A59="","",N(INDEX(tBatches[[Initial Quantity]],55)))</f>
        <v/>
      </c>
      <c r="I59" s="39">
        <f>IF($A59="","",INDEX(tBatches[[Transfers In / Added]],55))</f>
        <v/>
      </c>
      <c r="J59" s="39">
        <f>IF($A59="","",INDEX(tBatches[[Deaths]],55))</f>
        <v/>
      </c>
      <c r="K59" s="39">
        <f>IF($A59="","",INDEX(tBatches[[Heads Sold]],55))</f>
        <v/>
      </c>
      <c r="L59" s="39">
        <f>IF($A59="","",INDEX(tBatches[[Transfers Out]],55))</f>
        <v/>
      </c>
      <c r="M59" s="39">
        <f>IF($A59="","",INDEX(tBatches[[Current Quantity]],55))</f>
        <v/>
      </c>
      <c r="N59" s="40">
        <f>IF($A59="","",IFERROR(J59/(H59+I59),0))</f>
        <v/>
      </c>
      <c r="O59" s="28">
        <f>IF($A59="","",SUMIFS(tFeedIss[[Quantity Issued in kg]],tFeedIss[[Batch ID]],$A59))</f>
        <v/>
      </c>
      <c r="P59" s="29">
        <f>IF($A59="","",SUMIFS(tFeedIss[[Total Cost]],tFeedIss[[Batch ID]],$A59))</f>
        <v/>
      </c>
      <c r="Q59" s="29">
        <f>IF($A59="","",SUMIFS(tDrugUse[[Total Cost]],tDrugUse[[Batch ID]],$A59))</f>
        <v/>
      </c>
      <c r="R59" s="29">
        <f>IF($A59="","",SUMIFS(tExp[[Amount]],tExp[[Batch ID (if applicable)]],$A59))</f>
        <v/>
      </c>
      <c r="S59" s="41">
        <f>IF($A59="","",P59+Q59+R59)</f>
        <v/>
      </c>
      <c r="T59" s="41">
        <f>IF($A59="","",SUMIFS(tSales[[Total Revenue]],tSales[[Batch ID]],$A59))</f>
        <v/>
      </c>
      <c r="U59" s="41">
        <f>IF($A59="","",T59-S59)</f>
        <v/>
      </c>
      <c r="V59" s="29">
        <f>IF($A59="","",IFERROR(S59/(H59+I59),""))</f>
        <v/>
      </c>
      <c r="W59" s="29">
        <f>IF($A59="","",IF(K59=0,"",T59/K59))</f>
        <v/>
      </c>
      <c r="X59" s="42">
        <f>IF($A59="","",IFERROR(O59/(H59+I59),""))</f>
        <v/>
      </c>
      <c r="Y59" s="43">
        <f>IF($A59="","",IF(_xlfn.MAXIFS(tProd[[Date]],tProd[[Batch ID]],$A59,tProd[[Measurement Type]],"Weighing")=0,"",IFERROR(AVERAGEIFS(tProd[[Average Weight kg]],tProd[[Batch ID]],$A59,tProd[[Measurement Type]],"Weighing",tProd[[Date]],_xlfn.MAXIFS(tProd[[Date]],tProd[[Batch ID]],$A59,tProd[[Measurement Type]],"Weighing")),"")))</f>
        <v/>
      </c>
    </row>
    <row r="60">
      <c r="A60" s="27">
        <f>IFERROR(INDEX(tBatches[[Batch ID]],56)&amp;"","")</f>
        <v/>
      </c>
      <c r="B60" s="36">
        <f>IF($A60="","",INDEX(tBatches[[Pen ID]],56)&amp;"")</f>
        <v/>
      </c>
      <c r="C60" s="36">
        <f>IF($A60="","",INDEX(tBatches[[Animal Type]],56)&amp;"")</f>
        <v/>
      </c>
      <c r="D60" s="31">
        <f>IF($A60="","",INDEX(tBatches[[Batch Start Date]],56))</f>
        <v/>
      </c>
      <c r="E60" s="36">
        <f>IF($A60="","",INDEX(tBatches[[Status]],56)&amp;"")</f>
        <v/>
      </c>
      <c r="F60" s="31">
        <f>IF($A60="","",IF(N(INDEX(tBatches[[Closing Date]],56))=0,"",INDEX(tBatches[[Closing Date]],56)))</f>
        <v/>
      </c>
      <c r="G60" s="39">
        <f>IF($A60="","",INDEX(tBatches[[Age (days)]],56))</f>
        <v/>
      </c>
      <c r="H60" s="39">
        <f>IF($A60="","",N(INDEX(tBatches[[Initial Quantity]],56)))</f>
        <v/>
      </c>
      <c r="I60" s="39">
        <f>IF($A60="","",INDEX(tBatches[[Transfers In / Added]],56))</f>
        <v/>
      </c>
      <c r="J60" s="39">
        <f>IF($A60="","",INDEX(tBatches[[Deaths]],56))</f>
        <v/>
      </c>
      <c r="K60" s="39">
        <f>IF($A60="","",INDEX(tBatches[[Heads Sold]],56))</f>
        <v/>
      </c>
      <c r="L60" s="39">
        <f>IF($A60="","",INDEX(tBatches[[Transfers Out]],56))</f>
        <v/>
      </c>
      <c r="M60" s="39">
        <f>IF($A60="","",INDEX(tBatches[[Current Quantity]],56))</f>
        <v/>
      </c>
      <c r="N60" s="40">
        <f>IF($A60="","",IFERROR(J60/(H60+I60),0))</f>
        <v/>
      </c>
      <c r="O60" s="28">
        <f>IF($A60="","",SUMIFS(tFeedIss[[Quantity Issued in kg]],tFeedIss[[Batch ID]],$A60))</f>
        <v/>
      </c>
      <c r="P60" s="29">
        <f>IF($A60="","",SUMIFS(tFeedIss[[Total Cost]],tFeedIss[[Batch ID]],$A60))</f>
        <v/>
      </c>
      <c r="Q60" s="29">
        <f>IF($A60="","",SUMIFS(tDrugUse[[Total Cost]],tDrugUse[[Batch ID]],$A60))</f>
        <v/>
      </c>
      <c r="R60" s="29">
        <f>IF($A60="","",SUMIFS(tExp[[Amount]],tExp[[Batch ID (if applicable)]],$A60))</f>
        <v/>
      </c>
      <c r="S60" s="41">
        <f>IF($A60="","",P60+Q60+R60)</f>
        <v/>
      </c>
      <c r="T60" s="41">
        <f>IF($A60="","",SUMIFS(tSales[[Total Revenue]],tSales[[Batch ID]],$A60))</f>
        <v/>
      </c>
      <c r="U60" s="41">
        <f>IF($A60="","",T60-S60)</f>
        <v/>
      </c>
      <c r="V60" s="29">
        <f>IF($A60="","",IFERROR(S60/(H60+I60),""))</f>
        <v/>
      </c>
      <c r="W60" s="29">
        <f>IF($A60="","",IF(K60=0,"",T60/K60))</f>
        <v/>
      </c>
      <c r="X60" s="42">
        <f>IF($A60="","",IFERROR(O60/(H60+I60),""))</f>
        <v/>
      </c>
      <c r="Y60" s="43">
        <f>IF($A60="","",IF(_xlfn.MAXIFS(tProd[[Date]],tProd[[Batch ID]],$A60,tProd[[Measurement Type]],"Weighing")=0,"",IFERROR(AVERAGEIFS(tProd[[Average Weight kg]],tProd[[Batch ID]],$A60,tProd[[Measurement Type]],"Weighing",tProd[[Date]],_xlfn.MAXIFS(tProd[[Date]],tProd[[Batch ID]],$A60,tProd[[Measurement Type]],"Weighing")),"")))</f>
        <v/>
      </c>
    </row>
    <row r="61">
      <c r="A61" s="27">
        <f>IFERROR(INDEX(tBatches[[Batch ID]],57)&amp;"","")</f>
        <v/>
      </c>
      <c r="B61" s="36">
        <f>IF($A61="","",INDEX(tBatches[[Pen ID]],57)&amp;"")</f>
        <v/>
      </c>
      <c r="C61" s="36">
        <f>IF($A61="","",INDEX(tBatches[[Animal Type]],57)&amp;"")</f>
        <v/>
      </c>
      <c r="D61" s="31">
        <f>IF($A61="","",INDEX(tBatches[[Batch Start Date]],57))</f>
        <v/>
      </c>
      <c r="E61" s="36">
        <f>IF($A61="","",INDEX(tBatches[[Status]],57)&amp;"")</f>
        <v/>
      </c>
      <c r="F61" s="31">
        <f>IF($A61="","",IF(N(INDEX(tBatches[[Closing Date]],57))=0,"",INDEX(tBatches[[Closing Date]],57)))</f>
        <v/>
      </c>
      <c r="G61" s="39">
        <f>IF($A61="","",INDEX(tBatches[[Age (days)]],57))</f>
        <v/>
      </c>
      <c r="H61" s="39">
        <f>IF($A61="","",N(INDEX(tBatches[[Initial Quantity]],57)))</f>
        <v/>
      </c>
      <c r="I61" s="39">
        <f>IF($A61="","",INDEX(tBatches[[Transfers In / Added]],57))</f>
        <v/>
      </c>
      <c r="J61" s="39">
        <f>IF($A61="","",INDEX(tBatches[[Deaths]],57))</f>
        <v/>
      </c>
      <c r="K61" s="39">
        <f>IF($A61="","",INDEX(tBatches[[Heads Sold]],57))</f>
        <v/>
      </c>
      <c r="L61" s="39">
        <f>IF($A61="","",INDEX(tBatches[[Transfers Out]],57))</f>
        <v/>
      </c>
      <c r="M61" s="39">
        <f>IF($A61="","",INDEX(tBatches[[Current Quantity]],57))</f>
        <v/>
      </c>
      <c r="N61" s="40">
        <f>IF($A61="","",IFERROR(J61/(H61+I61),0))</f>
        <v/>
      </c>
      <c r="O61" s="28">
        <f>IF($A61="","",SUMIFS(tFeedIss[[Quantity Issued in kg]],tFeedIss[[Batch ID]],$A61))</f>
        <v/>
      </c>
      <c r="P61" s="29">
        <f>IF($A61="","",SUMIFS(tFeedIss[[Total Cost]],tFeedIss[[Batch ID]],$A61))</f>
        <v/>
      </c>
      <c r="Q61" s="29">
        <f>IF($A61="","",SUMIFS(tDrugUse[[Total Cost]],tDrugUse[[Batch ID]],$A61))</f>
        <v/>
      </c>
      <c r="R61" s="29">
        <f>IF($A61="","",SUMIFS(tExp[[Amount]],tExp[[Batch ID (if applicable)]],$A61))</f>
        <v/>
      </c>
      <c r="S61" s="41">
        <f>IF($A61="","",P61+Q61+R61)</f>
        <v/>
      </c>
      <c r="T61" s="41">
        <f>IF($A61="","",SUMIFS(tSales[[Total Revenue]],tSales[[Batch ID]],$A61))</f>
        <v/>
      </c>
      <c r="U61" s="41">
        <f>IF($A61="","",T61-S61)</f>
        <v/>
      </c>
      <c r="V61" s="29">
        <f>IF($A61="","",IFERROR(S61/(H61+I61),""))</f>
        <v/>
      </c>
      <c r="W61" s="29">
        <f>IF($A61="","",IF(K61=0,"",T61/K61))</f>
        <v/>
      </c>
      <c r="X61" s="42">
        <f>IF($A61="","",IFERROR(O61/(H61+I61),""))</f>
        <v/>
      </c>
      <c r="Y61" s="43">
        <f>IF($A61="","",IF(_xlfn.MAXIFS(tProd[[Date]],tProd[[Batch ID]],$A61,tProd[[Measurement Type]],"Weighing")=0,"",IFERROR(AVERAGEIFS(tProd[[Average Weight kg]],tProd[[Batch ID]],$A61,tProd[[Measurement Type]],"Weighing",tProd[[Date]],_xlfn.MAXIFS(tProd[[Date]],tProd[[Batch ID]],$A61,tProd[[Measurement Type]],"Weighing")),"")))</f>
        <v/>
      </c>
    </row>
    <row r="62">
      <c r="A62" s="27">
        <f>IFERROR(INDEX(tBatches[[Batch ID]],58)&amp;"","")</f>
        <v/>
      </c>
      <c r="B62" s="36">
        <f>IF($A62="","",INDEX(tBatches[[Pen ID]],58)&amp;"")</f>
        <v/>
      </c>
      <c r="C62" s="36">
        <f>IF($A62="","",INDEX(tBatches[[Animal Type]],58)&amp;"")</f>
        <v/>
      </c>
      <c r="D62" s="31">
        <f>IF($A62="","",INDEX(tBatches[[Batch Start Date]],58))</f>
        <v/>
      </c>
      <c r="E62" s="36">
        <f>IF($A62="","",INDEX(tBatches[[Status]],58)&amp;"")</f>
        <v/>
      </c>
      <c r="F62" s="31">
        <f>IF($A62="","",IF(N(INDEX(tBatches[[Closing Date]],58))=0,"",INDEX(tBatches[[Closing Date]],58)))</f>
        <v/>
      </c>
      <c r="G62" s="39">
        <f>IF($A62="","",INDEX(tBatches[[Age (days)]],58))</f>
        <v/>
      </c>
      <c r="H62" s="39">
        <f>IF($A62="","",N(INDEX(tBatches[[Initial Quantity]],58)))</f>
        <v/>
      </c>
      <c r="I62" s="39">
        <f>IF($A62="","",INDEX(tBatches[[Transfers In / Added]],58))</f>
        <v/>
      </c>
      <c r="J62" s="39">
        <f>IF($A62="","",INDEX(tBatches[[Deaths]],58))</f>
        <v/>
      </c>
      <c r="K62" s="39">
        <f>IF($A62="","",INDEX(tBatches[[Heads Sold]],58))</f>
        <v/>
      </c>
      <c r="L62" s="39">
        <f>IF($A62="","",INDEX(tBatches[[Transfers Out]],58))</f>
        <v/>
      </c>
      <c r="M62" s="39">
        <f>IF($A62="","",INDEX(tBatches[[Current Quantity]],58))</f>
        <v/>
      </c>
      <c r="N62" s="40">
        <f>IF($A62="","",IFERROR(J62/(H62+I62),0))</f>
        <v/>
      </c>
      <c r="O62" s="28">
        <f>IF($A62="","",SUMIFS(tFeedIss[[Quantity Issued in kg]],tFeedIss[[Batch ID]],$A62))</f>
        <v/>
      </c>
      <c r="P62" s="29">
        <f>IF($A62="","",SUMIFS(tFeedIss[[Total Cost]],tFeedIss[[Batch ID]],$A62))</f>
        <v/>
      </c>
      <c r="Q62" s="29">
        <f>IF($A62="","",SUMIFS(tDrugUse[[Total Cost]],tDrugUse[[Batch ID]],$A62))</f>
        <v/>
      </c>
      <c r="R62" s="29">
        <f>IF($A62="","",SUMIFS(tExp[[Amount]],tExp[[Batch ID (if applicable)]],$A62))</f>
        <v/>
      </c>
      <c r="S62" s="41">
        <f>IF($A62="","",P62+Q62+R62)</f>
        <v/>
      </c>
      <c r="T62" s="41">
        <f>IF($A62="","",SUMIFS(tSales[[Total Revenue]],tSales[[Batch ID]],$A62))</f>
        <v/>
      </c>
      <c r="U62" s="41">
        <f>IF($A62="","",T62-S62)</f>
        <v/>
      </c>
      <c r="V62" s="29">
        <f>IF($A62="","",IFERROR(S62/(H62+I62),""))</f>
        <v/>
      </c>
      <c r="W62" s="29">
        <f>IF($A62="","",IF(K62=0,"",T62/K62))</f>
        <v/>
      </c>
      <c r="X62" s="42">
        <f>IF($A62="","",IFERROR(O62/(H62+I62),""))</f>
        <v/>
      </c>
      <c r="Y62" s="43">
        <f>IF($A62="","",IF(_xlfn.MAXIFS(tProd[[Date]],tProd[[Batch ID]],$A62,tProd[[Measurement Type]],"Weighing")=0,"",IFERROR(AVERAGEIFS(tProd[[Average Weight kg]],tProd[[Batch ID]],$A62,tProd[[Measurement Type]],"Weighing",tProd[[Date]],_xlfn.MAXIFS(tProd[[Date]],tProd[[Batch ID]],$A62,tProd[[Measurement Type]],"Weighing")),"")))</f>
        <v/>
      </c>
    </row>
    <row r="63">
      <c r="A63" s="27">
        <f>IFERROR(INDEX(tBatches[[Batch ID]],59)&amp;"","")</f>
        <v/>
      </c>
      <c r="B63" s="36">
        <f>IF($A63="","",INDEX(tBatches[[Pen ID]],59)&amp;"")</f>
        <v/>
      </c>
      <c r="C63" s="36">
        <f>IF($A63="","",INDEX(tBatches[[Animal Type]],59)&amp;"")</f>
        <v/>
      </c>
      <c r="D63" s="31">
        <f>IF($A63="","",INDEX(tBatches[[Batch Start Date]],59))</f>
        <v/>
      </c>
      <c r="E63" s="36">
        <f>IF($A63="","",INDEX(tBatches[[Status]],59)&amp;"")</f>
        <v/>
      </c>
      <c r="F63" s="31">
        <f>IF($A63="","",IF(N(INDEX(tBatches[[Closing Date]],59))=0,"",INDEX(tBatches[[Closing Date]],59)))</f>
        <v/>
      </c>
      <c r="G63" s="39">
        <f>IF($A63="","",INDEX(tBatches[[Age (days)]],59))</f>
        <v/>
      </c>
      <c r="H63" s="39">
        <f>IF($A63="","",N(INDEX(tBatches[[Initial Quantity]],59)))</f>
        <v/>
      </c>
      <c r="I63" s="39">
        <f>IF($A63="","",INDEX(tBatches[[Transfers In / Added]],59))</f>
        <v/>
      </c>
      <c r="J63" s="39">
        <f>IF($A63="","",INDEX(tBatches[[Deaths]],59))</f>
        <v/>
      </c>
      <c r="K63" s="39">
        <f>IF($A63="","",INDEX(tBatches[[Heads Sold]],59))</f>
        <v/>
      </c>
      <c r="L63" s="39">
        <f>IF($A63="","",INDEX(tBatches[[Transfers Out]],59))</f>
        <v/>
      </c>
      <c r="M63" s="39">
        <f>IF($A63="","",INDEX(tBatches[[Current Quantity]],59))</f>
        <v/>
      </c>
      <c r="N63" s="40">
        <f>IF($A63="","",IFERROR(J63/(H63+I63),0))</f>
        <v/>
      </c>
      <c r="O63" s="28">
        <f>IF($A63="","",SUMIFS(tFeedIss[[Quantity Issued in kg]],tFeedIss[[Batch ID]],$A63))</f>
        <v/>
      </c>
      <c r="P63" s="29">
        <f>IF($A63="","",SUMIFS(tFeedIss[[Total Cost]],tFeedIss[[Batch ID]],$A63))</f>
        <v/>
      </c>
      <c r="Q63" s="29">
        <f>IF($A63="","",SUMIFS(tDrugUse[[Total Cost]],tDrugUse[[Batch ID]],$A63))</f>
        <v/>
      </c>
      <c r="R63" s="29">
        <f>IF($A63="","",SUMIFS(tExp[[Amount]],tExp[[Batch ID (if applicable)]],$A63))</f>
        <v/>
      </c>
      <c r="S63" s="41">
        <f>IF($A63="","",P63+Q63+R63)</f>
        <v/>
      </c>
      <c r="T63" s="41">
        <f>IF($A63="","",SUMIFS(tSales[[Total Revenue]],tSales[[Batch ID]],$A63))</f>
        <v/>
      </c>
      <c r="U63" s="41">
        <f>IF($A63="","",T63-S63)</f>
        <v/>
      </c>
      <c r="V63" s="29">
        <f>IF($A63="","",IFERROR(S63/(H63+I63),""))</f>
        <v/>
      </c>
      <c r="W63" s="29">
        <f>IF($A63="","",IF(K63=0,"",T63/K63))</f>
        <v/>
      </c>
      <c r="X63" s="42">
        <f>IF($A63="","",IFERROR(O63/(H63+I63),""))</f>
        <v/>
      </c>
      <c r="Y63" s="43">
        <f>IF($A63="","",IF(_xlfn.MAXIFS(tProd[[Date]],tProd[[Batch ID]],$A63,tProd[[Measurement Type]],"Weighing")=0,"",IFERROR(AVERAGEIFS(tProd[[Average Weight kg]],tProd[[Batch ID]],$A63,tProd[[Measurement Type]],"Weighing",tProd[[Date]],_xlfn.MAXIFS(tProd[[Date]],tProd[[Batch ID]],$A63,tProd[[Measurement Type]],"Weighing")),"")))</f>
        <v/>
      </c>
    </row>
    <row r="64">
      <c r="A64" s="27">
        <f>IFERROR(INDEX(tBatches[[Batch ID]],60)&amp;"","")</f>
        <v/>
      </c>
      <c r="B64" s="36">
        <f>IF($A64="","",INDEX(tBatches[[Pen ID]],60)&amp;"")</f>
        <v/>
      </c>
      <c r="C64" s="36">
        <f>IF($A64="","",INDEX(tBatches[[Animal Type]],60)&amp;"")</f>
        <v/>
      </c>
      <c r="D64" s="31">
        <f>IF($A64="","",INDEX(tBatches[[Batch Start Date]],60))</f>
        <v/>
      </c>
      <c r="E64" s="36">
        <f>IF($A64="","",INDEX(tBatches[[Status]],60)&amp;"")</f>
        <v/>
      </c>
      <c r="F64" s="31">
        <f>IF($A64="","",IF(N(INDEX(tBatches[[Closing Date]],60))=0,"",INDEX(tBatches[[Closing Date]],60)))</f>
        <v/>
      </c>
      <c r="G64" s="39">
        <f>IF($A64="","",INDEX(tBatches[[Age (days)]],60))</f>
        <v/>
      </c>
      <c r="H64" s="39">
        <f>IF($A64="","",N(INDEX(tBatches[[Initial Quantity]],60)))</f>
        <v/>
      </c>
      <c r="I64" s="39">
        <f>IF($A64="","",INDEX(tBatches[[Transfers In / Added]],60))</f>
        <v/>
      </c>
      <c r="J64" s="39">
        <f>IF($A64="","",INDEX(tBatches[[Deaths]],60))</f>
        <v/>
      </c>
      <c r="K64" s="39">
        <f>IF($A64="","",INDEX(tBatches[[Heads Sold]],60))</f>
        <v/>
      </c>
      <c r="L64" s="39">
        <f>IF($A64="","",INDEX(tBatches[[Transfers Out]],60))</f>
        <v/>
      </c>
      <c r="M64" s="39">
        <f>IF($A64="","",INDEX(tBatches[[Current Quantity]],60))</f>
        <v/>
      </c>
      <c r="N64" s="40">
        <f>IF($A64="","",IFERROR(J64/(H64+I64),0))</f>
        <v/>
      </c>
      <c r="O64" s="28">
        <f>IF($A64="","",SUMIFS(tFeedIss[[Quantity Issued in kg]],tFeedIss[[Batch ID]],$A64))</f>
        <v/>
      </c>
      <c r="P64" s="29">
        <f>IF($A64="","",SUMIFS(tFeedIss[[Total Cost]],tFeedIss[[Batch ID]],$A64))</f>
        <v/>
      </c>
      <c r="Q64" s="29">
        <f>IF($A64="","",SUMIFS(tDrugUse[[Total Cost]],tDrugUse[[Batch ID]],$A64))</f>
        <v/>
      </c>
      <c r="R64" s="29">
        <f>IF($A64="","",SUMIFS(tExp[[Amount]],tExp[[Batch ID (if applicable)]],$A64))</f>
        <v/>
      </c>
      <c r="S64" s="41">
        <f>IF($A64="","",P64+Q64+R64)</f>
        <v/>
      </c>
      <c r="T64" s="41">
        <f>IF($A64="","",SUMIFS(tSales[[Total Revenue]],tSales[[Batch ID]],$A64))</f>
        <v/>
      </c>
      <c r="U64" s="41">
        <f>IF($A64="","",T64-S64)</f>
        <v/>
      </c>
      <c r="V64" s="29">
        <f>IF($A64="","",IFERROR(S64/(H64+I64),""))</f>
        <v/>
      </c>
      <c r="W64" s="29">
        <f>IF($A64="","",IF(K64=0,"",T64/K64))</f>
        <v/>
      </c>
      <c r="X64" s="42">
        <f>IF($A64="","",IFERROR(O64/(H64+I64),""))</f>
        <v/>
      </c>
      <c r="Y64" s="43">
        <f>IF($A64="","",IF(_xlfn.MAXIFS(tProd[[Date]],tProd[[Batch ID]],$A64,tProd[[Measurement Type]],"Weighing")=0,"",IFERROR(AVERAGEIFS(tProd[[Average Weight kg]],tProd[[Batch ID]],$A64,tProd[[Measurement Type]],"Weighing",tProd[[Date]],_xlfn.MAXIFS(tProd[[Date]],tProd[[Batch ID]],$A64,tProd[[Measurement Type]],"Weighing")),"")))</f>
        <v/>
      </c>
    </row>
    <row r="65">
      <c r="A65" s="27">
        <f>IFERROR(INDEX(tBatches[[Batch ID]],61)&amp;"","")</f>
        <v/>
      </c>
      <c r="B65" s="36">
        <f>IF($A65="","",INDEX(tBatches[[Pen ID]],61)&amp;"")</f>
        <v/>
      </c>
      <c r="C65" s="36">
        <f>IF($A65="","",INDEX(tBatches[[Animal Type]],61)&amp;"")</f>
        <v/>
      </c>
      <c r="D65" s="31">
        <f>IF($A65="","",INDEX(tBatches[[Batch Start Date]],61))</f>
        <v/>
      </c>
      <c r="E65" s="36">
        <f>IF($A65="","",INDEX(tBatches[[Status]],61)&amp;"")</f>
        <v/>
      </c>
      <c r="F65" s="31">
        <f>IF($A65="","",IF(N(INDEX(tBatches[[Closing Date]],61))=0,"",INDEX(tBatches[[Closing Date]],61)))</f>
        <v/>
      </c>
      <c r="G65" s="39">
        <f>IF($A65="","",INDEX(tBatches[[Age (days)]],61))</f>
        <v/>
      </c>
      <c r="H65" s="39">
        <f>IF($A65="","",N(INDEX(tBatches[[Initial Quantity]],61)))</f>
        <v/>
      </c>
      <c r="I65" s="39">
        <f>IF($A65="","",INDEX(tBatches[[Transfers In / Added]],61))</f>
        <v/>
      </c>
      <c r="J65" s="39">
        <f>IF($A65="","",INDEX(tBatches[[Deaths]],61))</f>
        <v/>
      </c>
      <c r="K65" s="39">
        <f>IF($A65="","",INDEX(tBatches[[Heads Sold]],61))</f>
        <v/>
      </c>
      <c r="L65" s="39">
        <f>IF($A65="","",INDEX(tBatches[[Transfers Out]],61))</f>
        <v/>
      </c>
      <c r="M65" s="39">
        <f>IF($A65="","",INDEX(tBatches[[Current Quantity]],61))</f>
        <v/>
      </c>
      <c r="N65" s="40">
        <f>IF($A65="","",IFERROR(J65/(H65+I65),0))</f>
        <v/>
      </c>
      <c r="O65" s="28">
        <f>IF($A65="","",SUMIFS(tFeedIss[[Quantity Issued in kg]],tFeedIss[[Batch ID]],$A65))</f>
        <v/>
      </c>
      <c r="P65" s="29">
        <f>IF($A65="","",SUMIFS(tFeedIss[[Total Cost]],tFeedIss[[Batch ID]],$A65))</f>
        <v/>
      </c>
      <c r="Q65" s="29">
        <f>IF($A65="","",SUMIFS(tDrugUse[[Total Cost]],tDrugUse[[Batch ID]],$A65))</f>
        <v/>
      </c>
      <c r="R65" s="29">
        <f>IF($A65="","",SUMIFS(tExp[[Amount]],tExp[[Batch ID (if applicable)]],$A65))</f>
        <v/>
      </c>
      <c r="S65" s="41">
        <f>IF($A65="","",P65+Q65+R65)</f>
        <v/>
      </c>
      <c r="T65" s="41">
        <f>IF($A65="","",SUMIFS(tSales[[Total Revenue]],tSales[[Batch ID]],$A65))</f>
        <v/>
      </c>
      <c r="U65" s="41">
        <f>IF($A65="","",T65-S65)</f>
        <v/>
      </c>
      <c r="V65" s="29">
        <f>IF($A65="","",IFERROR(S65/(H65+I65),""))</f>
        <v/>
      </c>
      <c r="W65" s="29">
        <f>IF($A65="","",IF(K65=0,"",T65/K65))</f>
        <v/>
      </c>
      <c r="X65" s="42">
        <f>IF($A65="","",IFERROR(O65/(H65+I65),""))</f>
        <v/>
      </c>
      <c r="Y65" s="43">
        <f>IF($A65="","",IF(_xlfn.MAXIFS(tProd[[Date]],tProd[[Batch ID]],$A65,tProd[[Measurement Type]],"Weighing")=0,"",IFERROR(AVERAGEIFS(tProd[[Average Weight kg]],tProd[[Batch ID]],$A65,tProd[[Measurement Type]],"Weighing",tProd[[Date]],_xlfn.MAXIFS(tProd[[Date]],tProd[[Batch ID]],$A65,tProd[[Measurement Type]],"Weighing")),"")))</f>
        <v/>
      </c>
    </row>
    <row r="66">
      <c r="A66" s="27">
        <f>IFERROR(INDEX(tBatches[[Batch ID]],62)&amp;"","")</f>
        <v/>
      </c>
      <c r="B66" s="36">
        <f>IF($A66="","",INDEX(tBatches[[Pen ID]],62)&amp;"")</f>
        <v/>
      </c>
      <c r="C66" s="36">
        <f>IF($A66="","",INDEX(tBatches[[Animal Type]],62)&amp;"")</f>
        <v/>
      </c>
      <c r="D66" s="31">
        <f>IF($A66="","",INDEX(tBatches[[Batch Start Date]],62))</f>
        <v/>
      </c>
      <c r="E66" s="36">
        <f>IF($A66="","",INDEX(tBatches[[Status]],62)&amp;"")</f>
        <v/>
      </c>
      <c r="F66" s="31">
        <f>IF($A66="","",IF(N(INDEX(tBatches[[Closing Date]],62))=0,"",INDEX(tBatches[[Closing Date]],62)))</f>
        <v/>
      </c>
      <c r="G66" s="39">
        <f>IF($A66="","",INDEX(tBatches[[Age (days)]],62))</f>
        <v/>
      </c>
      <c r="H66" s="39">
        <f>IF($A66="","",N(INDEX(tBatches[[Initial Quantity]],62)))</f>
        <v/>
      </c>
      <c r="I66" s="39">
        <f>IF($A66="","",INDEX(tBatches[[Transfers In / Added]],62))</f>
        <v/>
      </c>
      <c r="J66" s="39">
        <f>IF($A66="","",INDEX(tBatches[[Deaths]],62))</f>
        <v/>
      </c>
      <c r="K66" s="39">
        <f>IF($A66="","",INDEX(tBatches[[Heads Sold]],62))</f>
        <v/>
      </c>
      <c r="L66" s="39">
        <f>IF($A66="","",INDEX(tBatches[[Transfers Out]],62))</f>
        <v/>
      </c>
      <c r="M66" s="39">
        <f>IF($A66="","",INDEX(tBatches[[Current Quantity]],62))</f>
        <v/>
      </c>
      <c r="N66" s="40">
        <f>IF($A66="","",IFERROR(J66/(H66+I66),0))</f>
        <v/>
      </c>
      <c r="O66" s="28">
        <f>IF($A66="","",SUMIFS(tFeedIss[[Quantity Issued in kg]],tFeedIss[[Batch ID]],$A66))</f>
        <v/>
      </c>
      <c r="P66" s="29">
        <f>IF($A66="","",SUMIFS(tFeedIss[[Total Cost]],tFeedIss[[Batch ID]],$A66))</f>
        <v/>
      </c>
      <c r="Q66" s="29">
        <f>IF($A66="","",SUMIFS(tDrugUse[[Total Cost]],tDrugUse[[Batch ID]],$A66))</f>
        <v/>
      </c>
      <c r="R66" s="29">
        <f>IF($A66="","",SUMIFS(tExp[[Amount]],tExp[[Batch ID (if applicable)]],$A66))</f>
        <v/>
      </c>
      <c r="S66" s="41">
        <f>IF($A66="","",P66+Q66+R66)</f>
        <v/>
      </c>
      <c r="T66" s="41">
        <f>IF($A66="","",SUMIFS(tSales[[Total Revenue]],tSales[[Batch ID]],$A66))</f>
        <v/>
      </c>
      <c r="U66" s="41">
        <f>IF($A66="","",T66-S66)</f>
        <v/>
      </c>
      <c r="V66" s="29">
        <f>IF($A66="","",IFERROR(S66/(H66+I66),""))</f>
        <v/>
      </c>
      <c r="W66" s="29">
        <f>IF($A66="","",IF(K66=0,"",T66/K66))</f>
        <v/>
      </c>
      <c r="X66" s="42">
        <f>IF($A66="","",IFERROR(O66/(H66+I66),""))</f>
        <v/>
      </c>
      <c r="Y66" s="43">
        <f>IF($A66="","",IF(_xlfn.MAXIFS(tProd[[Date]],tProd[[Batch ID]],$A66,tProd[[Measurement Type]],"Weighing")=0,"",IFERROR(AVERAGEIFS(tProd[[Average Weight kg]],tProd[[Batch ID]],$A66,tProd[[Measurement Type]],"Weighing",tProd[[Date]],_xlfn.MAXIFS(tProd[[Date]],tProd[[Batch ID]],$A66,tProd[[Measurement Type]],"Weighing")),"")))</f>
        <v/>
      </c>
    </row>
    <row r="67">
      <c r="A67" s="27">
        <f>IFERROR(INDEX(tBatches[[Batch ID]],63)&amp;"","")</f>
        <v/>
      </c>
      <c r="B67" s="36">
        <f>IF($A67="","",INDEX(tBatches[[Pen ID]],63)&amp;"")</f>
        <v/>
      </c>
      <c r="C67" s="36">
        <f>IF($A67="","",INDEX(tBatches[[Animal Type]],63)&amp;"")</f>
        <v/>
      </c>
      <c r="D67" s="31">
        <f>IF($A67="","",INDEX(tBatches[[Batch Start Date]],63))</f>
        <v/>
      </c>
      <c r="E67" s="36">
        <f>IF($A67="","",INDEX(tBatches[[Status]],63)&amp;"")</f>
        <v/>
      </c>
      <c r="F67" s="31">
        <f>IF($A67="","",IF(N(INDEX(tBatches[[Closing Date]],63))=0,"",INDEX(tBatches[[Closing Date]],63)))</f>
        <v/>
      </c>
      <c r="G67" s="39">
        <f>IF($A67="","",INDEX(tBatches[[Age (days)]],63))</f>
        <v/>
      </c>
      <c r="H67" s="39">
        <f>IF($A67="","",N(INDEX(tBatches[[Initial Quantity]],63)))</f>
        <v/>
      </c>
      <c r="I67" s="39">
        <f>IF($A67="","",INDEX(tBatches[[Transfers In / Added]],63))</f>
        <v/>
      </c>
      <c r="J67" s="39">
        <f>IF($A67="","",INDEX(tBatches[[Deaths]],63))</f>
        <v/>
      </c>
      <c r="K67" s="39">
        <f>IF($A67="","",INDEX(tBatches[[Heads Sold]],63))</f>
        <v/>
      </c>
      <c r="L67" s="39">
        <f>IF($A67="","",INDEX(tBatches[[Transfers Out]],63))</f>
        <v/>
      </c>
      <c r="M67" s="39">
        <f>IF($A67="","",INDEX(tBatches[[Current Quantity]],63))</f>
        <v/>
      </c>
      <c r="N67" s="40">
        <f>IF($A67="","",IFERROR(J67/(H67+I67),0))</f>
        <v/>
      </c>
      <c r="O67" s="28">
        <f>IF($A67="","",SUMIFS(tFeedIss[[Quantity Issued in kg]],tFeedIss[[Batch ID]],$A67))</f>
        <v/>
      </c>
      <c r="P67" s="29">
        <f>IF($A67="","",SUMIFS(tFeedIss[[Total Cost]],tFeedIss[[Batch ID]],$A67))</f>
        <v/>
      </c>
      <c r="Q67" s="29">
        <f>IF($A67="","",SUMIFS(tDrugUse[[Total Cost]],tDrugUse[[Batch ID]],$A67))</f>
        <v/>
      </c>
      <c r="R67" s="29">
        <f>IF($A67="","",SUMIFS(tExp[[Amount]],tExp[[Batch ID (if applicable)]],$A67))</f>
        <v/>
      </c>
      <c r="S67" s="41">
        <f>IF($A67="","",P67+Q67+R67)</f>
        <v/>
      </c>
      <c r="T67" s="41">
        <f>IF($A67="","",SUMIFS(tSales[[Total Revenue]],tSales[[Batch ID]],$A67))</f>
        <v/>
      </c>
      <c r="U67" s="41">
        <f>IF($A67="","",T67-S67)</f>
        <v/>
      </c>
      <c r="V67" s="29">
        <f>IF($A67="","",IFERROR(S67/(H67+I67),""))</f>
        <v/>
      </c>
      <c r="W67" s="29">
        <f>IF($A67="","",IF(K67=0,"",T67/K67))</f>
        <v/>
      </c>
      <c r="X67" s="42">
        <f>IF($A67="","",IFERROR(O67/(H67+I67),""))</f>
        <v/>
      </c>
      <c r="Y67" s="43">
        <f>IF($A67="","",IF(_xlfn.MAXIFS(tProd[[Date]],tProd[[Batch ID]],$A67,tProd[[Measurement Type]],"Weighing")=0,"",IFERROR(AVERAGEIFS(tProd[[Average Weight kg]],tProd[[Batch ID]],$A67,tProd[[Measurement Type]],"Weighing",tProd[[Date]],_xlfn.MAXIFS(tProd[[Date]],tProd[[Batch ID]],$A67,tProd[[Measurement Type]],"Weighing")),"")))</f>
        <v/>
      </c>
    </row>
    <row r="68">
      <c r="A68" s="27">
        <f>IFERROR(INDEX(tBatches[[Batch ID]],64)&amp;"","")</f>
        <v/>
      </c>
      <c r="B68" s="36">
        <f>IF($A68="","",INDEX(tBatches[[Pen ID]],64)&amp;"")</f>
        <v/>
      </c>
      <c r="C68" s="36">
        <f>IF($A68="","",INDEX(tBatches[[Animal Type]],64)&amp;"")</f>
        <v/>
      </c>
      <c r="D68" s="31">
        <f>IF($A68="","",INDEX(tBatches[[Batch Start Date]],64))</f>
        <v/>
      </c>
      <c r="E68" s="36">
        <f>IF($A68="","",INDEX(tBatches[[Status]],64)&amp;"")</f>
        <v/>
      </c>
      <c r="F68" s="31">
        <f>IF($A68="","",IF(N(INDEX(tBatches[[Closing Date]],64))=0,"",INDEX(tBatches[[Closing Date]],64)))</f>
        <v/>
      </c>
      <c r="G68" s="39">
        <f>IF($A68="","",INDEX(tBatches[[Age (days)]],64))</f>
        <v/>
      </c>
      <c r="H68" s="39">
        <f>IF($A68="","",N(INDEX(tBatches[[Initial Quantity]],64)))</f>
        <v/>
      </c>
      <c r="I68" s="39">
        <f>IF($A68="","",INDEX(tBatches[[Transfers In / Added]],64))</f>
        <v/>
      </c>
      <c r="J68" s="39">
        <f>IF($A68="","",INDEX(tBatches[[Deaths]],64))</f>
        <v/>
      </c>
      <c r="K68" s="39">
        <f>IF($A68="","",INDEX(tBatches[[Heads Sold]],64))</f>
        <v/>
      </c>
      <c r="L68" s="39">
        <f>IF($A68="","",INDEX(tBatches[[Transfers Out]],64))</f>
        <v/>
      </c>
      <c r="M68" s="39">
        <f>IF($A68="","",INDEX(tBatches[[Current Quantity]],64))</f>
        <v/>
      </c>
      <c r="N68" s="40">
        <f>IF($A68="","",IFERROR(J68/(H68+I68),0))</f>
        <v/>
      </c>
      <c r="O68" s="28">
        <f>IF($A68="","",SUMIFS(tFeedIss[[Quantity Issued in kg]],tFeedIss[[Batch ID]],$A68))</f>
        <v/>
      </c>
      <c r="P68" s="29">
        <f>IF($A68="","",SUMIFS(tFeedIss[[Total Cost]],tFeedIss[[Batch ID]],$A68))</f>
        <v/>
      </c>
      <c r="Q68" s="29">
        <f>IF($A68="","",SUMIFS(tDrugUse[[Total Cost]],tDrugUse[[Batch ID]],$A68))</f>
        <v/>
      </c>
      <c r="R68" s="29">
        <f>IF($A68="","",SUMIFS(tExp[[Amount]],tExp[[Batch ID (if applicable)]],$A68))</f>
        <v/>
      </c>
      <c r="S68" s="41">
        <f>IF($A68="","",P68+Q68+R68)</f>
        <v/>
      </c>
      <c r="T68" s="41">
        <f>IF($A68="","",SUMIFS(tSales[[Total Revenue]],tSales[[Batch ID]],$A68))</f>
        <v/>
      </c>
      <c r="U68" s="41">
        <f>IF($A68="","",T68-S68)</f>
        <v/>
      </c>
      <c r="V68" s="29">
        <f>IF($A68="","",IFERROR(S68/(H68+I68),""))</f>
        <v/>
      </c>
      <c r="W68" s="29">
        <f>IF($A68="","",IF(K68=0,"",T68/K68))</f>
        <v/>
      </c>
      <c r="X68" s="42">
        <f>IF($A68="","",IFERROR(O68/(H68+I68),""))</f>
        <v/>
      </c>
      <c r="Y68" s="43">
        <f>IF($A68="","",IF(_xlfn.MAXIFS(tProd[[Date]],tProd[[Batch ID]],$A68,tProd[[Measurement Type]],"Weighing")=0,"",IFERROR(AVERAGEIFS(tProd[[Average Weight kg]],tProd[[Batch ID]],$A68,tProd[[Measurement Type]],"Weighing",tProd[[Date]],_xlfn.MAXIFS(tProd[[Date]],tProd[[Batch ID]],$A68,tProd[[Measurement Type]],"Weighing")),"")))</f>
        <v/>
      </c>
    </row>
    <row r="69">
      <c r="A69" s="27">
        <f>IFERROR(INDEX(tBatches[[Batch ID]],65)&amp;"","")</f>
        <v/>
      </c>
      <c r="B69" s="36">
        <f>IF($A69="","",INDEX(tBatches[[Pen ID]],65)&amp;"")</f>
        <v/>
      </c>
      <c r="C69" s="36">
        <f>IF($A69="","",INDEX(tBatches[[Animal Type]],65)&amp;"")</f>
        <v/>
      </c>
      <c r="D69" s="31">
        <f>IF($A69="","",INDEX(tBatches[[Batch Start Date]],65))</f>
        <v/>
      </c>
      <c r="E69" s="36">
        <f>IF($A69="","",INDEX(tBatches[[Status]],65)&amp;"")</f>
        <v/>
      </c>
      <c r="F69" s="31">
        <f>IF($A69="","",IF(N(INDEX(tBatches[[Closing Date]],65))=0,"",INDEX(tBatches[[Closing Date]],65)))</f>
        <v/>
      </c>
      <c r="G69" s="39">
        <f>IF($A69="","",INDEX(tBatches[[Age (days)]],65))</f>
        <v/>
      </c>
      <c r="H69" s="39">
        <f>IF($A69="","",N(INDEX(tBatches[[Initial Quantity]],65)))</f>
        <v/>
      </c>
      <c r="I69" s="39">
        <f>IF($A69="","",INDEX(tBatches[[Transfers In / Added]],65))</f>
        <v/>
      </c>
      <c r="J69" s="39">
        <f>IF($A69="","",INDEX(tBatches[[Deaths]],65))</f>
        <v/>
      </c>
      <c r="K69" s="39">
        <f>IF($A69="","",INDEX(tBatches[[Heads Sold]],65))</f>
        <v/>
      </c>
      <c r="L69" s="39">
        <f>IF($A69="","",INDEX(tBatches[[Transfers Out]],65))</f>
        <v/>
      </c>
      <c r="M69" s="39">
        <f>IF($A69="","",INDEX(tBatches[[Current Quantity]],65))</f>
        <v/>
      </c>
      <c r="N69" s="40">
        <f>IF($A69="","",IFERROR(J69/(H69+I69),0))</f>
        <v/>
      </c>
      <c r="O69" s="28">
        <f>IF($A69="","",SUMIFS(tFeedIss[[Quantity Issued in kg]],tFeedIss[[Batch ID]],$A69))</f>
        <v/>
      </c>
      <c r="P69" s="29">
        <f>IF($A69="","",SUMIFS(tFeedIss[[Total Cost]],tFeedIss[[Batch ID]],$A69))</f>
        <v/>
      </c>
      <c r="Q69" s="29">
        <f>IF($A69="","",SUMIFS(tDrugUse[[Total Cost]],tDrugUse[[Batch ID]],$A69))</f>
        <v/>
      </c>
      <c r="R69" s="29">
        <f>IF($A69="","",SUMIFS(tExp[[Amount]],tExp[[Batch ID (if applicable)]],$A69))</f>
        <v/>
      </c>
      <c r="S69" s="41">
        <f>IF($A69="","",P69+Q69+R69)</f>
        <v/>
      </c>
      <c r="T69" s="41">
        <f>IF($A69="","",SUMIFS(tSales[[Total Revenue]],tSales[[Batch ID]],$A69))</f>
        <v/>
      </c>
      <c r="U69" s="41">
        <f>IF($A69="","",T69-S69)</f>
        <v/>
      </c>
      <c r="V69" s="29">
        <f>IF($A69="","",IFERROR(S69/(H69+I69),""))</f>
        <v/>
      </c>
      <c r="W69" s="29">
        <f>IF($A69="","",IF(K69=0,"",T69/K69))</f>
        <v/>
      </c>
      <c r="X69" s="42">
        <f>IF($A69="","",IFERROR(O69/(H69+I69),""))</f>
        <v/>
      </c>
      <c r="Y69" s="43">
        <f>IF($A69="","",IF(_xlfn.MAXIFS(tProd[[Date]],tProd[[Batch ID]],$A69,tProd[[Measurement Type]],"Weighing")=0,"",IFERROR(AVERAGEIFS(tProd[[Average Weight kg]],tProd[[Batch ID]],$A69,tProd[[Measurement Type]],"Weighing",tProd[[Date]],_xlfn.MAXIFS(tProd[[Date]],tProd[[Batch ID]],$A69,tProd[[Measurement Type]],"Weighing")),"")))</f>
        <v/>
      </c>
    </row>
    <row r="70">
      <c r="A70" s="27">
        <f>IFERROR(INDEX(tBatches[[Batch ID]],66)&amp;"","")</f>
        <v/>
      </c>
      <c r="B70" s="36">
        <f>IF($A70="","",INDEX(tBatches[[Pen ID]],66)&amp;"")</f>
        <v/>
      </c>
      <c r="C70" s="36">
        <f>IF($A70="","",INDEX(tBatches[[Animal Type]],66)&amp;"")</f>
        <v/>
      </c>
      <c r="D70" s="31">
        <f>IF($A70="","",INDEX(tBatches[[Batch Start Date]],66))</f>
        <v/>
      </c>
      <c r="E70" s="36">
        <f>IF($A70="","",INDEX(tBatches[[Status]],66)&amp;"")</f>
        <v/>
      </c>
      <c r="F70" s="31">
        <f>IF($A70="","",IF(N(INDEX(tBatches[[Closing Date]],66))=0,"",INDEX(tBatches[[Closing Date]],66)))</f>
        <v/>
      </c>
      <c r="G70" s="39">
        <f>IF($A70="","",INDEX(tBatches[[Age (days)]],66))</f>
        <v/>
      </c>
      <c r="H70" s="39">
        <f>IF($A70="","",N(INDEX(tBatches[[Initial Quantity]],66)))</f>
        <v/>
      </c>
      <c r="I70" s="39">
        <f>IF($A70="","",INDEX(tBatches[[Transfers In / Added]],66))</f>
        <v/>
      </c>
      <c r="J70" s="39">
        <f>IF($A70="","",INDEX(tBatches[[Deaths]],66))</f>
        <v/>
      </c>
      <c r="K70" s="39">
        <f>IF($A70="","",INDEX(tBatches[[Heads Sold]],66))</f>
        <v/>
      </c>
      <c r="L70" s="39">
        <f>IF($A70="","",INDEX(tBatches[[Transfers Out]],66))</f>
        <v/>
      </c>
      <c r="M70" s="39">
        <f>IF($A70="","",INDEX(tBatches[[Current Quantity]],66))</f>
        <v/>
      </c>
      <c r="N70" s="40">
        <f>IF($A70="","",IFERROR(J70/(H70+I70),0))</f>
        <v/>
      </c>
      <c r="O70" s="28">
        <f>IF($A70="","",SUMIFS(tFeedIss[[Quantity Issued in kg]],tFeedIss[[Batch ID]],$A70))</f>
        <v/>
      </c>
      <c r="P70" s="29">
        <f>IF($A70="","",SUMIFS(tFeedIss[[Total Cost]],tFeedIss[[Batch ID]],$A70))</f>
        <v/>
      </c>
      <c r="Q70" s="29">
        <f>IF($A70="","",SUMIFS(tDrugUse[[Total Cost]],tDrugUse[[Batch ID]],$A70))</f>
        <v/>
      </c>
      <c r="R70" s="29">
        <f>IF($A70="","",SUMIFS(tExp[[Amount]],tExp[[Batch ID (if applicable)]],$A70))</f>
        <v/>
      </c>
      <c r="S70" s="41">
        <f>IF($A70="","",P70+Q70+R70)</f>
        <v/>
      </c>
      <c r="T70" s="41">
        <f>IF($A70="","",SUMIFS(tSales[[Total Revenue]],tSales[[Batch ID]],$A70))</f>
        <v/>
      </c>
      <c r="U70" s="41">
        <f>IF($A70="","",T70-S70)</f>
        <v/>
      </c>
      <c r="V70" s="29">
        <f>IF($A70="","",IFERROR(S70/(H70+I70),""))</f>
        <v/>
      </c>
      <c r="W70" s="29">
        <f>IF($A70="","",IF(K70=0,"",T70/K70))</f>
        <v/>
      </c>
      <c r="X70" s="42">
        <f>IF($A70="","",IFERROR(O70/(H70+I70),""))</f>
        <v/>
      </c>
      <c r="Y70" s="43">
        <f>IF($A70="","",IF(_xlfn.MAXIFS(tProd[[Date]],tProd[[Batch ID]],$A70,tProd[[Measurement Type]],"Weighing")=0,"",IFERROR(AVERAGEIFS(tProd[[Average Weight kg]],tProd[[Batch ID]],$A70,tProd[[Measurement Type]],"Weighing",tProd[[Date]],_xlfn.MAXIFS(tProd[[Date]],tProd[[Batch ID]],$A70,tProd[[Measurement Type]],"Weighing")),"")))</f>
        <v/>
      </c>
    </row>
    <row r="71">
      <c r="A71" s="27">
        <f>IFERROR(INDEX(tBatches[[Batch ID]],67)&amp;"","")</f>
        <v/>
      </c>
      <c r="B71" s="36">
        <f>IF($A71="","",INDEX(tBatches[[Pen ID]],67)&amp;"")</f>
        <v/>
      </c>
      <c r="C71" s="36">
        <f>IF($A71="","",INDEX(tBatches[[Animal Type]],67)&amp;"")</f>
        <v/>
      </c>
      <c r="D71" s="31">
        <f>IF($A71="","",INDEX(tBatches[[Batch Start Date]],67))</f>
        <v/>
      </c>
      <c r="E71" s="36">
        <f>IF($A71="","",INDEX(tBatches[[Status]],67)&amp;"")</f>
        <v/>
      </c>
      <c r="F71" s="31">
        <f>IF($A71="","",IF(N(INDEX(tBatches[[Closing Date]],67))=0,"",INDEX(tBatches[[Closing Date]],67)))</f>
        <v/>
      </c>
      <c r="G71" s="39">
        <f>IF($A71="","",INDEX(tBatches[[Age (days)]],67))</f>
        <v/>
      </c>
      <c r="H71" s="39">
        <f>IF($A71="","",N(INDEX(tBatches[[Initial Quantity]],67)))</f>
        <v/>
      </c>
      <c r="I71" s="39">
        <f>IF($A71="","",INDEX(tBatches[[Transfers In / Added]],67))</f>
        <v/>
      </c>
      <c r="J71" s="39">
        <f>IF($A71="","",INDEX(tBatches[[Deaths]],67))</f>
        <v/>
      </c>
      <c r="K71" s="39">
        <f>IF($A71="","",INDEX(tBatches[[Heads Sold]],67))</f>
        <v/>
      </c>
      <c r="L71" s="39">
        <f>IF($A71="","",INDEX(tBatches[[Transfers Out]],67))</f>
        <v/>
      </c>
      <c r="M71" s="39">
        <f>IF($A71="","",INDEX(tBatches[[Current Quantity]],67))</f>
        <v/>
      </c>
      <c r="N71" s="40">
        <f>IF($A71="","",IFERROR(J71/(H71+I71),0))</f>
        <v/>
      </c>
      <c r="O71" s="28">
        <f>IF($A71="","",SUMIFS(tFeedIss[[Quantity Issued in kg]],tFeedIss[[Batch ID]],$A71))</f>
        <v/>
      </c>
      <c r="P71" s="29">
        <f>IF($A71="","",SUMIFS(tFeedIss[[Total Cost]],tFeedIss[[Batch ID]],$A71))</f>
        <v/>
      </c>
      <c r="Q71" s="29">
        <f>IF($A71="","",SUMIFS(tDrugUse[[Total Cost]],tDrugUse[[Batch ID]],$A71))</f>
        <v/>
      </c>
      <c r="R71" s="29">
        <f>IF($A71="","",SUMIFS(tExp[[Amount]],tExp[[Batch ID (if applicable)]],$A71))</f>
        <v/>
      </c>
      <c r="S71" s="41">
        <f>IF($A71="","",P71+Q71+R71)</f>
        <v/>
      </c>
      <c r="T71" s="41">
        <f>IF($A71="","",SUMIFS(tSales[[Total Revenue]],tSales[[Batch ID]],$A71))</f>
        <v/>
      </c>
      <c r="U71" s="41">
        <f>IF($A71="","",T71-S71)</f>
        <v/>
      </c>
      <c r="V71" s="29">
        <f>IF($A71="","",IFERROR(S71/(H71+I71),""))</f>
        <v/>
      </c>
      <c r="W71" s="29">
        <f>IF($A71="","",IF(K71=0,"",T71/K71))</f>
        <v/>
      </c>
      <c r="X71" s="42">
        <f>IF($A71="","",IFERROR(O71/(H71+I71),""))</f>
        <v/>
      </c>
      <c r="Y71" s="43">
        <f>IF($A71="","",IF(_xlfn.MAXIFS(tProd[[Date]],tProd[[Batch ID]],$A71,tProd[[Measurement Type]],"Weighing")=0,"",IFERROR(AVERAGEIFS(tProd[[Average Weight kg]],tProd[[Batch ID]],$A71,tProd[[Measurement Type]],"Weighing",tProd[[Date]],_xlfn.MAXIFS(tProd[[Date]],tProd[[Batch ID]],$A71,tProd[[Measurement Type]],"Weighing")),"")))</f>
        <v/>
      </c>
    </row>
    <row r="72">
      <c r="A72" s="27">
        <f>IFERROR(INDEX(tBatches[[Batch ID]],68)&amp;"","")</f>
        <v/>
      </c>
      <c r="B72" s="36">
        <f>IF($A72="","",INDEX(tBatches[[Pen ID]],68)&amp;"")</f>
        <v/>
      </c>
      <c r="C72" s="36">
        <f>IF($A72="","",INDEX(tBatches[[Animal Type]],68)&amp;"")</f>
        <v/>
      </c>
      <c r="D72" s="31">
        <f>IF($A72="","",INDEX(tBatches[[Batch Start Date]],68))</f>
        <v/>
      </c>
      <c r="E72" s="36">
        <f>IF($A72="","",INDEX(tBatches[[Status]],68)&amp;"")</f>
        <v/>
      </c>
      <c r="F72" s="31">
        <f>IF($A72="","",IF(N(INDEX(tBatches[[Closing Date]],68))=0,"",INDEX(tBatches[[Closing Date]],68)))</f>
        <v/>
      </c>
      <c r="G72" s="39">
        <f>IF($A72="","",INDEX(tBatches[[Age (days)]],68))</f>
        <v/>
      </c>
      <c r="H72" s="39">
        <f>IF($A72="","",N(INDEX(tBatches[[Initial Quantity]],68)))</f>
        <v/>
      </c>
      <c r="I72" s="39">
        <f>IF($A72="","",INDEX(tBatches[[Transfers In / Added]],68))</f>
        <v/>
      </c>
      <c r="J72" s="39">
        <f>IF($A72="","",INDEX(tBatches[[Deaths]],68))</f>
        <v/>
      </c>
      <c r="K72" s="39">
        <f>IF($A72="","",INDEX(tBatches[[Heads Sold]],68))</f>
        <v/>
      </c>
      <c r="L72" s="39">
        <f>IF($A72="","",INDEX(tBatches[[Transfers Out]],68))</f>
        <v/>
      </c>
      <c r="M72" s="39">
        <f>IF($A72="","",INDEX(tBatches[[Current Quantity]],68))</f>
        <v/>
      </c>
      <c r="N72" s="40">
        <f>IF($A72="","",IFERROR(J72/(H72+I72),0))</f>
        <v/>
      </c>
      <c r="O72" s="28">
        <f>IF($A72="","",SUMIFS(tFeedIss[[Quantity Issued in kg]],tFeedIss[[Batch ID]],$A72))</f>
        <v/>
      </c>
      <c r="P72" s="29">
        <f>IF($A72="","",SUMIFS(tFeedIss[[Total Cost]],tFeedIss[[Batch ID]],$A72))</f>
        <v/>
      </c>
      <c r="Q72" s="29">
        <f>IF($A72="","",SUMIFS(tDrugUse[[Total Cost]],tDrugUse[[Batch ID]],$A72))</f>
        <v/>
      </c>
      <c r="R72" s="29">
        <f>IF($A72="","",SUMIFS(tExp[[Amount]],tExp[[Batch ID (if applicable)]],$A72))</f>
        <v/>
      </c>
      <c r="S72" s="41">
        <f>IF($A72="","",P72+Q72+R72)</f>
        <v/>
      </c>
      <c r="T72" s="41">
        <f>IF($A72="","",SUMIFS(tSales[[Total Revenue]],tSales[[Batch ID]],$A72))</f>
        <v/>
      </c>
      <c r="U72" s="41">
        <f>IF($A72="","",T72-S72)</f>
        <v/>
      </c>
      <c r="V72" s="29">
        <f>IF($A72="","",IFERROR(S72/(H72+I72),""))</f>
        <v/>
      </c>
      <c r="W72" s="29">
        <f>IF($A72="","",IF(K72=0,"",T72/K72))</f>
        <v/>
      </c>
      <c r="X72" s="42">
        <f>IF($A72="","",IFERROR(O72/(H72+I72),""))</f>
        <v/>
      </c>
      <c r="Y72" s="43">
        <f>IF($A72="","",IF(_xlfn.MAXIFS(tProd[[Date]],tProd[[Batch ID]],$A72,tProd[[Measurement Type]],"Weighing")=0,"",IFERROR(AVERAGEIFS(tProd[[Average Weight kg]],tProd[[Batch ID]],$A72,tProd[[Measurement Type]],"Weighing",tProd[[Date]],_xlfn.MAXIFS(tProd[[Date]],tProd[[Batch ID]],$A72,tProd[[Measurement Type]],"Weighing")),"")))</f>
        <v/>
      </c>
    </row>
    <row r="73">
      <c r="A73" s="27">
        <f>IFERROR(INDEX(tBatches[[Batch ID]],69)&amp;"","")</f>
        <v/>
      </c>
      <c r="B73" s="36">
        <f>IF($A73="","",INDEX(tBatches[[Pen ID]],69)&amp;"")</f>
        <v/>
      </c>
      <c r="C73" s="36">
        <f>IF($A73="","",INDEX(tBatches[[Animal Type]],69)&amp;"")</f>
        <v/>
      </c>
      <c r="D73" s="31">
        <f>IF($A73="","",INDEX(tBatches[[Batch Start Date]],69))</f>
        <v/>
      </c>
      <c r="E73" s="36">
        <f>IF($A73="","",INDEX(tBatches[[Status]],69)&amp;"")</f>
        <v/>
      </c>
      <c r="F73" s="31">
        <f>IF($A73="","",IF(N(INDEX(tBatches[[Closing Date]],69))=0,"",INDEX(tBatches[[Closing Date]],69)))</f>
        <v/>
      </c>
      <c r="G73" s="39">
        <f>IF($A73="","",INDEX(tBatches[[Age (days)]],69))</f>
        <v/>
      </c>
      <c r="H73" s="39">
        <f>IF($A73="","",N(INDEX(tBatches[[Initial Quantity]],69)))</f>
        <v/>
      </c>
      <c r="I73" s="39">
        <f>IF($A73="","",INDEX(tBatches[[Transfers In / Added]],69))</f>
        <v/>
      </c>
      <c r="J73" s="39">
        <f>IF($A73="","",INDEX(tBatches[[Deaths]],69))</f>
        <v/>
      </c>
      <c r="K73" s="39">
        <f>IF($A73="","",INDEX(tBatches[[Heads Sold]],69))</f>
        <v/>
      </c>
      <c r="L73" s="39">
        <f>IF($A73="","",INDEX(tBatches[[Transfers Out]],69))</f>
        <v/>
      </c>
      <c r="M73" s="39">
        <f>IF($A73="","",INDEX(tBatches[[Current Quantity]],69))</f>
        <v/>
      </c>
      <c r="N73" s="40">
        <f>IF($A73="","",IFERROR(J73/(H73+I73),0))</f>
        <v/>
      </c>
      <c r="O73" s="28">
        <f>IF($A73="","",SUMIFS(tFeedIss[[Quantity Issued in kg]],tFeedIss[[Batch ID]],$A73))</f>
        <v/>
      </c>
      <c r="P73" s="29">
        <f>IF($A73="","",SUMIFS(tFeedIss[[Total Cost]],tFeedIss[[Batch ID]],$A73))</f>
        <v/>
      </c>
      <c r="Q73" s="29">
        <f>IF($A73="","",SUMIFS(tDrugUse[[Total Cost]],tDrugUse[[Batch ID]],$A73))</f>
        <v/>
      </c>
      <c r="R73" s="29">
        <f>IF($A73="","",SUMIFS(tExp[[Amount]],tExp[[Batch ID (if applicable)]],$A73))</f>
        <v/>
      </c>
      <c r="S73" s="41">
        <f>IF($A73="","",P73+Q73+R73)</f>
        <v/>
      </c>
      <c r="T73" s="41">
        <f>IF($A73="","",SUMIFS(tSales[[Total Revenue]],tSales[[Batch ID]],$A73))</f>
        <v/>
      </c>
      <c r="U73" s="41">
        <f>IF($A73="","",T73-S73)</f>
        <v/>
      </c>
      <c r="V73" s="29">
        <f>IF($A73="","",IFERROR(S73/(H73+I73),""))</f>
        <v/>
      </c>
      <c r="W73" s="29">
        <f>IF($A73="","",IF(K73=0,"",T73/K73))</f>
        <v/>
      </c>
      <c r="X73" s="42">
        <f>IF($A73="","",IFERROR(O73/(H73+I73),""))</f>
        <v/>
      </c>
      <c r="Y73" s="43">
        <f>IF($A73="","",IF(_xlfn.MAXIFS(tProd[[Date]],tProd[[Batch ID]],$A73,tProd[[Measurement Type]],"Weighing")=0,"",IFERROR(AVERAGEIFS(tProd[[Average Weight kg]],tProd[[Batch ID]],$A73,tProd[[Measurement Type]],"Weighing",tProd[[Date]],_xlfn.MAXIFS(tProd[[Date]],tProd[[Batch ID]],$A73,tProd[[Measurement Type]],"Weighing")),"")))</f>
        <v/>
      </c>
    </row>
    <row r="74">
      <c r="A74" s="27">
        <f>IFERROR(INDEX(tBatches[[Batch ID]],70)&amp;"","")</f>
        <v/>
      </c>
      <c r="B74" s="36">
        <f>IF($A74="","",INDEX(tBatches[[Pen ID]],70)&amp;"")</f>
        <v/>
      </c>
      <c r="C74" s="36">
        <f>IF($A74="","",INDEX(tBatches[[Animal Type]],70)&amp;"")</f>
        <v/>
      </c>
      <c r="D74" s="31">
        <f>IF($A74="","",INDEX(tBatches[[Batch Start Date]],70))</f>
        <v/>
      </c>
      <c r="E74" s="36">
        <f>IF($A74="","",INDEX(tBatches[[Status]],70)&amp;"")</f>
        <v/>
      </c>
      <c r="F74" s="31">
        <f>IF($A74="","",IF(N(INDEX(tBatches[[Closing Date]],70))=0,"",INDEX(tBatches[[Closing Date]],70)))</f>
        <v/>
      </c>
      <c r="G74" s="39">
        <f>IF($A74="","",INDEX(tBatches[[Age (days)]],70))</f>
        <v/>
      </c>
      <c r="H74" s="39">
        <f>IF($A74="","",N(INDEX(tBatches[[Initial Quantity]],70)))</f>
        <v/>
      </c>
      <c r="I74" s="39">
        <f>IF($A74="","",INDEX(tBatches[[Transfers In / Added]],70))</f>
        <v/>
      </c>
      <c r="J74" s="39">
        <f>IF($A74="","",INDEX(tBatches[[Deaths]],70))</f>
        <v/>
      </c>
      <c r="K74" s="39">
        <f>IF($A74="","",INDEX(tBatches[[Heads Sold]],70))</f>
        <v/>
      </c>
      <c r="L74" s="39">
        <f>IF($A74="","",INDEX(tBatches[[Transfers Out]],70))</f>
        <v/>
      </c>
      <c r="M74" s="39">
        <f>IF($A74="","",INDEX(tBatches[[Current Quantity]],70))</f>
        <v/>
      </c>
      <c r="N74" s="40">
        <f>IF($A74="","",IFERROR(J74/(H74+I74),0))</f>
        <v/>
      </c>
      <c r="O74" s="28">
        <f>IF($A74="","",SUMIFS(tFeedIss[[Quantity Issued in kg]],tFeedIss[[Batch ID]],$A74))</f>
        <v/>
      </c>
      <c r="P74" s="29">
        <f>IF($A74="","",SUMIFS(tFeedIss[[Total Cost]],tFeedIss[[Batch ID]],$A74))</f>
        <v/>
      </c>
      <c r="Q74" s="29">
        <f>IF($A74="","",SUMIFS(tDrugUse[[Total Cost]],tDrugUse[[Batch ID]],$A74))</f>
        <v/>
      </c>
      <c r="R74" s="29">
        <f>IF($A74="","",SUMIFS(tExp[[Amount]],tExp[[Batch ID (if applicable)]],$A74))</f>
        <v/>
      </c>
      <c r="S74" s="41">
        <f>IF($A74="","",P74+Q74+R74)</f>
        <v/>
      </c>
      <c r="T74" s="41">
        <f>IF($A74="","",SUMIFS(tSales[[Total Revenue]],tSales[[Batch ID]],$A74))</f>
        <v/>
      </c>
      <c r="U74" s="41">
        <f>IF($A74="","",T74-S74)</f>
        <v/>
      </c>
      <c r="V74" s="29">
        <f>IF($A74="","",IFERROR(S74/(H74+I74),""))</f>
        <v/>
      </c>
      <c r="W74" s="29">
        <f>IF($A74="","",IF(K74=0,"",T74/K74))</f>
        <v/>
      </c>
      <c r="X74" s="42">
        <f>IF($A74="","",IFERROR(O74/(H74+I74),""))</f>
        <v/>
      </c>
      <c r="Y74" s="43">
        <f>IF($A74="","",IF(_xlfn.MAXIFS(tProd[[Date]],tProd[[Batch ID]],$A74,tProd[[Measurement Type]],"Weighing")=0,"",IFERROR(AVERAGEIFS(tProd[[Average Weight kg]],tProd[[Batch ID]],$A74,tProd[[Measurement Type]],"Weighing",tProd[[Date]],_xlfn.MAXIFS(tProd[[Date]],tProd[[Batch ID]],$A74,tProd[[Measurement Type]],"Weighing")),"")))</f>
        <v/>
      </c>
    </row>
    <row r="75">
      <c r="A75" s="27">
        <f>IFERROR(INDEX(tBatches[[Batch ID]],71)&amp;"","")</f>
        <v/>
      </c>
      <c r="B75" s="36">
        <f>IF($A75="","",INDEX(tBatches[[Pen ID]],71)&amp;"")</f>
        <v/>
      </c>
      <c r="C75" s="36">
        <f>IF($A75="","",INDEX(tBatches[[Animal Type]],71)&amp;"")</f>
        <v/>
      </c>
      <c r="D75" s="31">
        <f>IF($A75="","",INDEX(tBatches[[Batch Start Date]],71))</f>
        <v/>
      </c>
      <c r="E75" s="36">
        <f>IF($A75="","",INDEX(tBatches[[Status]],71)&amp;"")</f>
        <v/>
      </c>
      <c r="F75" s="31">
        <f>IF($A75="","",IF(N(INDEX(tBatches[[Closing Date]],71))=0,"",INDEX(tBatches[[Closing Date]],71)))</f>
        <v/>
      </c>
      <c r="G75" s="39">
        <f>IF($A75="","",INDEX(tBatches[[Age (days)]],71))</f>
        <v/>
      </c>
      <c r="H75" s="39">
        <f>IF($A75="","",N(INDEX(tBatches[[Initial Quantity]],71)))</f>
        <v/>
      </c>
      <c r="I75" s="39">
        <f>IF($A75="","",INDEX(tBatches[[Transfers In / Added]],71))</f>
        <v/>
      </c>
      <c r="J75" s="39">
        <f>IF($A75="","",INDEX(tBatches[[Deaths]],71))</f>
        <v/>
      </c>
      <c r="K75" s="39">
        <f>IF($A75="","",INDEX(tBatches[[Heads Sold]],71))</f>
        <v/>
      </c>
      <c r="L75" s="39">
        <f>IF($A75="","",INDEX(tBatches[[Transfers Out]],71))</f>
        <v/>
      </c>
      <c r="M75" s="39">
        <f>IF($A75="","",INDEX(tBatches[[Current Quantity]],71))</f>
        <v/>
      </c>
      <c r="N75" s="40">
        <f>IF($A75="","",IFERROR(J75/(H75+I75),0))</f>
        <v/>
      </c>
      <c r="O75" s="28">
        <f>IF($A75="","",SUMIFS(tFeedIss[[Quantity Issued in kg]],tFeedIss[[Batch ID]],$A75))</f>
        <v/>
      </c>
      <c r="P75" s="29">
        <f>IF($A75="","",SUMIFS(tFeedIss[[Total Cost]],tFeedIss[[Batch ID]],$A75))</f>
        <v/>
      </c>
      <c r="Q75" s="29">
        <f>IF($A75="","",SUMIFS(tDrugUse[[Total Cost]],tDrugUse[[Batch ID]],$A75))</f>
        <v/>
      </c>
      <c r="R75" s="29">
        <f>IF($A75="","",SUMIFS(tExp[[Amount]],tExp[[Batch ID (if applicable)]],$A75))</f>
        <v/>
      </c>
      <c r="S75" s="41">
        <f>IF($A75="","",P75+Q75+R75)</f>
        <v/>
      </c>
      <c r="T75" s="41">
        <f>IF($A75="","",SUMIFS(tSales[[Total Revenue]],tSales[[Batch ID]],$A75))</f>
        <v/>
      </c>
      <c r="U75" s="41">
        <f>IF($A75="","",T75-S75)</f>
        <v/>
      </c>
      <c r="V75" s="29">
        <f>IF($A75="","",IFERROR(S75/(H75+I75),""))</f>
        <v/>
      </c>
      <c r="W75" s="29">
        <f>IF($A75="","",IF(K75=0,"",T75/K75))</f>
        <v/>
      </c>
      <c r="X75" s="42">
        <f>IF($A75="","",IFERROR(O75/(H75+I75),""))</f>
        <v/>
      </c>
      <c r="Y75" s="43">
        <f>IF($A75="","",IF(_xlfn.MAXIFS(tProd[[Date]],tProd[[Batch ID]],$A75,tProd[[Measurement Type]],"Weighing")=0,"",IFERROR(AVERAGEIFS(tProd[[Average Weight kg]],tProd[[Batch ID]],$A75,tProd[[Measurement Type]],"Weighing",tProd[[Date]],_xlfn.MAXIFS(tProd[[Date]],tProd[[Batch ID]],$A75,tProd[[Measurement Type]],"Weighing")),"")))</f>
        <v/>
      </c>
    </row>
    <row r="76">
      <c r="A76" s="27">
        <f>IFERROR(INDEX(tBatches[[Batch ID]],72)&amp;"","")</f>
        <v/>
      </c>
      <c r="B76" s="36">
        <f>IF($A76="","",INDEX(tBatches[[Pen ID]],72)&amp;"")</f>
        <v/>
      </c>
      <c r="C76" s="36">
        <f>IF($A76="","",INDEX(tBatches[[Animal Type]],72)&amp;"")</f>
        <v/>
      </c>
      <c r="D76" s="31">
        <f>IF($A76="","",INDEX(tBatches[[Batch Start Date]],72))</f>
        <v/>
      </c>
      <c r="E76" s="36">
        <f>IF($A76="","",INDEX(tBatches[[Status]],72)&amp;"")</f>
        <v/>
      </c>
      <c r="F76" s="31">
        <f>IF($A76="","",IF(N(INDEX(tBatches[[Closing Date]],72))=0,"",INDEX(tBatches[[Closing Date]],72)))</f>
        <v/>
      </c>
      <c r="G76" s="39">
        <f>IF($A76="","",INDEX(tBatches[[Age (days)]],72))</f>
        <v/>
      </c>
      <c r="H76" s="39">
        <f>IF($A76="","",N(INDEX(tBatches[[Initial Quantity]],72)))</f>
        <v/>
      </c>
      <c r="I76" s="39">
        <f>IF($A76="","",INDEX(tBatches[[Transfers In / Added]],72))</f>
        <v/>
      </c>
      <c r="J76" s="39">
        <f>IF($A76="","",INDEX(tBatches[[Deaths]],72))</f>
        <v/>
      </c>
      <c r="K76" s="39">
        <f>IF($A76="","",INDEX(tBatches[[Heads Sold]],72))</f>
        <v/>
      </c>
      <c r="L76" s="39">
        <f>IF($A76="","",INDEX(tBatches[[Transfers Out]],72))</f>
        <v/>
      </c>
      <c r="M76" s="39">
        <f>IF($A76="","",INDEX(tBatches[[Current Quantity]],72))</f>
        <v/>
      </c>
      <c r="N76" s="40">
        <f>IF($A76="","",IFERROR(J76/(H76+I76),0))</f>
        <v/>
      </c>
      <c r="O76" s="28">
        <f>IF($A76="","",SUMIFS(tFeedIss[[Quantity Issued in kg]],tFeedIss[[Batch ID]],$A76))</f>
        <v/>
      </c>
      <c r="P76" s="29">
        <f>IF($A76="","",SUMIFS(tFeedIss[[Total Cost]],tFeedIss[[Batch ID]],$A76))</f>
        <v/>
      </c>
      <c r="Q76" s="29">
        <f>IF($A76="","",SUMIFS(tDrugUse[[Total Cost]],tDrugUse[[Batch ID]],$A76))</f>
        <v/>
      </c>
      <c r="R76" s="29">
        <f>IF($A76="","",SUMIFS(tExp[[Amount]],tExp[[Batch ID (if applicable)]],$A76))</f>
        <v/>
      </c>
      <c r="S76" s="41">
        <f>IF($A76="","",P76+Q76+R76)</f>
        <v/>
      </c>
      <c r="T76" s="41">
        <f>IF($A76="","",SUMIFS(tSales[[Total Revenue]],tSales[[Batch ID]],$A76))</f>
        <v/>
      </c>
      <c r="U76" s="41">
        <f>IF($A76="","",T76-S76)</f>
        <v/>
      </c>
      <c r="V76" s="29">
        <f>IF($A76="","",IFERROR(S76/(H76+I76),""))</f>
        <v/>
      </c>
      <c r="W76" s="29">
        <f>IF($A76="","",IF(K76=0,"",T76/K76))</f>
        <v/>
      </c>
      <c r="X76" s="42">
        <f>IF($A76="","",IFERROR(O76/(H76+I76),""))</f>
        <v/>
      </c>
      <c r="Y76" s="43">
        <f>IF($A76="","",IF(_xlfn.MAXIFS(tProd[[Date]],tProd[[Batch ID]],$A76,tProd[[Measurement Type]],"Weighing")=0,"",IFERROR(AVERAGEIFS(tProd[[Average Weight kg]],tProd[[Batch ID]],$A76,tProd[[Measurement Type]],"Weighing",tProd[[Date]],_xlfn.MAXIFS(tProd[[Date]],tProd[[Batch ID]],$A76,tProd[[Measurement Type]],"Weighing")),"")))</f>
        <v/>
      </c>
    </row>
    <row r="77">
      <c r="A77" s="27">
        <f>IFERROR(INDEX(tBatches[[Batch ID]],73)&amp;"","")</f>
        <v/>
      </c>
      <c r="B77" s="36">
        <f>IF($A77="","",INDEX(tBatches[[Pen ID]],73)&amp;"")</f>
        <v/>
      </c>
      <c r="C77" s="36">
        <f>IF($A77="","",INDEX(tBatches[[Animal Type]],73)&amp;"")</f>
        <v/>
      </c>
      <c r="D77" s="31">
        <f>IF($A77="","",INDEX(tBatches[[Batch Start Date]],73))</f>
        <v/>
      </c>
      <c r="E77" s="36">
        <f>IF($A77="","",INDEX(tBatches[[Status]],73)&amp;"")</f>
        <v/>
      </c>
      <c r="F77" s="31">
        <f>IF($A77="","",IF(N(INDEX(tBatches[[Closing Date]],73))=0,"",INDEX(tBatches[[Closing Date]],73)))</f>
        <v/>
      </c>
      <c r="G77" s="39">
        <f>IF($A77="","",INDEX(tBatches[[Age (days)]],73))</f>
        <v/>
      </c>
      <c r="H77" s="39">
        <f>IF($A77="","",N(INDEX(tBatches[[Initial Quantity]],73)))</f>
        <v/>
      </c>
      <c r="I77" s="39">
        <f>IF($A77="","",INDEX(tBatches[[Transfers In / Added]],73))</f>
        <v/>
      </c>
      <c r="J77" s="39">
        <f>IF($A77="","",INDEX(tBatches[[Deaths]],73))</f>
        <v/>
      </c>
      <c r="K77" s="39">
        <f>IF($A77="","",INDEX(tBatches[[Heads Sold]],73))</f>
        <v/>
      </c>
      <c r="L77" s="39">
        <f>IF($A77="","",INDEX(tBatches[[Transfers Out]],73))</f>
        <v/>
      </c>
      <c r="M77" s="39">
        <f>IF($A77="","",INDEX(tBatches[[Current Quantity]],73))</f>
        <v/>
      </c>
      <c r="N77" s="40">
        <f>IF($A77="","",IFERROR(J77/(H77+I77),0))</f>
        <v/>
      </c>
      <c r="O77" s="28">
        <f>IF($A77="","",SUMIFS(tFeedIss[[Quantity Issued in kg]],tFeedIss[[Batch ID]],$A77))</f>
        <v/>
      </c>
      <c r="P77" s="29">
        <f>IF($A77="","",SUMIFS(tFeedIss[[Total Cost]],tFeedIss[[Batch ID]],$A77))</f>
        <v/>
      </c>
      <c r="Q77" s="29">
        <f>IF($A77="","",SUMIFS(tDrugUse[[Total Cost]],tDrugUse[[Batch ID]],$A77))</f>
        <v/>
      </c>
      <c r="R77" s="29">
        <f>IF($A77="","",SUMIFS(tExp[[Amount]],tExp[[Batch ID (if applicable)]],$A77))</f>
        <v/>
      </c>
      <c r="S77" s="41">
        <f>IF($A77="","",P77+Q77+R77)</f>
        <v/>
      </c>
      <c r="T77" s="41">
        <f>IF($A77="","",SUMIFS(tSales[[Total Revenue]],tSales[[Batch ID]],$A77))</f>
        <v/>
      </c>
      <c r="U77" s="41">
        <f>IF($A77="","",T77-S77)</f>
        <v/>
      </c>
      <c r="V77" s="29">
        <f>IF($A77="","",IFERROR(S77/(H77+I77),""))</f>
        <v/>
      </c>
      <c r="W77" s="29">
        <f>IF($A77="","",IF(K77=0,"",T77/K77))</f>
        <v/>
      </c>
      <c r="X77" s="42">
        <f>IF($A77="","",IFERROR(O77/(H77+I77),""))</f>
        <v/>
      </c>
      <c r="Y77" s="43">
        <f>IF($A77="","",IF(_xlfn.MAXIFS(tProd[[Date]],tProd[[Batch ID]],$A77,tProd[[Measurement Type]],"Weighing")=0,"",IFERROR(AVERAGEIFS(tProd[[Average Weight kg]],tProd[[Batch ID]],$A77,tProd[[Measurement Type]],"Weighing",tProd[[Date]],_xlfn.MAXIFS(tProd[[Date]],tProd[[Batch ID]],$A77,tProd[[Measurement Type]],"Weighing")),"")))</f>
        <v/>
      </c>
    </row>
    <row r="78">
      <c r="A78" s="27">
        <f>IFERROR(INDEX(tBatches[[Batch ID]],74)&amp;"","")</f>
        <v/>
      </c>
      <c r="B78" s="36">
        <f>IF($A78="","",INDEX(tBatches[[Pen ID]],74)&amp;"")</f>
        <v/>
      </c>
      <c r="C78" s="36">
        <f>IF($A78="","",INDEX(tBatches[[Animal Type]],74)&amp;"")</f>
        <v/>
      </c>
      <c r="D78" s="31">
        <f>IF($A78="","",INDEX(tBatches[[Batch Start Date]],74))</f>
        <v/>
      </c>
      <c r="E78" s="36">
        <f>IF($A78="","",INDEX(tBatches[[Status]],74)&amp;"")</f>
        <v/>
      </c>
      <c r="F78" s="31">
        <f>IF($A78="","",IF(N(INDEX(tBatches[[Closing Date]],74))=0,"",INDEX(tBatches[[Closing Date]],74)))</f>
        <v/>
      </c>
      <c r="G78" s="39">
        <f>IF($A78="","",INDEX(tBatches[[Age (days)]],74))</f>
        <v/>
      </c>
      <c r="H78" s="39">
        <f>IF($A78="","",N(INDEX(tBatches[[Initial Quantity]],74)))</f>
        <v/>
      </c>
      <c r="I78" s="39">
        <f>IF($A78="","",INDEX(tBatches[[Transfers In / Added]],74))</f>
        <v/>
      </c>
      <c r="J78" s="39">
        <f>IF($A78="","",INDEX(tBatches[[Deaths]],74))</f>
        <v/>
      </c>
      <c r="K78" s="39">
        <f>IF($A78="","",INDEX(tBatches[[Heads Sold]],74))</f>
        <v/>
      </c>
      <c r="L78" s="39">
        <f>IF($A78="","",INDEX(tBatches[[Transfers Out]],74))</f>
        <v/>
      </c>
      <c r="M78" s="39">
        <f>IF($A78="","",INDEX(tBatches[[Current Quantity]],74))</f>
        <v/>
      </c>
      <c r="N78" s="40">
        <f>IF($A78="","",IFERROR(J78/(H78+I78),0))</f>
        <v/>
      </c>
      <c r="O78" s="28">
        <f>IF($A78="","",SUMIFS(tFeedIss[[Quantity Issued in kg]],tFeedIss[[Batch ID]],$A78))</f>
        <v/>
      </c>
      <c r="P78" s="29">
        <f>IF($A78="","",SUMIFS(tFeedIss[[Total Cost]],tFeedIss[[Batch ID]],$A78))</f>
        <v/>
      </c>
      <c r="Q78" s="29">
        <f>IF($A78="","",SUMIFS(tDrugUse[[Total Cost]],tDrugUse[[Batch ID]],$A78))</f>
        <v/>
      </c>
      <c r="R78" s="29">
        <f>IF($A78="","",SUMIFS(tExp[[Amount]],tExp[[Batch ID (if applicable)]],$A78))</f>
        <v/>
      </c>
      <c r="S78" s="41">
        <f>IF($A78="","",P78+Q78+R78)</f>
        <v/>
      </c>
      <c r="T78" s="41">
        <f>IF($A78="","",SUMIFS(tSales[[Total Revenue]],tSales[[Batch ID]],$A78))</f>
        <v/>
      </c>
      <c r="U78" s="41">
        <f>IF($A78="","",T78-S78)</f>
        <v/>
      </c>
      <c r="V78" s="29">
        <f>IF($A78="","",IFERROR(S78/(H78+I78),""))</f>
        <v/>
      </c>
      <c r="W78" s="29">
        <f>IF($A78="","",IF(K78=0,"",T78/K78))</f>
        <v/>
      </c>
      <c r="X78" s="42">
        <f>IF($A78="","",IFERROR(O78/(H78+I78),""))</f>
        <v/>
      </c>
      <c r="Y78" s="43">
        <f>IF($A78="","",IF(_xlfn.MAXIFS(tProd[[Date]],tProd[[Batch ID]],$A78,tProd[[Measurement Type]],"Weighing")=0,"",IFERROR(AVERAGEIFS(tProd[[Average Weight kg]],tProd[[Batch ID]],$A78,tProd[[Measurement Type]],"Weighing",tProd[[Date]],_xlfn.MAXIFS(tProd[[Date]],tProd[[Batch ID]],$A78,tProd[[Measurement Type]],"Weighing")),"")))</f>
        <v/>
      </c>
    </row>
    <row r="79">
      <c r="A79" s="27">
        <f>IFERROR(INDEX(tBatches[[Batch ID]],75)&amp;"","")</f>
        <v/>
      </c>
      <c r="B79" s="36">
        <f>IF($A79="","",INDEX(tBatches[[Pen ID]],75)&amp;"")</f>
        <v/>
      </c>
      <c r="C79" s="36">
        <f>IF($A79="","",INDEX(tBatches[[Animal Type]],75)&amp;"")</f>
        <v/>
      </c>
      <c r="D79" s="31">
        <f>IF($A79="","",INDEX(tBatches[[Batch Start Date]],75))</f>
        <v/>
      </c>
      <c r="E79" s="36">
        <f>IF($A79="","",INDEX(tBatches[[Status]],75)&amp;"")</f>
        <v/>
      </c>
      <c r="F79" s="31">
        <f>IF($A79="","",IF(N(INDEX(tBatches[[Closing Date]],75))=0,"",INDEX(tBatches[[Closing Date]],75)))</f>
        <v/>
      </c>
      <c r="G79" s="39">
        <f>IF($A79="","",INDEX(tBatches[[Age (days)]],75))</f>
        <v/>
      </c>
      <c r="H79" s="39">
        <f>IF($A79="","",N(INDEX(tBatches[[Initial Quantity]],75)))</f>
        <v/>
      </c>
      <c r="I79" s="39">
        <f>IF($A79="","",INDEX(tBatches[[Transfers In / Added]],75))</f>
        <v/>
      </c>
      <c r="J79" s="39">
        <f>IF($A79="","",INDEX(tBatches[[Deaths]],75))</f>
        <v/>
      </c>
      <c r="K79" s="39">
        <f>IF($A79="","",INDEX(tBatches[[Heads Sold]],75))</f>
        <v/>
      </c>
      <c r="L79" s="39">
        <f>IF($A79="","",INDEX(tBatches[[Transfers Out]],75))</f>
        <v/>
      </c>
      <c r="M79" s="39">
        <f>IF($A79="","",INDEX(tBatches[[Current Quantity]],75))</f>
        <v/>
      </c>
      <c r="N79" s="40">
        <f>IF($A79="","",IFERROR(J79/(H79+I79),0))</f>
        <v/>
      </c>
      <c r="O79" s="28">
        <f>IF($A79="","",SUMIFS(tFeedIss[[Quantity Issued in kg]],tFeedIss[[Batch ID]],$A79))</f>
        <v/>
      </c>
      <c r="P79" s="29">
        <f>IF($A79="","",SUMIFS(tFeedIss[[Total Cost]],tFeedIss[[Batch ID]],$A79))</f>
        <v/>
      </c>
      <c r="Q79" s="29">
        <f>IF($A79="","",SUMIFS(tDrugUse[[Total Cost]],tDrugUse[[Batch ID]],$A79))</f>
        <v/>
      </c>
      <c r="R79" s="29">
        <f>IF($A79="","",SUMIFS(tExp[[Amount]],tExp[[Batch ID (if applicable)]],$A79))</f>
        <v/>
      </c>
      <c r="S79" s="41">
        <f>IF($A79="","",P79+Q79+R79)</f>
        <v/>
      </c>
      <c r="T79" s="41">
        <f>IF($A79="","",SUMIFS(tSales[[Total Revenue]],tSales[[Batch ID]],$A79))</f>
        <v/>
      </c>
      <c r="U79" s="41">
        <f>IF($A79="","",T79-S79)</f>
        <v/>
      </c>
      <c r="V79" s="29">
        <f>IF($A79="","",IFERROR(S79/(H79+I79),""))</f>
        <v/>
      </c>
      <c r="W79" s="29">
        <f>IF($A79="","",IF(K79=0,"",T79/K79))</f>
        <v/>
      </c>
      <c r="X79" s="42">
        <f>IF($A79="","",IFERROR(O79/(H79+I79),""))</f>
        <v/>
      </c>
      <c r="Y79" s="43">
        <f>IF($A79="","",IF(_xlfn.MAXIFS(tProd[[Date]],tProd[[Batch ID]],$A79,tProd[[Measurement Type]],"Weighing")=0,"",IFERROR(AVERAGEIFS(tProd[[Average Weight kg]],tProd[[Batch ID]],$A79,tProd[[Measurement Type]],"Weighing",tProd[[Date]],_xlfn.MAXIFS(tProd[[Date]],tProd[[Batch ID]],$A79,tProd[[Measurement Type]],"Weighing")),"")))</f>
        <v/>
      </c>
    </row>
    <row r="80">
      <c r="A80" s="27">
        <f>IFERROR(INDEX(tBatches[[Batch ID]],76)&amp;"","")</f>
        <v/>
      </c>
      <c r="B80" s="36">
        <f>IF($A80="","",INDEX(tBatches[[Pen ID]],76)&amp;"")</f>
        <v/>
      </c>
      <c r="C80" s="36">
        <f>IF($A80="","",INDEX(tBatches[[Animal Type]],76)&amp;"")</f>
        <v/>
      </c>
      <c r="D80" s="31">
        <f>IF($A80="","",INDEX(tBatches[[Batch Start Date]],76))</f>
        <v/>
      </c>
      <c r="E80" s="36">
        <f>IF($A80="","",INDEX(tBatches[[Status]],76)&amp;"")</f>
        <v/>
      </c>
      <c r="F80" s="31">
        <f>IF($A80="","",IF(N(INDEX(tBatches[[Closing Date]],76))=0,"",INDEX(tBatches[[Closing Date]],76)))</f>
        <v/>
      </c>
      <c r="G80" s="39">
        <f>IF($A80="","",INDEX(tBatches[[Age (days)]],76))</f>
        <v/>
      </c>
      <c r="H80" s="39">
        <f>IF($A80="","",N(INDEX(tBatches[[Initial Quantity]],76)))</f>
        <v/>
      </c>
      <c r="I80" s="39">
        <f>IF($A80="","",INDEX(tBatches[[Transfers In / Added]],76))</f>
        <v/>
      </c>
      <c r="J80" s="39">
        <f>IF($A80="","",INDEX(tBatches[[Deaths]],76))</f>
        <v/>
      </c>
      <c r="K80" s="39">
        <f>IF($A80="","",INDEX(tBatches[[Heads Sold]],76))</f>
        <v/>
      </c>
      <c r="L80" s="39">
        <f>IF($A80="","",INDEX(tBatches[[Transfers Out]],76))</f>
        <v/>
      </c>
      <c r="M80" s="39">
        <f>IF($A80="","",INDEX(tBatches[[Current Quantity]],76))</f>
        <v/>
      </c>
      <c r="N80" s="40">
        <f>IF($A80="","",IFERROR(J80/(H80+I80),0))</f>
        <v/>
      </c>
      <c r="O80" s="28">
        <f>IF($A80="","",SUMIFS(tFeedIss[[Quantity Issued in kg]],tFeedIss[[Batch ID]],$A80))</f>
        <v/>
      </c>
      <c r="P80" s="29">
        <f>IF($A80="","",SUMIFS(tFeedIss[[Total Cost]],tFeedIss[[Batch ID]],$A80))</f>
        <v/>
      </c>
      <c r="Q80" s="29">
        <f>IF($A80="","",SUMIFS(tDrugUse[[Total Cost]],tDrugUse[[Batch ID]],$A80))</f>
        <v/>
      </c>
      <c r="R80" s="29">
        <f>IF($A80="","",SUMIFS(tExp[[Amount]],tExp[[Batch ID (if applicable)]],$A80))</f>
        <v/>
      </c>
      <c r="S80" s="41">
        <f>IF($A80="","",P80+Q80+R80)</f>
        <v/>
      </c>
      <c r="T80" s="41">
        <f>IF($A80="","",SUMIFS(tSales[[Total Revenue]],tSales[[Batch ID]],$A80))</f>
        <v/>
      </c>
      <c r="U80" s="41">
        <f>IF($A80="","",T80-S80)</f>
        <v/>
      </c>
      <c r="V80" s="29">
        <f>IF($A80="","",IFERROR(S80/(H80+I80),""))</f>
        <v/>
      </c>
      <c r="W80" s="29">
        <f>IF($A80="","",IF(K80=0,"",T80/K80))</f>
        <v/>
      </c>
      <c r="X80" s="42">
        <f>IF($A80="","",IFERROR(O80/(H80+I80),""))</f>
        <v/>
      </c>
      <c r="Y80" s="43">
        <f>IF($A80="","",IF(_xlfn.MAXIFS(tProd[[Date]],tProd[[Batch ID]],$A80,tProd[[Measurement Type]],"Weighing")=0,"",IFERROR(AVERAGEIFS(tProd[[Average Weight kg]],tProd[[Batch ID]],$A80,tProd[[Measurement Type]],"Weighing",tProd[[Date]],_xlfn.MAXIFS(tProd[[Date]],tProd[[Batch ID]],$A80,tProd[[Measurement Type]],"Weighing")),"")))</f>
        <v/>
      </c>
    </row>
    <row r="81">
      <c r="A81" s="27">
        <f>IFERROR(INDEX(tBatches[[Batch ID]],77)&amp;"","")</f>
        <v/>
      </c>
      <c r="B81" s="36">
        <f>IF($A81="","",INDEX(tBatches[[Pen ID]],77)&amp;"")</f>
        <v/>
      </c>
      <c r="C81" s="36">
        <f>IF($A81="","",INDEX(tBatches[[Animal Type]],77)&amp;"")</f>
        <v/>
      </c>
      <c r="D81" s="31">
        <f>IF($A81="","",INDEX(tBatches[[Batch Start Date]],77))</f>
        <v/>
      </c>
      <c r="E81" s="36">
        <f>IF($A81="","",INDEX(tBatches[[Status]],77)&amp;"")</f>
        <v/>
      </c>
      <c r="F81" s="31">
        <f>IF($A81="","",IF(N(INDEX(tBatches[[Closing Date]],77))=0,"",INDEX(tBatches[[Closing Date]],77)))</f>
        <v/>
      </c>
      <c r="G81" s="39">
        <f>IF($A81="","",INDEX(tBatches[[Age (days)]],77))</f>
        <v/>
      </c>
      <c r="H81" s="39">
        <f>IF($A81="","",N(INDEX(tBatches[[Initial Quantity]],77)))</f>
        <v/>
      </c>
      <c r="I81" s="39">
        <f>IF($A81="","",INDEX(tBatches[[Transfers In / Added]],77))</f>
        <v/>
      </c>
      <c r="J81" s="39">
        <f>IF($A81="","",INDEX(tBatches[[Deaths]],77))</f>
        <v/>
      </c>
      <c r="K81" s="39">
        <f>IF($A81="","",INDEX(tBatches[[Heads Sold]],77))</f>
        <v/>
      </c>
      <c r="L81" s="39">
        <f>IF($A81="","",INDEX(tBatches[[Transfers Out]],77))</f>
        <v/>
      </c>
      <c r="M81" s="39">
        <f>IF($A81="","",INDEX(tBatches[[Current Quantity]],77))</f>
        <v/>
      </c>
      <c r="N81" s="40">
        <f>IF($A81="","",IFERROR(J81/(H81+I81),0))</f>
        <v/>
      </c>
      <c r="O81" s="28">
        <f>IF($A81="","",SUMIFS(tFeedIss[[Quantity Issued in kg]],tFeedIss[[Batch ID]],$A81))</f>
        <v/>
      </c>
      <c r="P81" s="29">
        <f>IF($A81="","",SUMIFS(tFeedIss[[Total Cost]],tFeedIss[[Batch ID]],$A81))</f>
        <v/>
      </c>
      <c r="Q81" s="29">
        <f>IF($A81="","",SUMIFS(tDrugUse[[Total Cost]],tDrugUse[[Batch ID]],$A81))</f>
        <v/>
      </c>
      <c r="R81" s="29">
        <f>IF($A81="","",SUMIFS(tExp[[Amount]],tExp[[Batch ID (if applicable)]],$A81))</f>
        <v/>
      </c>
      <c r="S81" s="41">
        <f>IF($A81="","",P81+Q81+R81)</f>
        <v/>
      </c>
      <c r="T81" s="41">
        <f>IF($A81="","",SUMIFS(tSales[[Total Revenue]],tSales[[Batch ID]],$A81))</f>
        <v/>
      </c>
      <c r="U81" s="41">
        <f>IF($A81="","",T81-S81)</f>
        <v/>
      </c>
      <c r="V81" s="29">
        <f>IF($A81="","",IFERROR(S81/(H81+I81),""))</f>
        <v/>
      </c>
      <c r="W81" s="29">
        <f>IF($A81="","",IF(K81=0,"",T81/K81))</f>
        <v/>
      </c>
      <c r="X81" s="42">
        <f>IF($A81="","",IFERROR(O81/(H81+I81),""))</f>
        <v/>
      </c>
      <c r="Y81" s="43">
        <f>IF($A81="","",IF(_xlfn.MAXIFS(tProd[[Date]],tProd[[Batch ID]],$A81,tProd[[Measurement Type]],"Weighing")=0,"",IFERROR(AVERAGEIFS(tProd[[Average Weight kg]],tProd[[Batch ID]],$A81,tProd[[Measurement Type]],"Weighing",tProd[[Date]],_xlfn.MAXIFS(tProd[[Date]],tProd[[Batch ID]],$A81,tProd[[Measurement Type]],"Weighing")),"")))</f>
        <v/>
      </c>
    </row>
    <row r="82">
      <c r="A82" s="27">
        <f>IFERROR(INDEX(tBatches[[Batch ID]],78)&amp;"","")</f>
        <v/>
      </c>
      <c r="B82" s="36">
        <f>IF($A82="","",INDEX(tBatches[[Pen ID]],78)&amp;"")</f>
        <v/>
      </c>
      <c r="C82" s="36">
        <f>IF($A82="","",INDEX(tBatches[[Animal Type]],78)&amp;"")</f>
        <v/>
      </c>
      <c r="D82" s="31">
        <f>IF($A82="","",INDEX(tBatches[[Batch Start Date]],78))</f>
        <v/>
      </c>
      <c r="E82" s="36">
        <f>IF($A82="","",INDEX(tBatches[[Status]],78)&amp;"")</f>
        <v/>
      </c>
      <c r="F82" s="31">
        <f>IF($A82="","",IF(N(INDEX(tBatches[[Closing Date]],78))=0,"",INDEX(tBatches[[Closing Date]],78)))</f>
        <v/>
      </c>
      <c r="G82" s="39">
        <f>IF($A82="","",INDEX(tBatches[[Age (days)]],78))</f>
        <v/>
      </c>
      <c r="H82" s="39">
        <f>IF($A82="","",N(INDEX(tBatches[[Initial Quantity]],78)))</f>
        <v/>
      </c>
      <c r="I82" s="39">
        <f>IF($A82="","",INDEX(tBatches[[Transfers In / Added]],78))</f>
        <v/>
      </c>
      <c r="J82" s="39">
        <f>IF($A82="","",INDEX(tBatches[[Deaths]],78))</f>
        <v/>
      </c>
      <c r="K82" s="39">
        <f>IF($A82="","",INDEX(tBatches[[Heads Sold]],78))</f>
        <v/>
      </c>
      <c r="L82" s="39">
        <f>IF($A82="","",INDEX(tBatches[[Transfers Out]],78))</f>
        <v/>
      </c>
      <c r="M82" s="39">
        <f>IF($A82="","",INDEX(tBatches[[Current Quantity]],78))</f>
        <v/>
      </c>
      <c r="N82" s="40">
        <f>IF($A82="","",IFERROR(J82/(H82+I82),0))</f>
        <v/>
      </c>
      <c r="O82" s="28">
        <f>IF($A82="","",SUMIFS(tFeedIss[[Quantity Issued in kg]],tFeedIss[[Batch ID]],$A82))</f>
        <v/>
      </c>
      <c r="P82" s="29">
        <f>IF($A82="","",SUMIFS(tFeedIss[[Total Cost]],tFeedIss[[Batch ID]],$A82))</f>
        <v/>
      </c>
      <c r="Q82" s="29">
        <f>IF($A82="","",SUMIFS(tDrugUse[[Total Cost]],tDrugUse[[Batch ID]],$A82))</f>
        <v/>
      </c>
      <c r="R82" s="29">
        <f>IF($A82="","",SUMIFS(tExp[[Amount]],tExp[[Batch ID (if applicable)]],$A82))</f>
        <v/>
      </c>
      <c r="S82" s="41">
        <f>IF($A82="","",P82+Q82+R82)</f>
        <v/>
      </c>
      <c r="T82" s="41">
        <f>IF($A82="","",SUMIFS(tSales[[Total Revenue]],tSales[[Batch ID]],$A82))</f>
        <v/>
      </c>
      <c r="U82" s="41">
        <f>IF($A82="","",T82-S82)</f>
        <v/>
      </c>
      <c r="V82" s="29">
        <f>IF($A82="","",IFERROR(S82/(H82+I82),""))</f>
        <v/>
      </c>
      <c r="W82" s="29">
        <f>IF($A82="","",IF(K82=0,"",T82/K82))</f>
        <v/>
      </c>
      <c r="X82" s="42">
        <f>IF($A82="","",IFERROR(O82/(H82+I82),""))</f>
        <v/>
      </c>
      <c r="Y82" s="43">
        <f>IF($A82="","",IF(_xlfn.MAXIFS(tProd[[Date]],tProd[[Batch ID]],$A82,tProd[[Measurement Type]],"Weighing")=0,"",IFERROR(AVERAGEIFS(tProd[[Average Weight kg]],tProd[[Batch ID]],$A82,tProd[[Measurement Type]],"Weighing",tProd[[Date]],_xlfn.MAXIFS(tProd[[Date]],tProd[[Batch ID]],$A82,tProd[[Measurement Type]],"Weighing")),"")))</f>
        <v/>
      </c>
    </row>
    <row r="83">
      <c r="A83" s="27">
        <f>IFERROR(INDEX(tBatches[[Batch ID]],79)&amp;"","")</f>
        <v/>
      </c>
      <c r="B83" s="36">
        <f>IF($A83="","",INDEX(tBatches[[Pen ID]],79)&amp;"")</f>
        <v/>
      </c>
      <c r="C83" s="36">
        <f>IF($A83="","",INDEX(tBatches[[Animal Type]],79)&amp;"")</f>
        <v/>
      </c>
      <c r="D83" s="31">
        <f>IF($A83="","",INDEX(tBatches[[Batch Start Date]],79))</f>
        <v/>
      </c>
      <c r="E83" s="36">
        <f>IF($A83="","",INDEX(tBatches[[Status]],79)&amp;"")</f>
        <v/>
      </c>
      <c r="F83" s="31">
        <f>IF($A83="","",IF(N(INDEX(tBatches[[Closing Date]],79))=0,"",INDEX(tBatches[[Closing Date]],79)))</f>
        <v/>
      </c>
      <c r="G83" s="39">
        <f>IF($A83="","",INDEX(tBatches[[Age (days)]],79))</f>
        <v/>
      </c>
      <c r="H83" s="39">
        <f>IF($A83="","",N(INDEX(tBatches[[Initial Quantity]],79)))</f>
        <v/>
      </c>
      <c r="I83" s="39">
        <f>IF($A83="","",INDEX(tBatches[[Transfers In / Added]],79))</f>
        <v/>
      </c>
      <c r="J83" s="39">
        <f>IF($A83="","",INDEX(tBatches[[Deaths]],79))</f>
        <v/>
      </c>
      <c r="K83" s="39">
        <f>IF($A83="","",INDEX(tBatches[[Heads Sold]],79))</f>
        <v/>
      </c>
      <c r="L83" s="39">
        <f>IF($A83="","",INDEX(tBatches[[Transfers Out]],79))</f>
        <v/>
      </c>
      <c r="M83" s="39">
        <f>IF($A83="","",INDEX(tBatches[[Current Quantity]],79))</f>
        <v/>
      </c>
      <c r="N83" s="40">
        <f>IF($A83="","",IFERROR(J83/(H83+I83),0))</f>
        <v/>
      </c>
      <c r="O83" s="28">
        <f>IF($A83="","",SUMIFS(tFeedIss[[Quantity Issued in kg]],tFeedIss[[Batch ID]],$A83))</f>
        <v/>
      </c>
      <c r="P83" s="29">
        <f>IF($A83="","",SUMIFS(tFeedIss[[Total Cost]],tFeedIss[[Batch ID]],$A83))</f>
        <v/>
      </c>
      <c r="Q83" s="29">
        <f>IF($A83="","",SUMIFS(tDrugUse[[Total Cost]],tDrugUse[[Batch ID]],$A83))</f>
        <v/>
      </c>
      <c r="R83" s="29">
        <f>IF($A83="","",SUMIFS(tExp[[Amount]],tExp[[Batch ID (if applicable)]],$A83))</f>
        <v/>
      </c>
      <c r="S83" s="41">
        <f>IF($A83="","",P83+Q83+R83)</f>
        <v/>
      </c>
      <c r="T83" s="41">
        <f>IF($A83="","",SUMIFS(tSales[[Total Revenue]],tSales[[Batch ID]],$A83))</f>
        <v/>
      </c>
      <c r="U83" s="41">
        <f>IF($A83="","",T83-S83)</f>
        <v/>
      </c>
      <c r="V83" s="29">
        <f>IF($A83="","",IFERROR(S83/(H83+I83),""))</f>
        <v/>
      </c>
      <c r="W83" s="29">
        <f>IF($A83="","",IF(K83=0,"",T83/K83))</f>
        <v/>
      </c>
      <c r="X83" s="42">
        <f>IF($A83="","",IFERROR(O83/(H83+I83),""))</f>
        <v/>
      </c>
      <c r="Y83" s="43">
        <f>IF($A83="","",IF(_xlfn.MAXIFS(tProd[[Date]],tProd[[Batch ID]],$A83,tProd[[Measurement Type]],"Weighing")=0,"",IFERROR(AVERAGEIFS(tProd[[Average Weight kg]],tProd[[Batch ID]],$A83,tProd[[Measurement Type]],"Weighing",tProd[[Date]],_xlfn.MAXIFS(tProd[[Date]],tProd[[Batch ID]],$A83,tProd[[Measurement Type]],"Weighing")),"")))</f>
        <v/>
      </c>
    </row>
    <row r="84">
      <c r="A84" s="27">
        <f>IFERROR(INDEX(tBatches[[Batch ID]],80)&amp;"","")</f>
        <v/>
      </c>
      <c r="B84" s="36">
        <f>IF($A84="","",INDEX(tBatches[[Pen ID]],80)&amp;"")</f>
        <v/>
      </c>
      <c r="C84" s="36">
        <f>IF($A84="","",INDEX(tBatches[[Animal Type]],80)&amp;"")</f>
        <v/>
      </c>
      <c r="D84" s="31">
        <f>IF($A84="","",INDEX(tBatches[[Batch Start Date]],80))</f>
        <v/>
      </c>
      <c r="E84" s="36">
        <f>IF($A84="","",INDEX(tBatches[[Status]],80)&amp;"")</f>
        <v/>
      </c>
      <c r="F84" s="31">
        <f>IF($A84="","",IF(N(INDEX(tBatches[[Closing Date]],80))=0,"",INDEX(tBatches[[Closing Date]],80)))</f>
        <v/>
      </c>
      <c r="G84" s="39">
        <f>IF($A84="","",INDEX(tBatches[[Age (days)]],80))</f>
        <v/>
      </c>
      <c r="H84" s="39">
        <f>IF($A84="","",N(INDEX(tBatches[[Initial Quantity]],80)))</f>
        <v/>
      </c>
      <c r="I84" s="39">
        <f>IF($A84="","",INDEX(tBatches[[Transfers In / Added]],80))</f>
        <v/>
      </c>
      <c r="J84" s="39">
        <f>IF($A84="","",INDEX(tBatches[[Deaths]],80))</f>
        <v/>
      </c>
      <c r="K84" s="39">
        <f>IF($A84="","",INDEX(tBatches[[Heads Sold]],80))</f>
        <v/>
      </c>
      <c r="L84" s="39">
        <f>IF($A84="","",INDEX(tBatches[[Transfers Out]],80))</f>
        <v/>
      </c>
      <c r="M84" s="39">
        <f>IF($A84="","",INDEX(tBatches[[Current Quantity]],80))</f>
        <v/>
      </c>
      <c r="N84" s="40">
        <f>IF($A84="","",IFERROR(J84/(H84+I84),0))</f>
        <v/>
      </c>
      <c r="O84" s="28">
        <f>IF($A84="","",SUMIFS(tFeedIss[[Quantity Issued in kg]],tFeedIss[[Batch ID]],$A84))</f>
        <v/>
      </c>
      <c r="P84" s="29">
        <f>IF($A84="","",SUMIFS(tFeedIss[[Total Cost]],tFeedIss[[Batch ID]],$A84))</f>
        <v/>
      </c>
      <c r="Q84" s="29">
        <f>IF($A84="","",SUMIFS(tDrugUse[[Total Cost]],tDrugUse[[Batch ID]],$A84))</f>
        <v/>
      </c>
      <c r="R84" s="29">
        <f>IF($A84="","",SUMIFS(tExp[[Amount]],tExp[[Batch ID (if applicable)]],$A84))</f>
        <v/>
      </c>
      <c r="S84" s="41">
        <f>IF($A84="","",P84+Q84+R84)</f>
        <v/>
      </c>
      <c r="T84" s="41">
        <f>IF($A84="","",SUMIFS(tSales[[Total Revenue]],tSales[[Batch ID]],$A84))</f>
        <v/>
      </c>
      <c r="U84" s="41">
        <f>IF($A84="","",T84-S84)</f>
        <v/>
      </c>
      <c r="V84" s="29">
        <f>IF($A84="","",IFERROR(S84/(H84+I84),""))</f>
        <v/>
      </c>
      <c r="W84" s="29">
        <f>IF($A84="","",IF(K84=0,"",T84/K84))</f>
        <v/>
      </c>
      <c r="X84" s="42">
        <f>IF($A84="","",IFERROR(O84/(H84+I84),""))</f>
        <v/>
      </c>
      <c r="Y84" s="43">
        <f>IF($A84="","",IF(_xlfn.MAXIFS(tProd[[Date]],tProd[[Batch ID]],$A84,tProd[[Measurement Type]],"Weighing")=0,"",IFERROR(AVERAGEIFS(tProd[[Average Weight kg]],tProd[[Batch ID]],$A84,tProd[[Measurement Type]],"Weighing",tProd[[Date]],_xlfn.MAXIFS(tProd[[Date]],tProd[[Batch ID]],$A84,tProd[[Measurement Type]],"Weighing")),"")))</f>
        <v/>
      </c>
    </row>
    <row r="85">
      <c r="A85" s="27">
        <f>IFERROR(INDEX(tBatches[[Batch ID]],81)&amp;"","")</f>
        <v/>
      </c>
      <c r="B85" s="36">
        <f>IF($A85="","",INDEX(tBatches[[Pen ID]],81)&amp;"")</f>
        <v/>
      </c>
      <c r="C85" s="36">
        <f>IF($A85="","",INDEX(tBatches[[Animal Type]],81)&amp;"")</f>
        <v/>
      </c>
      <c r="D85" s="31">
        <f>IF($A85="","",INDEX(tBatches[[Batch Start Date]],81))</f>
        <v/>
      </c>
      <c r="E85" s="36">
        <f>IF($A85="","",INDEX(tBatches[[Status]],81)&amp;"")</f>
        <v/>
      </c>
      <c r="F85" s="31">
        <f>IF($A85="","",IF(N(INDEX(tBatches[[Closing Date]],81))=0,"",INDEX(tBatches[[Closing Date]],81)))</f>
        <v/>
      </c>
      <c r="G85" s="39">
        <f>IF($A85="","",INDEX(tBatches[[Age (days)]],81))</f>
        <v/>
      </c>
      <c r="H85" s="39">
        <f>IF($A85="","",N(INDEX(tBatches[[Initial Quantity]],81)))</f>
        <v/>
      </c>
      <c r="I85" s="39">
        <f>IF($A85="","",INDEX(tBatches[[Transfers In / Added]],81))</f>
        <v/>
      </c>
      <c r="J85" s="39">
        <f>IF($A85="","",INDEX(tBatches[[Deaths]],81))</f>
        <v/>
      </c>
      <c r="K85" s="39">
        <f>IF($A85="","",INDEX(tBatches[[Heads Sold]],81))</f>
        <v/>
      </c>
      <c r="L85" s="39">
        <f>IF($A85="","",INDEX(tBatches[[Transfers Out]],81))</f>
        <v/>
      </c>
      <c r="M85" s="39">
        <f>IF($A85="","",INDEX(tBatches[[Current Quantity]],81))</f>
        <v/>
      </c>
      <c r="N85" s="40">
        <f>IF($A85="","",IFERROR(J85/(H85+I85),0))</f>
        <v/>
      </c>
      <c r="O85" s="28">
        <f>IF($A85="","",SUMIFS(tFeedIss[[Quantity Issued in kg]],tFeedIss[[Batch ID]],$A85))</f>
        <v/>
      </c>
      <c r="P85" s="29">
        <f>IF($A85="","",SUMIFS(tFeedIss[[Total Cost]],tFeedIss[[Batch ID]],$A85))</f>
        <v/>
      </c>
      <c r="Q85" s="29">
        <f>IF($A85="","",SUMIFS(tDrugUse[[Total Cost]],tDrugUse[[Batch ID]],$A85))</f>
        <v/>
      </c>
      <c r="R85" s="29">
        <f>IF($A85="","",SUMIFS(tExp[[Amount]],tExp[[Batch ID (if applicable)]],$A85))</f>
        <v/>
      </c>
      <c r="S85" s="41">
        <f>IF($A85="","",P85+Q85+R85)</f>
        <v/>
      </c>
      <c r="T85" s="41">
        <f>IF($A85="","",SUMIFS(tSales[[Total Revenue]],tSales[[Batch ID]],$A85))</f>
        <v/>
      </c>
      <c r="U85" s="41">
        <f>IF($A85="","",T85-S85)</f>
        <v/>
      </c>
      <c r="V85" s="29">
        <f>IF($A85="","",IFERROR(S85/(H85+I85),""))</f>
        <v/>
      </c>
      <c r="W85" s="29">
        <f>IF($A85="","",IF(K85=0,"",T85/K85))</f>
        <v/>
      </c>
      <c r="X85" s="42">
        <f>IF($A85="","",IFERROR(O85/(H85+I85),""))</f>
        <v/>
      </c>
      <c r="Y85" s="43">
        <f>IF($A85="","",IF(_xlfn.MAXIFS(tProd[[Date]],tProd[[Batch ID]],$A85,tProd[[Measurement Type]],"Weighing")=0,"",IFERROR(AVERAGEIFS(tProd[[Average Weight kg]],tProd[[Batch ID]],$A85,tProd[[Measurement Type]],"Weighing",tProd[[Date]],_xlfn.MAXIFS(tProd[[Date]],tProd[[Batch ID]],$A85,tProd[[Measurement Type]],"Weighing")),"")))</f>
        <v/>
      </c>
    </row>
    <row r="86">
      <c r="A86" s="27">
        <f>IFERROR(INDEX(tBatches[[Batch ID]],82)&amp;"","")</f>
        <v/>
      </c>
      <c r="B86" s="36">
        <f>IF($A86="","",INDEX(tBatches[[Pen ID]],82)&amp;"")</f>
        <v/>
      </c>
      <c r="C86" s="36">
        <f>IF($A86="","",INDEX(tBatches[[Animal Type]],82)&amp;"")</f>
        <v/>
      </c>
      <c r="D86" s="31">
        <f>IF($A86="","",INDEX(tBatches[[Batch Start Date]],82))</f>
        <v/>
      </c>
      <c r="E86" s="36">
        <f>IF($A86="","",INDEX(tBatches[[Status]],82)&amp;"")</f>
        <v/>
      </c>
      <c r="F86" s="31">
        <f>IF($A86="","",IF(N(INDEX(tBatches[[Closing Date]],82))=0,"",INDEX(tBatches[[Closing Date]],82)))</f>
        <v/>
      </c>
      <c r="G86" s="39">
        <f>IF($A86="","",INDEX(tBatches[[Age (days)]],82))</f>
        <v/>
      </c>
      <c r="H86" s="39">
        <f>IF($A86="","",N(INDEX(tBatches[[Initial Quantity]],82)))</f>
        <v/>
      </c>
      <c r="I86" s="39">
        <f>IF($A86="","",INDEX(tBatches[[Transfers In / Added]],82))</f>
        <v/>
      </c>
      <c r="J86" s="39">
        <f>IF($A86="","",INDEX(tBatches[[Deaths]],82))</f>
        <v/>
      </c>
      <c r="K86" s="39">
        <f>IF($A86="","",INDEX(tBatches[[Heads Sold]],82))</f>
        <v/>
      </c>
      <c r="L86" s="39">
        <f>IF($A86="","",INDEX(tBatches[[Transfers Out]],82))</f>
        <v/>
      </c>
      <c r="M86" s="39">
        <f>IF($A86="","",INDEX(tBatches[[Current Quantity]],82))</f>
        <v/>
      </c>
      <c r="N86" s="40">
        <f>IF($A86="","",IFERROR(J86/(H86+I86),0))</f>
        <v/>
      </c>
      <c r="O86" s="28">
        <f>IF($A86="","",SUMIFS(tFeedIss[[Quantity Issued in kg]],tFeedIss[[Batch ID]],$A86))</f>
        <v/>
      </c>
      <c r="P86" s="29">
        <f>IF($A86="","",SUMIFS(tFeedIss[[Total Cost]],tFeedIss[[Batch ID]],$A86))</f>
        <v/>
      </c>
      <c r="Q86" s="29">
        <f>IF($A86="","",SUMIFS(tDrugUse[[Total Cost]],tDrugUse[[Batch ID]],$A86))</f>
        <v/>
      </c>
      <c r="R86" s="29">
        <f>IF($A86="","",SUMIFS(tExp[[Amount]],tExp[[Batch ID (if applicable)]],$A86))</f>
        <v/>
      </c>
      <c r="S86" s="41">
        <f>IF($A86="","",P86+Q86+R86)</f>
        <v/>
      </c>
      <c r="T86" s="41">
        <f>IF($A86="","",SUMIFS(tSales[[Total Revenue]],tSales[[Batch ID]],$A86))</f>
        <v/>
      </c>
      <c r="U86" s="41">
        <f>IF($A86="","",T86-S86)</f>
        <v/>
      </c>
      <c r="V86" s="29">
        <f>IF($A86="","",IFERROR(S86/(H86+I86),""))</f>
        <v/>
      </c>
      <c r="W86" s="29">
        <f>IF($A86="","",IF(K86=0,"",T86/K86))</f>
        <v/>
      </c>
      <c r="X86" s="42">
        <f>IF($A86="","",IFERROR(O86/(H86+I86),""))</f>
        <v/>
      </c>
      <c r="Y86" s="43">
        <f>IF($A86="","",IF(_xlfn.MAXIFS(tProd[[Date]],tProd[[Batch ID]],$A86,tProd[[Measurement Type]],"Weighing")=0,"",IFERROR(AVERAGEIFS(tProd[[Average Weight kg]],tProd[[Batch ID]],$A86,tProd[[Measurement Type]],"Weighing",tProd[[Date]],_xlfn.MAXIFS(tProd[[Date]],tProd[[Batch ID]],$A86,tProd[[Measurement Type]],"Weighing")),"")))</f>
        <v/>
      </c>
    </row>
    <row r="87">
      <c r="A87" s="27">
        <f>IFERROR(INDEX(tBatches[[Batch ID]],83)&amp;"","")</f>
        <v/>
      </c>
      <c r="B87" s="36">
        <f>IF($A87="","",INDEX(tBatches[[Pen ID]],83)&amp;"")</f>
        <v/>
      </c>
      <c r="C87" s="36">
        <f>IF($A87="","",INDEX(tBatches[[Animal Type]],83)&amp;"")</f>
        <v/>
      </c>
      <c r="D87" s="31">
        <f>IF($A87="","",INDEX(tBatches[[Batch Start Date]],83))</f>
        <v/>
      </c>
      <c r="E87" s="36">
        <f>IF($A87="","",INDEX(tBatches[[Status]],83)&amp;"")</f>
        <v/>
      </c>
      <c r="F87" s="31">
        <f>IF($A87="","",IF(N(INDEX(tBatches[[Closing Date]],83))=0,"",INDEX(tBatches[[Closing Date]],83)))</f>
        <v/>
      </c>
      <c r="G87" s="39">
        <f>IF($A87="","",INDEX(tBatches[[Age (days)]],83))</f>
        <v/>
      </c>
      <c r="H87" s="39">
        <f>IF($A87="","",N(INDEX(tBatches[[Initial Quantity]],83)))</f>
        <v/>
      </c>
      <c r="I87" s="39">
        <f>IF($A87="","",INDEX(tBatches[[Transfers In / Added]],83))</f>
        <v/>
      </c>
      <c r="J87" s="39">
        <f>IF($A87="","",INDEX(tBatches[[Deaths]],83))</f>
        <v/>
      </c>
      <c r="K87" s="39">
        <f>IF($A87="","",INDEX(tBatches[[Heads Sold]],83))</f>
        <v/>
      </c>
      <c r="L87" s="39">
        <f>IF($A87="","",INDEX(tBatches[[Transfers Out]],83))</f>
        <v/>
      </c>
      <c r="M87" s="39">
        <f>IF($A87="","",INDEX(tBatches[[Current Quantity]],83))</f>
        <v/>
      </c>
      <c r="N87" s="40">
        <f>IF($A87="","",IFERROR(J87/(H87+I87),0))</f>
        <v/>
      </c>
      <c r="O87" s="28">
        <f>IF($A87="","",SUMIFS(tFeedIss[[Quantity Issued in kg]],tFeedIss[[Batch ID]],$A87))</f>
        <v/>
      </c>
      <c r="P87" s="29">
        <f>IF($A87="","",SUMIFS(tFeedIss[[Total Cost]],tFeedIss[[Batch ID]],$A87))</f>
        <v/>
      </c>
      <c r="Q87" s="29">
        <f>IF($A87="","",SUMIFS(tDrugUse[[Total Cost]],tDrugUse[[Batch ID]],$A87))</f>
        <v/>
      </c>
      <c r="R87" s="29">
        <f>IF($A87="","",SUMIFS(tExp[[Amount]],tExp[[Batch ID (if applicable)]],$A87))</f>
        <v/>
      </c>
      <c r="S87" s="41">
        <f>IF($A87="","",P87+Q87+R87)</f>
        <v/>
      </c>
      <c r="T87" s="41">
        <f>IF($A87="","",SUMIFS(tSales[[Total Revenue]],tSales[[Batch ID]],$A87))</f>
        <v/>
      </c>
      <c r="U87" s="41">
        <f>IF($A87="","",T87-S87)</f>
        <v/>
      </c>
      <c r="V87" s="29">
        <f>IF($A87="","",IFERROR(S87/(H87+I87),""))</f>
        <v/>
      </c>
      <c r="W87" s="29">
        <f>IF($A87="","",IF(K87=0,"",T87/K87))</f>
        <v/>
      </c>
      <c r="X87" s="42">
        <f>IF($A87="","",IFERROR(O87/(H87+I87),""))</f>
        <v/>
      </c>
      <c r="Y87" s="43">
        <f>IF($A87="","",IF(_xlfn.MAXIFS(tProd[[Date]],tProd[[Batch ID]],$A87,tProd[[Measurement Type]],"Weighing")=0,"",IFERROR(AVERAGEIFS(tProd[[Average Weight kg]],tProd[[Batch ID]],$A87,tProd[[Measurement Type]],"Weighing",tProd[[Date]],_xlfn.MAXIFS(tProd[[Date]],tProd[[Batch ID]],$A87,tProd[[Measurement Type]],"Weighing")),"")))</f>
        <v/>
      </c>
    </row>
    <row r="88">
      <c r="A88" s="27">
        <f>IFERROR(INDEX(tBatches[[Batch ID]],84)&amp;"","")</f>
        <v/>
      </c>
      <c r="B88" s="36">
        <f>IF($A88="","",INDEX(tBatches[[Pen ID]],84)&amp;"")</f>
        <v/>
      </c>
      <c r="C88" s="36">
        <f>IF($A88="","",INDEX(tBatches[[Animal Type]],84)&amp;"")</f>
        <v/>
      </c>
      <c r="D88" s="31">
        <f>IF($A88="","",INDEX(tBatches[[Batch Start Date]],84))</f>
        <v/>
      </c>
      <c r="E88" s="36">
        <f>IF($A88="","",INDEX(tBatches[[Status]],84)&amp;"")</f>
        <v/>
      </c>
      <c r="F88" s="31">
        <f>IF($A88="","",IF(N(INDEX(tBatches[[Closing Date]],84))=0,"",INDEX(tBatches[[Closing Date]],84)))</f>
        <v/>
      </c>
      <c r="G88" s="39">
        <f>IF($A88="","",INDEX(tBatches[[Age (days)]],84))</f>
        <v/>
      </c>
      <c r="H88" s="39">
        <f>IF($A88="","",N(INDEX(tBatches[[Initial Quantity]],84)))</f>
        <v/>
      </c>
      <c r="I88" s="39">
        <f>IF($A88="","",INDEX(tBatches[[Transfers In / Added]],84))</f>
        <v/>
      </c>
      <c r="J88" s="39">
        <f>IF($A88="","",INDEX(tBatches[[Deaths]],84))</f>
        <v/>
      </c>
      <c r="K88" s="39">
        <f>IF($A88="","",INDEX(tBatches[[Heads Sold]],84))</f>
        <v/>
      </c>
      <c r="L88" s="39">
        <f>IF($A88="","",INDEX(tBatches[[Transfers Out]],84))</f>
        <v/>
      </c>
      <c r="M88" s="39">
        <f>IF($A88="","",INDEX(tBatches[[Current Quantity]],84))</f>
        <v/>
      </c>
      <c r="N88" s="40">
        <f>IF($A88="","",IFERROR(J88/(H88+I88),0))</f>
        <v/>
      </c>
      <c r="O88" s="28">
        <f>IF($A88="","",SUMIFS(tFeedIss[[Quantity Issued in kg]],tFeedIss[[Batch ID]],$A88))</f>
        <v/>
      </c>
      <c r="P88" s="29">
        <f>IF($A88="","",SUMIFS(tFeedIss[[Total Cost]],tFeedIss[[Batch ID]],$A88))</f>
        <v/>
      </c>
      <c r="Q88" s="29">
        <f>IF($A88="","",SUMIFS(tDrugUse[[Total Cost]],tDrugUse[[Batch ID]],$A88))</f>
        <v/>
      </c>
      <c r="R88" s="29">
        <f>IF($A88="","",SUMIFS(tExp[[Amount]],tExp[[Batch ID (if applicable)]],$A88))</f>
        <v/>
      </c>
      <c r="S88" s="41">
        <f>IF($A88="","",P88+Q88+R88)</f>
        <v/>
      </c>
      <c r="T88" s="41">
        <f>IF($A88="","",SUMIFS(tSales[[Total Revenue]],tSales[[Batch ID]],$A88))</f>
        <v/>
      </c>
      <c r="U88" s="41">
        <f>IF($A88="","",T88-S88)</f>
        <v/>
      </c>
      <c r="V88" s="29">
        <f>IF($A88="","",IFERROR(S88/(H88+I88),""))</f>
        <v/>
      </c>
      <c r="W88" s="29">
        <f>IF($A88="","",IF(K88=0,"",T88/K88))</f>
        <v/>
      </c>
      <c r="X88" s="42">
        <f>IF($A88="","",IFERROR(O88/(H88+I88),""))</f>
        <v/>
      </c>
      <c r="Y88" s="43">
        <f>IF($A88="","",IF(_xlfn.MAXIFS(tProd[[Date]],tProd[[Batch ID]],$A88,tProd[[Measurement Type]],"Weighing")=0,"",IFERROR(AVERAGEIFS(tProd[[Average Weight kg]],tProd[[Batch ID]],$A88,tProd[[Measurement Type]],"Weighing",tProd[[Date]],_xlfn.MAXIFS(tProd[[Date]],tProd[[Batch ID]],$A88,tProd[[Measurement Type]],"Weighing")),"")))</f>
        <v/>
      </c>
    </row>
    <row r="89">
      <c r="A89" s="27">
        <f>IFERROR(INDEX(tBatches[[Batch ID]],85)&amp;"","")</f>
        <v/>
      </c>
      <c r="B89" s="36">
        <f>IF($A89="","",INDEX(tBatches[[Pen ID]],85)&amp;"")</f>
        <v/>
      </c>
      <c r="C89" s="36">
        <f>IF($A89="","",INDEX(tBatches[[Animal Type]],85)&amp;"")</f>
        <v/>
      </c>
      <c r="D89" s="31">
        <f>IF($A89="","",INDEX(tBatches[[Batch Start Date]],85))</f>
        <v/>
      </c>
      <c r="E89" s="36">
        <f>IF($A89="","",INDEX(tBatches[[Status]],85)&amp;"")</f>
        <v/>
      </c>
      <c r="F89" s="31">
        <f>IF($A89="","",IF(N(INDEX(tBatches[[Closing Date]],85))=0,"",INDEX(tBatches[[Closing Date]],85)))</f>
        <v/>
      </c>
      <c r="G89" s="39">
        <f>IF($A89="","",INDEX(tBatches[[Age (days)]],85))</f>
        <v/>
      </c>
      <c r="H89" s="39">
        <f>IF($A89="","",N(INDEX(tBatches[[Initial Quantity]],85)))</f>
        <v/>
      </c>
      <c r="I89" s="39">
        <f>IF($A89="","",INDEX(tBatches[[Transfers In / Added]],85))</f>
        <v/>
      </c>
      <c r="J89" s="39">
        <f>IF($A89="","",INDEX(tBatches[[Deaths]],85))</f>
        <v/>
      </c>
      <c r="K89" s="39">
        <f>IF($A89="","",INDEX(tBatches[[Heads Sold]],85))</f>
        <v/>
      </c>
      <c r="L89" s="39">
        <f>IF($A89="","",INDEX(tBatches[[Transfers Out]],85))</f>
        <v/>
      </c>
      <c r="M89" s="39">
        <f>IF($A89="","",INDEX(tBatches[[Current Quantity]],85))</f>
        <v/>
      </c>
      <c r="N89" s="40">
        <f>IF($A89="","",IFERROR(J89/(H89+I89),0))</f>
        <v/>
      </c>
      <c r="O89" s="28">
        <f>IF($A89="","",SUMIFS(tFeedIss[[Quantity Issued in kg]],tFeedIss[[Batch ID]],$A89))</f>
        <v/>
      </c>
      <c r="P89" s="29">
        <f>IF($A89="","",SUMIFS(tFeedIss[[Total Cost]],tFeedIss[[Batch ID]],$A89))</f>
        <v/>
      </c>
      <c r="Q89" s="29">
        <f>IF($A89="","",SUMIFS(tDrugUse[[Total Cost]],tDrugUse[[Batch ID]],$A89))</f>
        <v/>
      </c>
      <c r="R89" s="29">
        <f>IF($A89="","",SUMIFS(tExp[[Amount]],tExp[[Batch ID (if applicable)]],$A89))</f>
        <v/>
      </c>
      <c r="S89" s="41">
        <f>IF($A89="","",P89+Q89+R89)</f>
        <v/>
      </c>
      <c r="T89" s="41">
        <f>IF($A89="","",SUMIFS(tSales[[Total Revenue]],tSales[[Batch ID]],$A89))</f>
        <v/>
      </c>
      <c r="U89" s="41">
        <f>IF($A89="","",T89-S89)</f>
        <v/>
      </c>
      <c r="V89" s="29">
        <f>IF($A89="","",IFERROR(S89/(H89+I89),""))</f>
        <v/>
      </c>
      <c r="W89" s="29">
        <f>IF($A89="","",IF(K89=0,"",T89/K89))</f>
        <v/>
      </c>
      <c r="X89" s="42">
        <f>IF($A89="","",IFERROR(O89/(H89+I89),""))</f>
        <v/>
      </c>
      <c r="Y89" s="43">
        <f>IF($A89="","",IF(_xlfn.MAXIFS(tProd[[Date]],tProd[[Batch ID]],$A89,tProd[[Measurement Type]],"Weighing")=0,"",IFERROR(AVERAGEIFS(tProd[[Average Weight kg]],tProd[[Batch ID]],$A89,tProd[[Measurement Type]],"Weighing",tProd[[Date]],_xlfn.MAXIFS(tProd[[Date]],tProd[[Batch ID]],$A89,tProd[[Measurement Type]],"Weighing")),"")))</f>
        <v/>
      </c>
    </row>
    <row r="90">
      <c r="A90" s="27">
        <f>IFERROR(INDEX(tBatches[[Batch ID]],86)&amp;"","")</f>
        <v/>
      </c>
      <c r="B90" s="36">
        <f>IF($A90="","",INDEX(tBatches[[Pen ID]],86)&amp;"")</f>
        <v/>
      </c>
      <c r="C90" s="36">
        <f>IF($A90="","",INDEX(tBatches[[Animal Type]],86)&amp;"")</f>
        <v/>
      </c>
      <c r="D90" s="31">
        <f>IF($A90="","",INDEX(tBatches[[Batch Start Date]],86))</f>
        <v/>
      </c>
      <c r="E90" s="36">
        <f>IF($A90="","",INDEX(tBatches[[Status]],86)&amp;"")</f>
        <v/>
      </c>
      <c r="F90" s="31">
        <f>IF($A90="","",IF(N(INDEX(tBatches[[Closing Date]],86))=0,"",INDEX(tBatches[[Closing Date]],86)))</f>
        <v/>
      </c>
      <c r="G90" s="39">
        <f>IF($A90="","",INDEX(tBatches[[Age (days)]],86))</f>
        <v/>
      </c>
      <c r="H90" s="39">
        <f>IF($A90="","",N(INDEX(tBatches[[Initial Quantity]],86)))</f>
        <v/>
      </c>
      <c r="I90" s="39">
        <f>IF($A90="","",INDEX(tBatches[[Transfers In / Added]],86))</f>
        <v/>
      </c>
      <c r="J90" s="39">
        <f>IF($A90="","",INDEX(tBatches[[Deaths]],86))</f>
        <v/>
      </c>
      <c r="K90" s="39">
        <f>IF($A90="","",INDEX(tBatches[[Heads Sold]],86))</f>
        <v/>
      </c>
      <c r="L90" s="39">
        <f>IF($A90="","",INDEX(tBatches[[Transfers Out]],86))</f>
        <v/>
      </c>
      <c r="M90" s="39">
        <f>IF($A90="","",INDEX(tBatches[[Current Quantity]],86))</f>
        <v/>
      </c>
      <c r="N90" s="40">
        <f>IF($A90="","",IFERROR(J90/(H90+I90),0))</f>
        <v/>
      </c>
      <c r="O90" s="28">
        <f>IF($A90="","",SUMIFS(tFeedIss[[Quantity Issued in kg]],tFeedIss[[Batch ID]],$A90))</f>
        <v/>
      </c>
      <c r="P90" s="29">
        <f>IF($A90="","",SUMIFS(tFeedIss[[Total Cost]],tFeedIss[[Batch ID]],$A90))</f>
        <v/>
      </c>
      <c r="Q90" s="29">
        <f>IF($A90="","",SUMIFS(tDrugUse[[Total Cost]],tDrugUse[[Batch ID]],$A90))</f>
        <v/>
      </c>
      <c r="R90" s="29">
        <f>IF($A90="","",SUMIFS(tExp[[Amount]],tExp[[Batch ID (if applicable)]],$A90))</f>
        <v/>
      </c>
      <c r="S90" s="41">
        <f>IF($A90="","",P90+Q90+R90)</f>
        <v/>
      </c>
      <c r="T90" s="41">
        <f>IF($A90="","",SUMIFS(tSales[[Total Revenue]],tSales[[Batch ID]],$A90))</f>
        <v/>
      </c>
      <c r="U90" s="41">
        <f>IF($A90="","",T90-S90)</f>
        <v/>
      </c>
      <c r="V90" s="29">
        <f>IF($A90="","",IFERROR(S90/(H90+I90),""))</f>
        <v/>
      </c>
      <c r="W90" s="29">
        <f>IF($A90="","",IF(K90=0,"",T90/K90))</f>
        <v/>
      </c>
      <c r="X90" s="42">
        <f>IF($A90="","",IFERROR(O90/(H90+I90),""))</f>
        <v/>
      </c>
      <c r="Y90" s="43">
        <f>IF($A90="","",IF(_xlfn.MAXIFS(tProd[[Date]],tProd[[Batch ID]],$A90,tProd[[Measurement Type]],"Weighing")=0,"",IFERROR(AVERAGEIFS(tProd[[Average Weight kg]],tProd[[Batch ID]],$A90,tProd[[Measurement Type]],"Weighing",tProd[[Date]],_xlfn.MAXIFS(tProd[[Date]],tProd[[Batch ID]],$A90,tProd[[Measurement Type]],"Weighing")),"")))</f>
        <v/>
      </c>
    </row>
    <row r="91">
      <c r="A91" s="27">
        <f>IFERROR(INDEX(tBatches[[Batch ID]],87)&amp;"","")</f>
        <v/>
      </c>
      <c r="B91" s="36">
        <f>IF($A91="","",INDEX(tBatches[[Pen ID]],87)&amp;"")</f>
        <v/>
      </c>
      <c r="C91" s="36">
        <f>IF($A91="","",INDEX(tBatches[[Animal Type]],87)&amp;"")</f>
        <v/>
      </c>
      <c r="D91" s="31">
        <f>IF($A91="","",INDEX(tBatches[[Batch Start Date]],87))</f>
        <v/>
      </c>
      <c r="E91" s="36">
        <f>IF($A91="","",INDEX(tBatches[[Status]],87)&amp;"")</f>
        <v/>
      </c>
      <c r="F91" s="31">
        <f>IF($A91="","",IF(N(INDEX(tBatches[[Closing Date]],87))=0,"",INDEX(tBatches[[Closing Date]],87)))</f>
        <v/>
      </c>
      <c r="G91" s="39">
        <f>IF($A91="","",INDEX(tBatches[[Age (days)]],87))</f>
        <v/>
      </c>
      <c r="H91" s="39">
        <f>IF($A91="","",N(INDEX(tBatches[[Initial Quantity]],87)))</f>
        <v/>
      </c>
      <c r="I91" s="39">
        <f>IF($A91="","",INDEX(tBatches[[Transfers In / Added]],87))</f>
        <v/>
      </c>
      <c r="J91" s="39">
        <f>IF($A91="","",INDEX(tBatches[[Deaths]],87))</f>
        <v/>
      </c>
      <c r="K91" s="39">
        <f>IF($A91="","",INDEX(tBatches[[Heads Sold]],87))</f>
        <v/>
      </c>
      <c r="L91" s="39">
        <f>IF($A91="","",INDEX(tBatches[[Transfers Out]],87))</f>
        <v/>
      </c>
      <c r="M91" s="39">
        <f>IF($A91="","",INDEX(tBatches[[Current Quantity]],87))</f>
        <v/>
      </c>
      <c r="N91" s="40">
        <f>IF($A91="","",IFERROR(J91/(H91+I91),0))</f>
        <v/>
      </c>
      <c r="O91" s="28">
        <f>IF($A91="","",SUMIFS(tFeedIss[[Quantity Issued in kg]],tFeedIss[[Batch ID]],$A91))</f>
        <v/>
      </c>
      <c r="P91" s="29">
        <f>IF($A91="","",SUMIFS(tFeedIss[[Total Cost]],tFeedIss[[Batch ID]],$A91))</f>
        <v/>
      </c>
      <c r="Q91" s="29">
        <f>IF($A91="","",SUMIFS(tDrugUse[[Total Cost]],tDrugUse[[Batch ID]],$A91))</f>
        <v/>
      </c>
      <c r="R91" s="29">
        <f>IF($A91="","",SUMIFS(tExp[[Amount]],tExp[[Batch ID (if applicable)]],$A91))</f>
        <v/>
      </c>
      <c r="S91" s="41">
        <f>IF($A91="","",P91+Q91+R91)</f>
        <v/>
      </c>
      <c r="T91" s="41">
        <f>IF($A91="","",SUMIFS(tSales[[Total Revenue]],tSales[[Batch ID]],$A91))</f>
        <v/>
      </c>
      <c r="U91" s="41">
        <f>IF($A91="","",T91-S91)</f>
        <v/>
      </c>
      <c r="V91" s="29">
        <f>IF($A91="","",IFERROR(S91/(H91+I91),""))</f>
        <v/>
      </c>
      <c r="W91" s="29">
        <f>IF($A91="","",IF(K91=0,"",T91/K91))</f>
        <v/>
      </c>
      <c r="X91" s="42">
        <f>IF($A91="","",IFERROR(O91/(H91+I91),""))</f>
        <v/>
      </c>
      <c r="Y91" s="43">
        <f>IF($A91="","",IF(_xlfn.MAXIFS(tProd[[Date]],tProd[[Batch ID]],$A91,tProd[[Measurement Type]],"Weighing")=0,"",IFERROR(AVERAGEIFS(tProd[[Average Weight kg]],tProd[[Batch ID]],$A91,tProd[[Measurement Type]],"Weighing",tProd[[Date]],_xlfn.MAXIFS(tProd[[Date]],tProd[[Batch ID]],$A91,tProd[[Measurement Type]],"Weighing")),"")))</f>
        <v/>
      </c>
    </row>
    <row r="92">
      <c r="A92" s="27">
        <f>IFERROR(INDEX(tBatches[[Batch ID]],88)&amp;"","")</f>
        <v/>
      </c>
      <c r="B92" s="36">
        <f>IF($A92="","",INDEX(tBatches[[Pen ID]],88)&amp;"")</f>
        <v/>
      </c>
      <c r="C92" s="36">
        <f>IF($A92="","",INDEX(tBatches[[Animal Type]],88)&amp;"")</f>
        <v/>
      </c>
      <c r="D92" s="31">
        <f>IF($A92="","",INDEX(tBatches[[Batch Start Date]],88))</f>
        <v/>
      </c>
      <c r="E92" s="36">
        <f>IF($A92="","",INDEX(tBatches[[Status]],88)&amp;"")</f>
        <v/>
      </c>
      <c r="F92" s="31">
        <f>IF($A92="","",IF(N(INDEX(tBatches[[Closing Date]],88))=0,"",INDEX(tBatches[[Closing Date]],88)))</f>
        <v/>
      </c>
      <c r="G92" s="39">
        <f>IF($A92="","",INDEX(tBatches[[Age (days)]],88))</f>
        <v/>
      </c>
      <c r="H92" s="39">
        <f>IF($A92="","",N(INDEX(tBatches[[Initial Quantity]],88)))</f>
        <v/>
      </c>
      <c r="I92" s="39">
        <f>IF($A92="","",INDEX(tBatches[[Transfers In / Added]],88))</f>
        <v/>
      </c>
      <c r="J92" s="39">
        <f>IF($A92="","",INDEX(tBatches[[Deaths]],88))</f>
        <v/>
      </c>
      <c r="K92" s="39">
        <f>IF($A92="","",INDEX(tBatches[[Heads Sold]],88))</f>
        <v/>
      </c>
      <c r="L92" s="39">
        <f>IF($A92="","",INDEX(tBatches[[Transfers Out]],88))</f>
        <v/>
      </c>
      <c r="M92" s="39">
        <f>IF($A92="","",INDEX(tBatches[[Current Quantity]],88))</f>
        <v/>
      </c>
      <c r="N92" s="40">
        <f>IF($A92="","",IFERROR(J92/(H92+I92),0))</f>
        <v/>
      </c>
      <c r="O92" s="28">
        <f>IF($A92="","",SUMIFS(tFeedIss[[Quantity Issued in kg]],tFeedIss[[Batch ID]],$A92))</f>
        <v/>
      </c>
      <c r="P92" s="29">
        <f>IF($A92="","",SUMIFS(tFeedIss[[Total Cost]],tFeedIss[[Batch ID]],$A92))</f>
        <v/>
      </c>
      <c r="Q92" s="29">
        <f>IF($A92="","",SUMIFS(tDrugUse[[Total Cost]],tDrugUse[[Batch ID]],$A92))</f>
        <v/>
      </c>
      <c r="R92" s="29">
        <f>IF($A92="","",SUMIFS(tExp[[Amount]],tExp[[Batch ID (if applicable)]],$A92))</f>
        <v/>
      </c>
      <c r="S92" s="41">
        <f>IF($A92="","",P92+Q92+R92)</f>
        <v/>
      </c>
      <c r="T92" s="41">
        <f>IF($A92="","",SUMIFS(tSales[[Total Revenue]],tSales[[Batch ID]],$A92))</f>
        <v/>
      </c>
      <c r="U92" s="41">
        <f>IF($A92="","",T92-S92)</f>
        <v/>
      </c>
      <c r="V92" s="29">
        <f>IF($A92="","",IFERROR(S92/(H92+I92),""))</f>
        <v/>
      </c>
      <c r="W92" s="29">
        <f>IF($A92="","",IF(K92=0,"",T92/K92))</f>
        <v/>
      </c>
      <c r="X92" s="42">
        <f>IF($A92="","",IFERROR(O92/(H92+I92),""))</f>
        <v/>
      </c>
      <c r="Y92" s="43">
        <f>IF($A92="","",IF(_xlfn.MAXIFS(tProd[[Date]],tProd[[Batch ID]],$A92,tProd[[Measurement Type]],"Weighing")=0,"",IFERROR(AVERAGEIFS(tProd[[Average Weight kg]],tProd[[Batch ID]],$A92,tProd[[Measurement Type]],"Weighing",tProd[[Date]],_xlfn.MAXIFS(tProd[[Date]],tProd[[Batch ID]],$A92,tProd[[Measurement Type]],"Weighing")),"")))</f>
        <v/>
      </c>
    </row>
    <row r="93">
      <c r="A93" s="27">
        <f>IFERROR(INDEX(tBatches[[Batch ID]],89)&amp;"","")</f>
        <v/>
      </c>
      <c r="B93" s="36">
        <f>IF($A93="","",INDEX(tBatches[[Pen ID]],89)&amp;"")</f>
        <v/>
      </c>
      <c r="C93" s="36">
        <f>IF($A93="","",INDEX(tBatches[[Animal Type]],89)&amp;"")</f>
        <v/>
      </c>
      <c r="D93" s="31">
        <f>IF($A93="","",INDEX(tBatches[[Batch Start Date]],89))</f>
        <v/>
      </c>
      <c r="E93" s="36">
        <f>IF($A93="","",INDEX(tBatches[[Status]],89)&amp;"")</f>
        <v/>
      </c>
      <c r="F93" s="31">
        <f>IF($A93="","",IF(N(INDEX(tBatches[[Closing Date]],89))=0,"",INDEX(tBatches[[Closing Date]],89)))</f>
        <v/>
      </c>
      <c r="G93" s="39">
        <f>IF($A93="","",INDEX(tBatches[[Age (days)]],89))</f>
        <v/>
      </c>
      <c r="H93" s="39">
        <f>IF($A93="","",N(INDEX(tBatches[[Initial Quantity]],89)))</f>
        <v/>
      </c>
      <c r="I93" s="39">
        <f>IF($A93="","",INDEX(tBatches[[Transfers In / Added]],89))</f>
        <v/>
      </c>
      <c r="J93" s="39">
        <f>IF($A93="","",INDEX(tBatches[[Deaths]],89))</f>
        <v/>
      </c>
      <c r="K93" s="39">
        <f>IF($A93="","",INDEX(tBatches[[Heads Sold]],89))</f>
        <v/>
      </c>
      <c r="L93" s="39">
        <f>IF($A93="","",INDEX(tBatches[[Transfers Out]],89))</f>
        <v/>
      </c>
      <c r="M93" s="39">
        <f>IF($A93="","",INDEX(tBatches[[Current Quantity]],89))</f>
        <v/>
      </c>
      <c r="N93" s="40">
        <f>IF($A93="","",IFERROR(J93/(H93+I93),0))</f>
        <v/>
      </c>
      <c r="O93" s="28">
        <f>IF($A93="","",SUMIFS(tFeedIss[[Quantity Issued in kg]],tFeedIss[[Batch ID]],$A93))</f>
        <v/>
      </c>
      <c r="P93" s="29">
        <f>IF($A93="","",SUMIFS(tFeedIss[[Total Cost]],tFeedIss[[Batch ID]],$A93))</f>
        <v/>
      </c>
      <c r="Q93" s="29">
        <f>IF($A93="","",SUMIFS(tDrugUse[[Total Cost]],tDrugUse[[Batch ID]],$A93))</f>
        <v/>
      </c>
      <c r="R93" s="29">
        <f>IF($A93="","",SUMIFS(tExp[[Amount]],tExp[[Batch ID (if applicable)]],$A93))</f>
        <v/>
      </c>
      <c r="S93" s="41">
        <f>IF($A93="","",P93+Q93+R93)</f>
        <v/>
      </c>
      <c r="T93" s="41">
        <f>IF($A93="","",SUMIFS(tSales[[Total Revenue]],tSales[[Batch ID]],$A93))</f>
        <v/>
      </c>
      <c r="U93" s="41">
        <f>IF($A93="","",T93-S93)</f>
        <v/>
      </c>
      <c r="V93" s="29">
        <f>IF($A93="","",IFERROR(S93/(H93+I93),""))</f>
        <v/>
      </c>
      <c r="W93" s="29">
        <f>IF($A93="","",IF(K93=0,"",T93/K93))</f>
        <v/>
      </c>
      <c r="X93" s="42">
        <f>IF($A93="","",IFERROR(O93/(H93+I93),""))</f>
        <v/>
      </c>
      <c r="Y93" s="43">
        <f>IF($A93="","",IF(_xlfn.MAXIFS(tProd[[Date]],tProd[[Batch ID]],$A93,tProd[[Measurement Type]],"Weighing")=0,"",IFERROR(AVERAGEIFS(tProd[[Average Weight kg]],tProd[[Batch ID]],$A93,tProd[[Measurement Type]],"Weighing",tProd[[Date]],_xlfn.MAXIFS(tProd[[Date]],tProd[[Batch ID]],$A93,tProd[[Measurement Type]],"Weighing")),"")))</f>
        <v/>
      </c>
    </row>
    <row r="94">
      <c r="A94" s="27">
        <f>IFERROR(INDEX(tBatches[[Batch ID]],90)&amp;"","")</f>
        <v/>
      </c>
      <c r="B94" s="36">
        <f>IF($A94="","",INDEX(tBatches[[Pen ID]],90)&amp;"")</f>
        <v/>
      </c>
      <c r="C94" s="36">
        <f>IF($A94="","",INDEX(tBatches[[Animal Type]],90)&amp;"")</f>
        <v/>
      </c>
      <c r="D94" s="31">
        <f>IF($A94="","",INDEX(tBatches[[Batch Start Date]],90))</f>
        <v/>
      </c>
      <c r="E94" s="36">
        <f>IF($A94="","",INDEX(tBatches[[Status]],90)&amp;"")</f>
        <v/>
      </c>
      <c r="F94" s="31">
        <f>IF($A94="","",IF(N(INDEX(tBatches[[Closing Date]],90))=0,"",INDEX(tBatches[[Closing Date]],90)))</f>
        <v/>
      </c>
      <c r="G94" s="39">
        <f>IF($A94="","",INDEX(tBatches[[Age (days)]],90))</f>
        <v/>
      </c>
      <c r="H94" s="39">
        <f>IF($A94="","",N(INDEX(tBatches[[Initial Quantity]],90)))</f>
        <v/>
      </c>
      <c r="I94" s="39">
        <f>IF($A94="","",INDEX(tBatches[[Transfers In / Added]],90))</f>
        <v/>
      </c>
      <c r="J94" s="39">
        <f>IF($A94="","",INDEX(tBatches[[Deaths]],90))</f>
        <v/>
      </c>
      <c r="K94" s="39">
        <f>IF($A94="","",INDEX(tBatches[[Heads Sold]],90))</f>
        <v/>
      </c>
      <c r="L94" s="39">
        <f>IF($A94="","",INDEX(tBatches[[Transfers Out]],90))</f>
        <v/>
      </c>
      <c r="M94" s="39">
        <f>IF($A94="","",INDEX(tBatches[[Current Quantity]],90))</f>
        <v/>
      </c>
      <c r="N94" s="40">
        <f>IF($A94="","",IFERROR(J94/(H94+I94),0))</f>
        <v/>
      </c>
      <c r="O94" s="28">
        <f>IF($A94="","",SUMIFS(tFeedIss[[Quantity Issued in kg]],tFeedIss[[Batch ID]],$A94))</f>
        <v/>
      </c>
      <c r="P94" s="29">
        <f>IF($A94="","",SUMIFS(tFeedIss[[Total Cost]],tFeedIss[[Batch ID]],$A94))</f>
        <v/>
      </c>
      <c r="Q94" s="29">
        <f>IF($A94="","",SUMIFS(tDrugUse[[Total Cost]],tDrugUse[[Batch ID]],$A94))</f>
        <v/>
      </c>
      <c r="R94" s="29">
        <f>IF($A94="","",SUMIFS(tExp[[Amount]],tExp[[Batch ID (if applicable)]],$A94))</f>
        <v/>
      </c>
      <c r="S94" s="41">
        <f>IF($A94="","",P94+Q94+R94)</f>
        <v/>
      </c>
      <c r="T94" s="41">
        <f>IF($A94="","",SUMIFS(tSales[[Total Revenue]],tSales[[Batch ID]],$A94))</f>
        <v/>
      </c>
      <c r="U94" s="41">
        <f>IF($A94="","",T94-S94)</f>
        <v/>
      </c>
      <c r="V94" s="29">
        <f>IF($A94="","",IFERROR(S94/(H94+I94),""))</f>
        <v/>
      </c>
      <c r="W94" s="29">
        <f>IF($A94="","",IF(K94=0,"",T94/K94))</f>
        <v/>
      </c>
      <c r="X94" s="42">
        <f>IF($A94="","",IFERROR(O94/(H94+I94),""))</f>
        <v/>
      </c>
      <c r="Y94" s="43">
        <f>IF($A94="","",IF(_xlfn.MAXIFS(tProd[[Date]],tProd[[Batch ID]],$A94,tProd[[Measurement Type]],"Weighing")=0,"",IFERROR(AVERAGEIFS(tProd[[Average Weight kg]],tProd[[Batch ID]],$A94,tProd[[Measurement Type]],"Weighing",tProd[[Date]],_xlfn.MAXIFS(tProd[[Date]],tProd[[Batch ID]],$A94,tProd[[Measurement Type]],"Weighing")),"")))</f>
        <v/>
      </c>
    </row>
    <row r="95">
      <c r="A95" s="27">
        <f>IFERROR(INDEX(tBatches[[Batch ID]],91)&amp;"","")</f>
        <v/>
      </c>
      <c r="B95" s="36">
        <f>IF($A95="","",INDEX(tBatches[[Pen ID]],91)&amp;"")</f>
        <v/>
      </c>
      <c r="C95" s="36">
        <f>IF($A95="","",INDEX(tBatches[[Animal Type]],91)&amp;"")</f>
        <v/>
      </c>
      <c r="D95" s="31">
        <f>IF($A95="","",INDEX(tBatches[[Batch Start Date]],91))</f>
        <v/>
      </c>
      <c r="E95" s="36">
        <f>IF($A95="","",INDEX(tBatches[[Status]],91)&amp;"")</f>
        <v/>
      </c>
      <c r="F95" s="31">
        <f>IF($A95="","",IF(N(INDEX(tBatches[[Closing Date]],91))=0,"",INDEX(tBatches[[Closing Date]],91)))</f>
        <v/>
      </c>
      <c r="G95" s="39">
        <f>IF($A95="","",INDEX(tBatches[[Age (days)]],91))</f>
        <v/>
      </c>
      <c r="H95" s="39">
        <f>IF($A95="","",N(INDEX(tBatches[[Initial Quantity]],91)))</f>
        <v/>
      </c>
      <c r="I95" s="39">
        <f>IF($A95="","",INDEX(tBatches[[Transfers In / Added]],91))</f>
        <v/>
      </c>
      <c r="J95" s="39">
        <f>IF($A95="","",INDEX(tBatches[[Deaths]],91))</f>
        <v/>
      </c>
      <c r="K95" s="39">
        <f>IF($A95="","",INDEX(tBatches[[Heads Sold]],91))</f>
        <v/>
      </c>
      <c r="L95" s="39">
        <f>IF($A95="","",INDEX(tBatches[[Transfers Out]],91))</f>
        <v/>
      </c>
      <c r="M95" s="39">
        <f>IF($A95="","",INDEX(tBatches[[Current Quantity]],91))</f>
        <v/>
      </c>
      <c r="N95" s="40">
        <f>IF($A95="","",IFERROR(J95/(H95+I95),0))</f>
        <v/>
      </c>
      <c r="O95" s="28">
        <f>IF($A95="","",SUMIFS(tFeedIss[[Quantity Issued in kg]],tFeedIss[[Batch ID]],$A95))</f>
        <v/>
      </c>
      <c r="P95" s="29">
        <f>IF($A95="","",SUMIFS(tFeedIss[[Total Cost]],tFeedIss[[Batch ID]],$A95))</f>
        <v/>
      </c>
      <c r="Q95" s="29">
        <f>IF($A95="","",SUMIFS(tDrugUse[[Total Cost]],tDrugUse[[Batch ID]],$A95))</f>
        <v/>
      </c>
      <c r="R95" s="29">
        <f>IF($A95="","",SUMIFS(tExp[[Amount]],tExp[[Batch ID (if applicable)]],$A95))</f>
        <v/>
      </c>
      <c r="S95" s="41">
        <f>IF($A95="","",P95+Q95+R95)</f>
        <v/>
      </c>
      <c r="T95" s="41">
        <f>IF($A95="","",SUMIFS(tSales[[Total Revenue]],tSales[[Batch ID]],$A95))</f>
        <v/>
      </c>
      <c r="U95" s="41">
        <f>IF($A95="","",T95-S95)</f>
        <v/>
      </c>
      <c r="V95" s="29">
        <f>IF($A95="","",IFERROR(S95/(H95+I95),""))</f>
        <v/>
      </c>
      <c r="W95" s="29">
        <f>IF($A95="","",IF(K95=0,"",T95/K95))</f>
        <v/>
      </c>
      <c r="X95" s="42">
        <f>IF($A95="","",IFERROR(O95/(H95+I95),""))</f>
        <v/>
      </c>
      <c r="Y95" s="43">
        <f>IF($A95="","",IF(_xlfn.MAXIFS(tProd[[Date]],tProd[[Batch ID]],$A95,tProd[[Measurement Type]],"Weighing")=0,"",IFERROR(AVERAGEIFS(tProd[[Average Weight kg]],tProd[[Batch ID]],$A95,tProd[[Measurement Type]],"Weighing",tProd[[Date]],_xlfn.MAXIFS(tProd[[Date]],tProd[[Batch ID]],$A95,tProd[[Measurement Type]],"Weighing")),"")))</f>
        <v/>
      </c>
    </row>
    <row r="96">
      <c r="A96" s="27">
        <f>IFERROR(INDEX(tBatches[[Batch ID]],92)&amp;"","")</f>
        <v/>
      </c>
      <c r="B96" s="36">
        <f>IF($A96="","",INDEX(tBatches[[Pen ID]],92)&amp;"")</f>
        <v/>
      </c>
      <c r="C96" s="36">
        <f>IF($A96="","",INDEX(tBatches[[Animal Type]],92)&amp;"")</f>
        <v/>
      </c>
      <c r="D96" s="31">
        <f>IF($A96="","",INDEX(tBatches[[Batch Start Date]],92))</f>
        <v/>
      </c>
      <c r="E96" s="36">
        <f>IF($A96="","",INDEX(tBatches[[Status]],92)&amp;"")</f>
        <v/>
      </c>
      <c r="F96" s="31">
        <f>IF($A96="","",IF(N(INDEX(tBatches[[Closing Date]],92))=0,"",INDEX(tBatches[[Closing Date]],92)))</f>
        <v/>
      </c>
      <c r="G96" s="39">
        <f>IF($A96="","",INDEX(tBatches[[Age (days)]],92))</f>
        <v/>
      </c>
      <c r="H96" s="39">
        <f>IF($A96="","",N(INDEX(tBatches[[Initial Quantity]],92)))</f>
        <v/>
      </c>
      <c r="I96" s="39">
        <f>IF($A96="","",INDEX(tBatches[[Transfers In / Added]],92))</f>
        <v/>
      </c>
      <c r="J96" s="39">
        <f>IF($A96="","",INDEX(tBatches[[Deaths]],92))</f>
        <v/>
      </c>
      <c r="K96" s="39">
        <f>IF($A96="","",INDEX(tBatches[[Heads Sold]],92))</f>
        <v/>
      </c>
      <c r="L96" s="39">
        <f>IF($A96="","",INDEX(tBatches[[Transfers Out]],92))</f>
        <v/>
      </c>
      <c r="M96" s="39">
        <f>IF($A96="","",INDEX(tBatches[[Current Quantity]],92))</f>
        <v/>
      </c>
      <c r="N96" s="40">
        <f>IF($A96="","",IFERROR(J96/(H96+I96),0))</f>
        <v/>
      </c>
      <c r="O96" s="28">
        <f>IF($A96="","",SUMIFS(tFeedIss[[Quantity Issued in kg]],tFeedIss[[Batch ID]],$A96))</f>
        <v/>
      </c>
      <c r="P96" s="29">
        <f>IF($A96="","",SUMIFS(tFeedIss[[Total Cost]],tFeedIss[[Batch ID]],$A96))</f>
        <v/>
      </c>
      <c r="Q96" s="29">
        <f>IF($A96="","",SUMIFS(tDrugUse[[Total Cost]],tDrugUse[[Batch ID]],$A96))</f>
        <v/>
      </c>
      <c r="R96" s="29">
        <f>IF($A96="","",SUMIFS(tExp[[Amount]],tExp[[Batch ID (if applicable)]],$A96))</f>
        <v/>
      </c>
      <c r="S96" s="41">
        <f>IF($A96="","",P96+Q96+R96)</f>
        <v/>
      </c>
      <c r="T96" s="41">
        <f>IF($A96="","",SUMIFS(tSales[[Total Revenue]],tSales[[Batch ID]],$A96))</f>
        <v/>
      </c>
      <c r="U96" s="41">
        <f>IF($A96="","",T96-S96)</f>
        <v/>
      </c>
      <c r="V96" s="29">
        <f>IF($A96="","",IFERROR(S96/(H96+I96),""))</f>
        <v/>
      </c>
      <c r="W96" s="29">
        <f>IF($A96="","",IF(K96=0,"",T96/K96))</f>
        <v/>
      </c>
      <c r="X96" s="42">
        <f>IF($A96="","",IFERROR(O96/(H96+I96),""))</f>
        <v/>
      </c>
      <c r="Y96" s="43">
        <f>IF($A96="","",IF(_xlfn.MAXIFS(tProd[[Date]],tProd[[Batch ID]],$A96,tProd[[Measurement Type]],"Weighing")=0,"",IFERROR(AVERAGEIFS(tProd[[Average Weight kg]],tProd[[Batch ID]],$A96,tProd[[Measurement Type]],"Weighing",tProd[[Date]],_xlfn.MAXIFS(tProd[[Date]],tProd[[Batch ID]],$A96,tProd[[Measurement Type]],"Weighing")),"")))</f>
        <v/>
      </c>
    </row>
    <row r="97">
      <c r="A97" s="27">
        <f>IFERROR(INDEX(tBatches[[Batch ID]],93)&amp;"","")</f>
        <v/>
      </c>
      <c r="B97" s="36">
        <f>IF($A97="","",INDEX(tBatches[[Pen ID]],93)&amp;"")</f>
        <v/>
      </c>
      <c r="C97" s="36">
        <f>IF($A97="","",INDEX(tBatches[[Animal Type]],93)&amp;"")</f>
        <v/>
      </c>
      <c r="D97" s="31">
        <f>IF($A97="","",INDEX(tBatches[[Batch Start Date]],93))</f>
        <v/>
      </c>
      <c r="E97" s="36">
        <f>IF($A97="","",INDEX(tBatches[[Status]],93)&amp;"")</f>
        <v/>
      </c>
      <c r="F97" s="31">
        <f>IF($A97="","",IF(N(INDEX(tBatches[[Closing Date]],93))=0,"",INDEX(tBatches[[Closing Date]],93)))</f>
        <v/>
      </c>
      <c r="G97" s="39">
        <f>IF($A97="","",INDEX(tBatches[[Age (days)]],93))</f>
        <v/>
      </c>
      <c r="H97" s="39">
        <f>IF($A97="","",N(INDEX(tBatches[[Initial Quantity]],93)))</f>
        <v/>
      </c>
      <c r="I97" s="39">
        <f>IF($A97="","",INDEX(tBatches[[Transfers In / Added]],93))</f>
        <v/>
      </c>
      <c r="J97" s="39">
        <f>IF($A97="","",INDEX(tBatches[[Deaths]],93))</f>
        <v/>
      </c>
      <c r="K97" s="39">
        <f>IF($A97="","",INDEX(tBatches[[Heads Sold]],93))</f>
        <v/>
      </c>
      <c r="L97" s="39">
        <f>IF($A97="","",INDEX(tBatches[[Transfers Out]],93))</f>
        <v/>
      </c>
      <c r="M97" s="39">
        <f>IF($A97="","",INDEX(tBatches[[Current Quantity]],93))</f>
        <v/>
      </c>
      <c r="N97" s="40">
        <f>IF($A97="","",IFERROR(J97/(H97+I97),0))</f>
        <v/>
      </c>
      <c r="O97" s="28">
        <f>IF($A97="","",SUMIFS(tFeedIss[[Quantity Issued in kg]],tFeedIss[[Batch ID]],$A97))</f>
        <v/>
      </c>
      <c r="P97" s="29">
        <f>IF($A97="","",SUMIFS(tFeedIss[[Total Cost]],tFeedIss[[Batch ID]],$A97))</f>
        <v/>
      </c>
      <c r="Q97" s="29">
        <f>IF($A97="","",SUMIFS(tDrugUse[[Total Cost]],tDrugUse[[Batch ID]],$A97))</f>
        <v/>
      </c>
      <c r="R97" s="29">
        <f>IF($A97="","",SUMIFS(tExp[[Amount]],tExp[[Batch ID (if applicable)]],$A97))</f>
        <v/>
      </c>
      <c r="S97" s="41">
        <f>IF($A97="","",P97+Q97+R97)</f>
        <v/>
      </c>
      <c r="T97" s="41">
        <f>IF($A97="","",SUMIFS(tSales[[Total Revenue]],tSales[[Batch ID]],$A97))</f>
        <v/>
      </c>
      <c r="U97" s="41">
        <f>IF($A97="","",T97-S97)</f>
        <v/>
      </c>
      <c r="V97" s="29">
        <f>IF($A97="","",IFERROR(S97/(H97+I97),""))</f>
        <v/>
      </c>
      <c r="W97" s="29">
        <f>IF($A97="","",IF(K97=0,"",T97/K97))</f>
        <v/>
      </c>
      <c r="X97" s="42">
        <f>IF($A97="","",IFERROR(O97/(H97+I97),""))</f>
        <v/>
      </c>
      <c r="Y97" s="43">
        <f>IF($A97="","",IF(_xlfn.MAXIFS(tProd[[Date]],tProd[[Batch ID]],$A97,tProd[[Measurement Type]],"Weighing")=0,"",IFERROR(AVERAGEIFS(tProd[[Average Weight kg]],tProd[[Batch ID]],$A97,tProd[[Measurement Type]],"Weighing",tProd[[Date]],_xlfn.MAXIFS(tProd[[Date]],tProd[[Batch ID]],$A97,tProd[[Measurement Type]],"Weighing")),"")))</f>
        <v/>
      </c>
    </row>
    <row r="98">
      <c r="A98" s="27">
        <f>IFERROR(INDEX(tBatches[[Batch ID]],94)&amp;"","")</f>
        <v/>
      </c>
      <c r="B98" s="36">
        <f>IF($A98="","",INDEX(tBatches[[Pen ID]],94)&amp;"")</f>
        <v/>
      </c>
      <c r="C98" s="36">
        <f>IF($A98="","",INDEX(tBatches[[Animal Type]],94)&amp;"")</f>
        <v/>
      </c>
      <c r="D98" s="31">
        <f>IF($A98="","",INDEX(tBatches[[Batch Start Date]],94))</f>
        <v/>
      </c>
      <c r="E98" s="36">
        <f>IF($A98="","",INDEX(tBatches[[Status]],94)&amp;"")</f>
        <v/>
      </c>
      <c r="F98" s="31">
        <f>IF($A98="","",IF(N(INDEX(tBatches[[Closing Date]],94))=0,"",INDEX(tBatches[[Closing Date]],94)))</f>
        <v/>
      </c>
      <c r="G98" s="39">
        <f>IF($A98="","",INDEX(tBatches[[Age (days)]],94))</f>
        <v/>
      </c>
      <c r="H98" s="39">
        <f>IF($A98="","",N(INDEX(tBatches[[Initial Quantity]],94)))</f>
        <v/>
      </c>
      <c r="I98" s="39">
        <f>IF($A98="","",INDEX(tBatches[[Transfers In / Added]],94))</f>
        <v/>
      </c>
      <c r="J98" s="39">
        <f>IF($A98="","",INDEX(tBatches[[Deaths]],94))</f>
        <v/>
      </c>
      <c r="K98" s="39">
        <f>IF($A98="","",INDEX(tBatches[[Heads Sold]],94))</f>
        <v/>
      </c>
      <c r="L98" s="39">
        <f>IF($A98="","",INDEX(tBatches[[Transfers Out]],94))</f>
        <v/>
      </c>
      <c r="M98" s="39">
        <f>IF($A98="","",INDEX(tBatches[[Current Quantity]],94))</f>
        <v/>
      </c>
      <c r="N98" s="40">
        <f>IF($A98="","",IFERROR(J98/(H98+I98),0))</f>
        <v/>
      </c>
      <c r="O98" s="28">
        <f>IF($A98="","",SUMIFS(tFeedIss[[Quantity Issued in kg]],tFeedIss[[Batch ID]],$A98))</f>
        <v/>
      </c>
      <c r="P98" s="29">
        <f>IF($A98="","",SUMIFS(tFeedIss[[Total Cost]],tFeedIss[[Batch ID]],$A98))</f>
        <v/>
      </c>
      <c r="Q98" s="29">
        <f>IF($A98="","",SUMIFS(tDrugUse[[Total Cost]],tDrugUse[[Batch ID]],$A98))</f>
        <v/>
      </c>
      <c r="R98" s="29">
        <f>IF($A98="","",SUMIFS(tExp[[Amount]],tExp[[Batch ID (if applicable)]],$A98))</f>
        <v/>
      </c>
      <c r="S98" s="41">
        <f>IF($A98="","",P98+Q98+R98)</f>
        <v/>
      </c>
      <c r="T98" s="41">
        <f>IF($A98="","",SUMIFS(tSales[[Total Revenue]],tSales[[Batch ID]],$A98))</f>
        <v/>
      </c>
      <c r="U98" s="41">
        <f>IF($A98="","",T98-S98)</f>
        <v/>
      </c>
      <c r="V98" s="29">
        <f>IF($A98="","",IFERROR(S98/(H98+I98),""))</f>
        <v/>
      </c>
      <c r="W98" s="29">
        <f>IF($A98="","",IF(K98=0,"",T98/K98))</f>
        <v/>
      </c>
      <c r="X98" s="42">
        <f>IF($A98="","",IFERROR(O98/(H98+I98),""))</f>
        <v/>
      </c>
      <c r="Y98" s="43">
        <f>IF($A98="","",IF(_xlfn.MAXIFS(tProd[[Date]],tProd[[Batch ID]],$A98,tProd[[Measurement Type]],"Weighing")=0,"",IFERROR(AVERAGEIFS(tProd[[Average Weight kg]],tProd[[Batch ID]],$A98,tProd[[Measurement Type]],"Weighing",tProd[[Date]],_xlfn.MAXIFS(tProd[[Date]],tProd[[Batch ID]],$A98,tProd[[Measurement Type]],"Weighing")),"")))</f>
        <v/>
      </c>
    </row>
    <row r="99">
      <c r="A99" s="27">
        <f>IFERROR(INDEX(tBatches[[Batch ID]],95)&amp;"","")</f>
        <v/>
      </c>
      <c r="B99" s="36">
        <f>IF($A99="","",INDEX(tBatches[[Pen ID]],95)&amp;"")</f>
        <v/>
      </c>
      <c r="C99" s="36">
        <f>IF($A99="","",INDEX(tBatches[[Animal Type]],95)&amp;"")</f>
        <v/>
      </c>
      <c r="D99" s="31">
        <f>IF($A99="","",INDEX(tBatches[[Batch Start Date]],95))</f>
        <v/>
      </c>
      <c r="E99" s="36">
        <f>IF($A99="","",INDEX(tBatches[[Status]],95)&amp;"")</f>
        <v/>
      </c>
      <c r="F99" s="31">
        <f>IF($A99="","",IF(N(INDEX(tBatches[[Closing Date]],95))=0,"",INDEX(tBatches[[Closing Date]],95)))</f>
        <v/>
      </c>
      <c r="G99" s="39">
        <f>IF($A99="","",INDEX(tBatches[[Age (days)]],95))</f>
        <v/>
      </c>
      <c r="H99" s="39">
        <f>IF($A99="","",N(INDEX(tBatches[[Initial Quantity]],95)))</f>
        <v/>
      </c>
      <c r="I99" s="39">
        <f>IF($A99="","",INDEX(tBatches[[Transfers In / Added]],95))</f>
        <v/>
      </c>
      <c r="J99" s="39">
        <f>IF($A99="","",INDEX(tBatches[[Deaths]],95))</f>
        <v/>
      </c>
      <c r="K99" s="39">
        <f>IF($A99="","",INDEX(tBatches[[Heads Sold]],95))</f>
        <v/>
      </c>
      <c r="L99" s="39">
        <f>IF($A99="","",INDEX(tBatches[[Transfers Out]],95))</f>
        <v/>
      </c>
      <c r="M99" s="39">
        <f>IF($A99="","",INDEX(tBatches[[Current Quantity]],95))</f>
        <v/>
      </c>
      <c r="N99" s="40">
        <f>IF($A99="","",IFERROR(J99/(H99+I99),0))</f>
        <v/>
      </c>
      <c r="O99" s="28">
        <f>IF($A99="","",SUMIFS(tFeedIss[[Quantity Issued in kg]],tFeedIss[[Batch ID]],$A99))</f>
        <v/>
      </c>
      <c r="P99" s="29">
        <f>IF($A99="","",SUMIFS(tFeedIss[[Total Cost]],tFeedIss[[Batch ID]],$A99))</f>
        <v/>
      </c>
      <c r="Q99" s="29">
        <f>IF($A99="","",SUMIFS(tDrugUse[[Total Cost]],tDrugUse[[Batch ID]],$A99))</f>
        <v/>
      </c>
      <c r="R99" s="29">
        <f>IF($A99="","",SUMIFS(tExp[[Amount]],tExp[[Batch ID (if applicable)]],$A99))</f>
        <v/>
      </c>
      <c r="S99" s="41">
        <f>IF($A99="","",P99+Q99+R99)</f>
        <v/>
      </c>
      <c r="T99" s="41">
        <f>IF($A99="","",SUMIFS(tSales[[Total Revenue]],tSales[[Batch ID]],$A99))</f>
        <v/>
      </c>
      <c r="U99" s="41">
        <f>IF($A99="","",T99-S99)</f>
        <v/>
      </c>
      <c r="V99" s="29">
        <f>IF($A99="","",IFERROR(S99/(H99+I99),""))</f>
        <v/>
      </c>
      <c r="W99" s="29">
        <f>IF($A99="","",IF(K99=0,"",T99/K99))</f>
        <v/>
      </c>
      <c r="X99" s="42">
        <f>IF($A99="","",IFERROR(O99/(H99+I99),""))</f>
        <v/>
      </c>
      <c r="Y99" s="43">
        <f>IF($A99="","",IF(_xlfn.MAXIFS(tProd[[Date]],tProd[[Batch ID]],$A99,tProd[[Measurement Type]],"Weighing")=0,"",IFERROR(AVERAGEIFS(tProd[[Average Weight kg]],tProd[[Batch ID]],$A99,tProd[[Measurement Type]],"Weighing",tProd[[Date]],_xlfn.MAXIFS(tProd[[Date]],tProd[[Batch ID]],$A99,tProd[[Measurement Type]],"Weighing")),"")))</f>
        <v/>
      </c>
    </row>
    <row r="100">
      <c r="A100" s="27">
        <f>IFERROR(INDEX(tBatches[[Batch ID]],96)&amp;"","")</f>
        <v/>
      </c>
      <c r="B100" s="36">
        <f>IF($A100="","",INDEX(tBatches[[Pen ID]],96)&amp;"")</f>
        <v/>
      </c>
      <c r="C100" s="36">
        <f>IF($A100="","",INDEX(tBatches[[Animal Type]],96)&amp;"")</f>
        <v/>
      </c>
      <c r="D100" s="31">
        <f>IF($A100="","",INDEX(tBatches[[Batch Start Date]],96))</f>
        <v/>
      </c>
      <c r="E100" s="36">
        <f>IF($A100="","",INDEX(tBatches[[Status]],96)&amp;"")</f>
        <v/>
      </c>
      <c r="F100" s="31">
        <f>IF($A100="","",IF(N(INDEX(tBatches[[Closing Date]],96))=0,"",INDEX(tBatches[[Closing Date]],96)))</f>
        <v/>
      </c>
      <c r="G100" s="39">
        <f>IF($A100="","",INDEX(tBatches[[Age (days)]],96))</f>
        <v/>
      </c>
      <c r="H100" s="39">
        <f>IF($A100="","",N(INDEX(tBatches[[Initial Quantity]],96)))</f>
        <v/>
      </c>
      <c r="I100" s="39">
        <f>IF($A100="","",INDEX(tBatches[[Transfers In / Added]],96))</f>
        <v/>
      </c>
      <c r="J100" s="39">
        <f>IF($A100="","",INDEX(tBatches[[Deaths]],96))</f>
        <v/>
      </c>
      <c r="K100" s="39">
        <f>IF($A100="","",INDEX(tBatches[[Heads Sold]],96))</f>
        <v/>
      </c>
      <c r="L100" s="39">
        <f>IF($A100="","",INDEX(tBatches[[Transfers Out]],96))</f>
        <v/>
      </c>
      <c r="M100" s="39">
        <f>IF($A100="","",INDEX(tBatches[[Current Quantity]],96))</f>
        <v/>
      </c>
      <c r="N100" s="40">
        <f>IF($A100="","",IFERROR(J100/(H100+I100),0))</f>
        <v/>
      </c>
      <c r="O100" s="28">
        <f>IF($A100="","",SUMIFS(tFeedIss[[Quantity Issued in kg]],tFeedIss[[Batch ID]],$A100))</f>
        <v/>
      </c>
      <c r="P100" s="29">
        <f>IF($A100="","",SUMIFS(tFeedIss[[Total Cost]],tFeedIss[[Batch ID]],$A100))</f>
        <v/>
      </c>
      <c r="Q100" s="29">
        <f>IF($A100="","",SUMIFS(tDrugUse[[Total Cost]],tDrugUse[[Batch ID]],$A100))</f>
        <v/>
      </c>
      <c r="R100" s="29">
        <f>IF($A100="","",SUMIFS(tExp[[Amount]],tExp[[Batch ID (if applicable)]],$A100))</f>
        <v/>
      </c>
      <c r="S100" s="41">
        <f>IF($A100="","",P100+Q100+R100)</f>
        <v/>
      </c>
      <c r="T100" s="41">
        <f>IF($A100="","",SUMIFS(tSales[[Total Revenue]],tSales[[Batch ID]],$A100))</f>
        <v/>
      </c>
      <c r="U100" s="41">
        <f>IF($A100="","",T100-S100)</f>
        <v/>
      </c>
      <c r="V100" s="29">
        <f>IF($A100="","",IFERROR(S100/(H100+I100),""))</f>
        <v/>
      </c>
      <c r="W100" s="29">
        <f>IF($A100="","",IF(K100=0,"",T100/K100))</f>
        <v/>
      </c>
      <c r="X100" s="42">
        <f>IF($A100="","",IFERROR(O100/(H100+I100),""))</f>
        <v/>
      </c>
      <c r="Y100" s="43">
        <f>IF($A100="","",IF(_xlfn.MAXIFS(tProd[[Date]],tProd[[Batch ID]],$A100,tProd[[Measurement Type]],"Weighing")=0,"",IFERROR(AVERAGEIFS(tProd[[Average Weight kg]],tProd[[Batch ID]],$A100,tProd[[Measurement Type]],"Weighing",tProd[[Date]],_xlfn.MAXIFS(tProd[[Date]],tProd[[Batch ID]],$A100,tProd[[Measurement Type]],"Weighing")),"")))</f>
        <v/>
      </c>
    </row>
    <row r="101">
      <c r="A101" s="27">
        <f>IFERROR(INDEX(tBatches[[Batch ID]],97)&amp;"","")</f>
        <v/>
      </c>
      <c r="B101" s="36">
        <f>IF($A101="","",INDEX(tBatches[[Pen ID]],97)&amp;"")</f>
        <v/>
      </c>
      <c r="C101" s="36">
        <f>IF($A101="","",INDEX(tBatches[[Animal Type]],97)&amp;"")</f>
        <v/>
      </c>
      <c r="D101" s="31">
        <f>IF($A101="","",INDEX(tBatches[[Batch Start Date]],97))</f>
        <v/>
      </c>
      <c r="E101" s="36">
        <f>IF($A101="","",INDEX(tBatches[[Status]],97)&amp;"")</f>
        <v/>
      </c>
      <c r="F101" s="31">
        <f>IF($A101="","",IF(N(INDEX(tBatches[[Closing Date]],97))=0,"",INDEX(tBatches[[Closing Date]],97)))</f>
        <v/>
      </c>
      <c r="G101" s="39">
        <f>IF($A101="","",INDEX(tBatches[[Age (days)]],97))</f>
        <v/>
      </c>
      <c r="H101" s="39">
        <f>IF($A101="","",N(INDEX(tBatches[[Initial Quantity]],97)))</f>
        <v/>
      </c>
      <c r="I101" s="39">
        <f>IF($A101="","",INDEX(tBatches[[Transfers In / Added]],97))</f>
        <v/>
      </c>
      <c r="J101" s="39">
        <f>IF($A101="","",INDEX(tBatches[[Deaths]],97))</f>
        <v/>
      </c>
      <c r="K101" s="39">
        <f>IF($A101="","",INDEX(tBatches[[Heads Sold]],97))</f>
        <v/>
      </c>
      <c r="L101" s="39">
        <f>IF($A101="","",INDEX(tBatches[[Transfers Out]],97))</f>
        <v/>
      </c>
      <c r="M101" s="39">
        <f>IF($A101="","",INDEX(tBatches[[Current Quantity]],97))</f>
        <v/>
      </c>
      <c r="N101" s="40">
        <f>IF($A101="","",IFERROR(J101/(H101+I101),0))</f>
        <v/>
      </c>
      <c r="O101" s="28">
        <f>IF($A101="","",SUMIFS(tFeedIss[[Quantity Issued in kg]],tFeedIss[[Batch ID]],$A101))</f>
        <v/>
      </c>
      <c r="P101" s="29">
        <f>IF($A101="","",SUMIFS(tFeedIss[[Total Cost]],tFeedIss[[Batch ID]],$A101))</f>
        <v/>
      </c>
      <c r="Q101" s="29">
        <f>IF($A101="","",SUMIFS(tDrugUse[[Total Cost]],tDrugUse[[Batch ID]],$A101))</f>
        <v/>
      </c>
      <c r="R101" s="29">
        <f>IF($A101="","",SUMIFS(tExp[[Amount]],tExp[[Batch ID (if applicable)]],$A101))</f>
        <v/>
      </c>
      <c r="S101" s="41">
        <f>IF($A101="","",P101+Q101+R101)</f>
        <v/>
      </c>
      <c r="T101" s="41">
        <f>IF($A101="","",SUMIFS(tSales[[Total Revenue]],tSales[[Batch ID]],$A101))</f>
        <v/>
      </c>
      <c r="U101" s="41">
        <f>IF($A101="","",T101-S101)</f>
        <v/>
      </c>
      <c r="V101" s="29">
        <f>IF($A101="","",IFERROR(S101/(H101+I101),""))</f>
        <v/>
      </c>
      <c r="W101" s="29">
        <f>IF($A101="","",IF(K101=0,"",T101/K101))</f>
        <v/>
      </c>
      <c r="X101" s="42">
        <f>IF($A101="","",IFERROR(O101/(H101+I101),""))</f>
        <v/>
      </c>
      <c r="Y101" s="43">
        <f>IF($A101="","",IF(_xlfn.MAXIFS(tProd[[Date]],tProd[[Batch ID]],$A101,tProd[[Measurement Type]],"Weighing")=0,"",IFERROR(AVERAGEIFS(tProd[[Average Weight kg]],tProd[[Batch ID]],$A101,tProd[[Measurement Type]],"Weighing",tProd[[Date]],_xlfn.MAXIFS(tProd[[Date]],tProd[[Batch ID]],$A101,tProd[[Measurement Type]],"Weighing")),"")))</f>
        <v/>
      </c>
    </row>
    <row r="102">
      <c r="A102" s="27">
        <f>IFERROR(INDEX(tBatches[[Batch ID]],98)&amp;"","")</f>
        <v/>
      </c>
      <c r="B102" s="36">
        <f>IF($A102="","",INDEX(tBatches[[Pen ID]],98)&amp;"")</f>
        <v/>
      </c>
      <c r="C102" s="36">
        <f>IF($A102="","",INDEX(tBatches[[Animal Type]],98)&amp;"")</f>
        <v/>
      </c>
      <c r="D102" s="31">
        <f>IF($A102="","",INDEX(tBatches[[Batch Start Date]],98))</f>
        <v/>
      </c>
      <c r="E102" s="36">
        <f>IF($A102="","",INDEX(tBatches[[Status]],98)&amp;"")</f>
        <v/>
      </c>
      <c r="F102" s="31">
        <f>IF($A102="","",IF(N(INDEX(tBatches[[Closing Date]],98))=0,"",INDEX(tBatches[[Closing Date]],98)))</f>
        <v/>
      </c>
      <c r="G102" s="39">
        <f>IF($A102="","",INDEX(tBatches[[Age (days)]],98))</f>
        <v/>
      </c>
      <c r="H102" s="39">
        <f>IF($A102="","",N(INDEX(tBatches[[Initial Quantity]],98)))</f>
        <v/>
      </c>
      <c r="I102" s="39">
        <f>IF($A102="","",INDEX(tBatches[[Transfers In / Added]],98))</f>
        <v/>
      </c>
      <c r="J102" s="39">
        <f>IF($A102="","",INDEX(tBatches[[Deaths]],98))</f>
        <v/>
      </c>
      <c r="K102" s="39">
        <f>IF($A102="","",INDEX(tBatches[[Heads Sold]],98))</f>
        <v/>
      </c>
      <c r="L102" s="39">
        <f>IF($A102="","",INDEX(tBatches[[Transfers Out]],98))</f>
        <v/>
      </c>
      <c r="M102" s="39">
        <f>IF($A102="","",INDEX(tBatches[[Current Quantity]],98))</f>
        <v/>
      </c>
      <c r="N102" s="40">
        <f>IF($A102="","",IFERROR(J102/(H102+I102),0))</f>
        <v/>
      </c>
      <c r="O102" s="28">
        <f>IF($A102="","",SUMIFS(tFeedIss[[Quantity Issued in kg]],tFeedIss[[Batch ID]],$A102))</f>
        <v/>
      </c>
      <c r="P102" s="29">
        <f>IF($A102="","",SUMIFS(tFeedIss[[Total Cost]],tFeedIss[[Batch ID]],$A102))</f>
        <v/>
      </c>
      <c r="Q102" s="29">
        <f>IF($A102="","",SUMIFS(tDrugUse[[Total Cost]],tDrugUse[[Batch ID]],$A102))</f>
        <v/>
      </c>
      <c r="R102" s="29">
        <f>IF($A102="","",SUMIFS(tExp[[Amount]],tExp[[Batch ID (if applicable)]],$A102))</f>
        <v/>
      </c>
      <c r="S102" s="41">
        <f>IF($A102="","",P102+Q102+R102)</f>
        <v/>
      </c>
      <c r="T102" s="41">
        <f>IF($A102="","",SUMIFS(tSales[[Total Revenue]],tSales[[Batch ID]],$A102))</f>
        <v/>
      </c>
      <c r="U102" s="41">
        <f>IF($A102="","",T102-S102)</f>
        <v/>
      </c>
      <c r="V102" s="29">
        <f>IF($A102="","",IFERROR(S102/(H102+I102),""))</f>
        <v/>
      </c>
      <c r="W102" s="29">
        <f>IF($A102="","",IF(K102=0,"",T102/K102))</f>
        <v/>
      </c>
      <c r="X102" s="42">
        <f>IF($A102="","",IFERROR(O102/(H102+I102),""))</f>
        <v/>
      </c>
      <c r="Y102" s="43">
        <f>IF($A102="","",IF(_xlfn.MAXIFS(tProd[[Date]],tProd[[Batch ID]],$A102,tProd[[Measurement Type]],"Weighing")=0,"",IFERROR(AVERAGEIFS(tProd[[Average Weight kg]],tProd[[Batch ID]],$A102,tProd[[Measurement Type]],"Weighing",tProd[[Date]],_xlfn.MAXIFS(tProd[[Date]],tProd[[Batch ID]],$A102,tProd[[Measurement Type]],"Weighing")),"")))</f>
        <v/>
      </c>
    </row>
    <row r="103">
      <c r="A103" s="27">
        <f>IFERROR(INDEX(tBatches[[Batch ID]],99)&amp;"","")</f>
        <v/>
      </c>
      <c r="B103" s="36">
        <f>IF($A103="","",INDEX(tBatches[[Pen ID]],99)&amp;"")</f>
        <v/>
      </c>
      <c r="C103" s="36">
        <f>IF($A103="","",INDEX(tBatches[[Animal Type]],99)&amp;"")</f>
        <v/>
      </c>
      <c r="D103" s="31">
        <f>IF($A103="","",INDEX(tBatches[[Batch Start Date]],99))</f>
        <v/>
      </c>
      <c r="E103" s="36">
        <f>IF($A103="","",INDEX(tBatches[[Status]],99)&amp;"")</f>
        <v/>
      </c>
      <c r="F103" s="31">
        <f>IF($A103="","",IF(N(INDEX(tBatches[[Closing Date]],99))=0,"",INDEX(tBatches[[Closing Date]],99)))</f>
        <v/>
      </c>
      <c r="G103" s="39">
        <f>IF($A103="","",INDEX(tBatches[[Age (days)]],99))</f>
        <v/>
      </c>
      <c r="H103" s="39">
        <f>IF($A103="","",N(INDEX(tBatches[[Initial Quantity]],99)))</f>
        <v/>
      </c>
      <c r="I103" s="39">
        <f>IF($A103="","",INDEX(tBatches[[Transfers In / Added]],99))</f>
        <v/>
      </c>
      <c r="J103" s="39">
        <f>IF($A103="","",INDEX(tBatches[[Deaths]],99))</f>
        <v/>
      </c>
      <c r="K103" s="39">
        <f>IF($A103="","",INDEX(tBatches[[Heads Sold]],99))</f>
        <v/>
      </c>
      <c r="L103" s="39">
        <f>IF($A103="","",INDEX(tBatches[[Transfers Out]],99))</f>
        <v/>
      </c>
      <c r="M103" s="39">
        <f>IF($A103="","",INDEX(tBatches[[Current Quantity]],99))</f>
        <v/>
      </c>
      <c r="N103" s="40">
        <f>IF($A103="","",IFERROR(J103/(H103+I103),0))</f>
        <v/>
      </c>
      <c r="O103" s="28">
        <f>IF($A103="","",SUMIFS(tFeedIss[[Quantity Issued in kg]],tFeedIss[[Batch ID]],$A103))</f>
        <v/>
      </c>
      <c r="P103" s="29">
        <f>IF($A103="","",SUMIFS(tFeedIss[[Total Cost]],tFeedIss[[Batch ID]],$A103))</f>
        <v/>
      </c>
      <c r="Q103" s="29">
        <f>IF($A103="","",SUMIFS(tDrugUse[[Total Cost]],tDrugUse[[Batch ID]],$A103))</f>
        <v/>
      </c>
      <c r="R103" s="29">
        <f>IF($A103="","",SUMIFS(tExp[[Amount]],tExp[[Batch ID (if applicable)]],$A103))</f>
        <v/>
      </c>
      <c r="S103" s="41">
        <f>IF($A103="","",P103+Q103+R103)</f>
        <v/>
      </c>
      <c r="T103" s="41">
        <f>IF($A103="","",SUMIFS(tSales[[Total Revenue]],tSales[[Batch ID]],$A103))</f>
        <v/>
      </c>
      <c r="U103" s="41">
        <f>IF($A103="","",T103-S103)</f>
        <v/>
      </c>
      <c r="V103" s="29">
        <f>IF($A103="","",IFERROR(S103/(H103+I103),""))</f>
        <v/>
      </c>
      <c r="W103" s="29">
        <f>IF($A103="","",IF(K103=0,"",T103/K103))</f>
        <v/>
      </c>
      <c r="X103" s="42">
        <f>IF($A103="","",IFERROR(O103/(H103+I103),""))</f>
        <v/>
      </c>
      <c r="Y103" s="43">
        <f>IF($A103="","",IF(_xlfn.MAXIFS(tProd[[Date]],tProd[[Batch ID]],$A103,tProd[[Measurement Type]],"Weighing")=0,"",IFERROR(AVERAGEIFS(tProd[[Average Weight kg]],tProd[[Batch ID]],$A103,tProd[[Measurement Type]],"Weighing",tProd[[Date]],_xlfn.MAXIFS(tProd[[Date]],tProd[[Batch ID]],$A103,tProd[[Measurement Type]],"Weighing")),"")))</f>
        <v/>
      </c>
    </row>
    <row r="104">
      <c r="A104" s="27">
        <f>IFERROR(INDEX(tBatches[[Batch ID]],100)&amp;"","")</f>
        <v/>
      </c>
      <c r="B104" s="36">
        <f>IF($A104="","",INDEX(tBatches[[Pen ID]],100)&amp;"")</f>
        <v/>
      </c>
      <c r="C104" s="36">
        <f>IF($A104="","",INDEX(tBatches[[Animal Type]],100)&amp;"")</f>
        <v/>
      </c>
      <c r="D104" s="31">
        <f>IF($A104="","",INDEX(tBatches[[Batch Start Date]],100))</f>
        <v/>
      </c>
      <c r="E104" s="36">
        <f>IF($A104="","",INDEX(tBatches[[Status]],100)&amp;"")</f>
        <v/>
      </c>
      <c r="F104" s="31">
        <f>IF($A104="","",IF(N(INDEX(tBatches[[Closing Date]],100))=0,"",INDEX(tBatches[[Closing Date]],100)))</f>
        <v/>
      </c>
      <c r="G104" s="39">
        <f>IF($A104="","",INDEX(tBatches[[Age (days)]],100))</f>
        <v/>
      </c>
      <c r="H104" s="39">
        <f>IF($A104="","",N(INDEX(tBatches[[Initial Quantity]],100)))</f>
        <v/>
      </c>
      <c r="I104" s="39">
        <f>IF($A104="","",INDEX(tBatches[[Transfers In / Added]],100))</f>
        <v/>
      </c>
      <c r="J104" s="39">
        <f>IF($A104="","",INDEX(tBatches[[Deaths]],100))</f>
        <v/>
      </c>
      <c r="K104" s="39">
        <f>IF($A104="","",INDEX(tBatches[[Heads Sold]],100))</f>
        <v/>
      </c>
      <c r="L104" s="39">
        <f>IF($A104="","",INDEX(tBatches[[Transfers Out]],100))</f>
        <v/>
      </c>
      <c r="M104" s="39">
        <f>IF($A104="","",INDEX(tBatches[[Current Quantity]],100))</f>
        <v/>
      </c>
      <c r="N104" s="40">
        <f>IF($A104="","",IFERROR(J104/(H104+I104),0))</f>
        <v/>
      </c>
      <c r="O104" s="28">
        <f>IF($A104="","",SUMIFS(tFeedIss[[Quantity Issued in kg]],tFeedIss[[Batch ID]],$A104))</f>
        <v/>
      </c>
      <c r="P104" s="29">
        <f>IF($A104="","",SUMIFS(tFeedIss[[Total Cost]],tFeedIss[[Batch ID]],$A104))</f>
        <v/>
      </c>
      <c r="Q104" s="29">
        <f>IF($A104="","",SUMIFS(tDrugUse[[Total Cost]],tDrugUse[[Batch ID]],$A104))</f>
        <v/>
      </c>
      <c r="R104" s="29">
        <f>IF($A104="","",SUMIFS(tExp[[Amount]],tExp[[Batch ID (if applicable)]],$A104))</f>
        <v/>
      </c>
      <c r="S104" s="41">
        <f>IF($A104="","",P104+Q104+R104)</f>
        <v/>
      </c>
      <c r="T104" s="41">
        <f>IF($A104="","",SUMIFS(tSales[[Total Revenue]],tSales[[Batch ID]],$A104))</f>
        <v/>
      </c>
      <c r="U104" s="41">
        <f>IF($A104="","",T104-S104)</f>
        <v/>
      </c>
      <c r="V104" s="29">
        <f>IF($A104="","",IFERROR(S104/(H104+I104),""))</f>
        <v/>
      </c>
      <c r="W104" s="29">
        <f>IF($A104="","",IF(K104=0,"",T104/K104))</f>
        <v/>
      </c>
      <c r="X104" s="42">
        <f>IF($A104="","",IFERROR(O104/(H104+I104),""))</f>
        <v/>
      </c>
      <c r="Y104" s="43">
        <f>IF($A104="","",IF(_xlfn.MAXIFS(tProd[[Date]],tProd[[Batch ID]],$A104,tProd[[Measurement Type]],"Weighing")=0,"",IFERROR(AVERAGEIFS(tProd[[Average Weight kg]],tProd[[Batch ID]],$A104,tProd[[Measurement Type]],"Weighing",tProd[[Date]],_xlfn.MAXIFS(tProd[[Date]],tProd[[Batch ID]],$A104,tProd[[Measurement Type]],"Weighing")),"")))</f>
        <v/>
      </c>
    </row>
    <row r="105">
      <c r="A105" s="27">
        <f>IFERROR(INDEX(tBatches[[Batch ID]],101)&amp;"","")</f>
        <v/>
      </c>
      <c r="B105" s="36">
        <f>IF($A105="","",INDEX(tBatches[[Pen ID]],101)&amp;"")</f>
        <v/>
      </c>
      <c r="C105" s="36">
        <f>IF($A105="","",INDEX(tBatches[[Animal Type]],101)&amp;"")</f>
        <v/>
      </c>
      <c r="D105" s="31">
        <f>IF($A105="","",INDEX(tBatches[[Batch Start Date]],101))</f>
        <v/>
      </c>
      <c r="E105" s="36">
        <f>IF($A105="","",INDEX(tBatches[[Status]],101)&amp;"")</f>
        <v/>
      </c>
      <c r="F105" s="31">
        <f>IF($A105="","",IF(N(INDEX(tBatches[[Closing Date]],101))=0,"",INDEX(tBatches[[Closing Date]],101)))</f>
        <v/>
      </c>
      <c r="G105" s="39">
        <f>IF($A105="","",INDEX(tBatches[[Age (days)]],101))</f>
        <v/>
      </c>
      <c r="H105" s="39">
        <f>IF($A105="","",N(INDEX(tBatches[[Initial Quantity]],101)))</f>
        <v/>
      </c>
      <c r="I105" s="39">
        <f>IF($A105="","",INDEX(tBatches[[Transfers In / Added]],101))</f>
        <v/>
      </c>
      <c r="J105" s="39">
        <f>IF($A105="","",INDEX(tBatches[[Deaths]],101))</f>
        <v/>
      </c>
      <c r="K105" s="39">
        <f>IF($A105="","",INDEX(tBatches[[Heads Sold]],101))</f>
        <v/>
      </c>
      <c r="L105" s="39">
        <f>IF($A105="","",INDEX(tBatches[[Transfers Out]],101))</f>
        <v/>
      </c>
      <c r="M105" s="39">
        <f>IF($A105="","",INDEX(tBatches[[Current Quantity]],101))</f>
        <v/>
      </c>
      <c r="N105" s="40">
        <f>IF($A105="","",IFERROR(J105/(H105+I105),0))</f>
        <v/>
      </c>
      <c r="O105" s="28">
        <f>IF($A105="","",SUMIFS(tFeedIss[[Quantity Issued in kg]],tFeedIss[[Batch ID]],$A105))</f>
        <v/>
      </c>
      <c r="P105" s="29">
        <f>IF($A105="","",SUMIFS(tFeedIss[[Total Cost]],tFeedIss[[Batch ID]],$A105))</f>
        <v/>
      </c>
      <c r="Q105" s="29">
        <f>IF($A105="","",SUMIFS(tDrugUse[[Total Cost]],tDrugUse[[Batch ID]],$A105))</f>
        <v/>
      </c>
      <c r="R105" s="29">
        <f>IF($A105="","",SUMIFS(tExp[[Amount]],tExp[[Batch ID (if applicable)]],$A105))</f>
        <v/>
      </c>
      <c r="S105" s="41">
        <f>IF($A105="","",P105+Q105+R105)</f>
        <v/>
      </c>
      <c r="T105" s="41">
        <f>IF($A105="","",SUMIFS(tSales[[Total Revenue]],tSales[[Batch ID]],$A105))</f>
        <v/>
      </c>
      <c r="U105" s="41">
        <f>IF($A105="","",T105-S105)</f>
        <v/>
      </c>
      <c r="V105" s="29">
        <f>IF($A105="","",IFERROR(S105/(H105+I105),""))</f>
        <v/>
      </c>
      <c r="W105" s="29">
        <f>IF($A105="","",IF(K105=0,"",T105/K105))</f>
        <v/>
      </c>
      <c r="X105" s="42">
        <f>IF($A105="","",IFERROR(O105/(H105+I105),""))</f>
        <v/>
      </c>
      <c r="Y105" s="43">
        <f>IF($A105="","",IF(_xlfn.MAXIFS(tProd[[Date]],tProd[[Batch ID]],$A105,tProd[[Measurement Type]],"Weighing")=0,"",IFERROR(AVERAGEIFS(tProd[[Average Weight kg]],tProd[[Batch ID]],$A105,tProd[[Measurement Type]],"Weighing",tProd[[Date]],_xlfn.MAXIFS(tProd[[Date]],tProd[[Batch ID]],$A105,tProd[[Measurement Type]],"Weighing")),"")))</f>
        <v/>
      </c>
    </row>
    <row r="106">
      <c r="A106" s="27">
        <f>IFERROR(INDEX(tBatches[[Batch ID]],102)&amp;"","")</f>
        <v/>
      </c>
      <c r="B106" s="36">
        <f>IF($A106="","",INDEX(tBatches[[Pen ID]],102)&amp;"")</f>
        <v/>
      </c>
      <c r="C106" s="36">
        <f>IF($A106="","",INDEX(tBatches[[Animal Type]],102)&amp;"")</f>
        <v/>
      </c>
      <c r="D106" s="31">
        <f>IF($A106="","",INDEX(tBatches[[Batch Start Date]],102))</f>
        <v/>
      </c>
      <c r="E106" s="36">
        <f>IF($A106="","",INDEX(tBatches[[Status]],102)&amp;"")</f>
        <v/>
      </c>
      <c r="F106" s="31">
        <f>IF($A106="","",IF(N(INDEX(tBatches[[Closing Date]],102))=0,"",INDEX(tBatches[[Closing Date]],102)))</f>
        <v/>
      </c>
      <c r="G106" s="39">
        <f>IF($A106="","",INDEX(tBatches[[Age (days)]],102))</f>
        <v/>
      </c>
      <c r="H106" s="39">
        <f>IF($A106="","",N(INDEX(tBatches[[Initial Quantity]],102)))</f>
        <v/>
      </c>
      <c r="I106" s="39">
        <f>IF($A106="","",INDEX(tBatches[[Transfers In / Added]],102))</f>
        <v/>
      </c>
      <c r="J106" s="39">
        <f>IF($A106="","",INDEX(tBatches[[Deaths]],102))</f>
        <v/>
      </c>
      <c r="K106" s="39">
        <f>IF($A106="","",INDEX(tBatches[[Heads Sold]],102))</f>
        <v/>
      </c>
      <c r="L106" s="39">
        <f>IF($A106="","",INDEX(tBatches[[Transfers Out]],102))</f>
        <v/>
      </c>
      <c r="M106" s="39">
        <f>IF($A106="","",INDEX(tBatches[[Current Quantity]],102))</f>
        <v/>
      </c>
      <c r="N106" s="40">
        <f>IF($A106="","",IFERROR(J106/(H106+I106),0))</f>
        <v/>
      </c>
      <c r="O106" s="28">
        <f>IF($A106="","",SUMIFS(tFeedIss[[Quantity Issued in kg]],tFeedIss[[Batch ID]],$A106))</f>
        <v/>
      </c>
      <c r="P106" s="29">
        <f>IF($A106="","",SUMIFS(tFeedIss[[Total Cost]],tFeedIss[[Batch ID]],$A106))</f>
        <v/>
      </c>
      <c r="Q106" s="29">
        <f>IF($A106="","",SUMIFS(tDrugUse[[Total Cost]],tDrugUse[[Batch ID]],$A106))</f>
        <v/>
      </c>
      <c r="R106" s="29">
        <f>IF($A106="","",SUMIFS(tExp[[Amount]],tExp[[Batch ID (if applicable)]],$A106))</f>
        <v/>
      </c>
      <c r="S106" s="41">
        <f>IF($A106="","",P106+Q106+R106)</f>
        <v/>
      </c>
      <c r="T106" s="41">
        <f>IF($A106="","",SUMIFS(tSales[[Total Revenue]],tSales[[Batch ID]],$A106))</f>
        <v/>
      </c>
      <c r="U106" s="41">
        <f>IF($A106="","",T106-S106)</f>
        <v/>
      </c>
      <c r="V106" s="29">
        <f>IF($A106="","",IFERROR(S106/(H106+I106),""))</f>
        <v/>
      </c>
      <c r="W106" s="29">
        <f>IF($A106="","",IF(K106=0,"",T106/K106))</f>
        <v/>
      </c>
      <c r="X106" s="42">
        <f>IF($A106="","",IFERROR(O106/(H106+I106),""))</f>
        <v/>
      </c>
      <c r="Y106" s="43">
        <f>IF($A106="","",IF(_xlfn.MAXIFS(tProd[[Date]],tProd[[Batch ID]],$A106,tProd[[Measurement Type]],"Weighing")=0,"",IFERROR(AVERAGEIFS(tProd[[Average Weight kg]],tProd[[Batch ID]],$A106,tProd[[Measurement Type]],"Weighing",tProd[[Date]],_xlfn.MAXIFS(tProd[[Date]],tProd[[Batch ID]],$A106,tProd[[Measurement Type]],"Weighing")),"")))</f>
        <v/>
      </c>
    </row>
    <row r="107">
      <c r="A107" s="27">
        <f>IFERROR(INDEX(tBatches[[Batch ID]],103)&amp;"","")</f>
        <v/>
      </c>
      <c r="B107" s="36">
        <f>IF($A107="","",INDEX(tBatches[[Pen ID]],103)&amp;"")</f>
        <v/>
      </c>
      <c r="C107" s="36">
        <f>IF($A107="","",INDEX(tBatches[[Animal Type]],103)&amp;"")</f>
        <v/>
      </c>
      <c r="D107" s="31">
        <f>IF($A107="","",INDEX(tBatches[[Batch Start Date]],103))</f>
        <v/>
      </c>
      <c r="E107" s="36">
        <f>IF($A107="","",INDEX(tBatches[[Status]],103)&amp;"")</f>
        <v/>
      </c>
      <c r="F107" s="31">
        <f>IF($A107="","",IF(N(INDEX(tBatches[[Closing Date]],103))=0,"",INDEX(tBatches[[Closing Date]],103)))</f>
        <v/>
      </c>
      <c r="G107" s="39">
        <f>IF($A107="","",INDEX(tBatches[[Age (days)]],103))</f>
        <v/>
      </c>
      <c r="H107" s="39">
        <f>IF($A107="","",N(INDEX(tBatches[[Initial Quantity]],103)))</f>
        <v/>
      </c>
      <c r="I107" s="39">
        <f>IF($A107="","",INDEX(tBatches[[Transfers In / Added]],103))</f>
        <v/>
      </c>
      <c r="J107" s="39">
        <f>IF($A107="","",INDEX(tBatches[[Deaths]],103))</f>
        <v/>
      </c>
      <c r="K107" s="39">
        <f>IF($A107="","",INDEX(tBatches[[Heads Sold]],103))</f>
        <v/>
      </c>
      <c r="L107" s="39">
        <f>IF($A107="","",INDEX(tBatches[[Transfers Out]],103))</f>
        <v/>
      </c>
      <c r="M107" s="39">
        <f>IF($A107="","",INDEX(tBatches[[Current Quantity]],103))</f>
        <v/>
      </c>
      <c r="N107" s="40">
        <f>IF($A107="","",IFERROR(J107/(H107+I107),0))</f>
        <v/>
      </c>
      <c r="O107" s="28">
        <f>IF($A107="","",SUMIFS(tFeedIss[[Quantity Issued in kg]],tFeedIss[[Batch ID]],$A107))</f>
        <v/>
      </c>
      <c r="P107" s="29">
        <f>IF($A107="","",SUMIFS(tFeedIss[[Total Cost]],tFeedIss[[Batch ID]],$A107))</f>
        <v/>
      </c>
      <c r="Q107" s="29">
        <f>IF($A107="","",SUMIFS(tDrugUse[[Total Cost]],tDrugUse[[Batch ID]],$A107))</f>
        <v/>
      </c>
      <c r="R107" s="29">
        <f>IF($A107="","",SUMIFS(tExp[[Amount]],tExp[[Batch ID (if applicable)]],$A107))</f>
        <v/>
      </c>
      <c r="S107" s="41">
        <f>IF($A107="","",P107+Q107+R107)</f>
        <v/>
      </c>
      <c r="T107" s="41">
        <f>IF($A107="","",SUMIFS(tSales[[Total Revenue]],tSales[[Batch ID]],$A107))</f>
        <v/>
      </c>
      <c r="U107" s="41">
        <f>IF($A107="","",T107-S107)</f>
        <v/>
      </c>
      <c r="V107" s="29">
        <f>IF($A107="","",IFERROR(S107/(H107+I107),""))</f>
        <v/>
      </c>
      <c r="W107" s="29">
        <f>IF($A107="","",IF(K107=0,"",T107/K107))</f>
        <v/>
      </c>
      <c r="X107" s="42">
        <f>IF($A107="","",IFERROR(O107/(H107+I107),""))</f>
        <v/>
      </c>
      <c r="Y107" s="43">
        <f>IF($A107="","",IF(_xlfn.MAXIFS(tProd[[Date]],tProd[[Batch ID]],$A107,tProd[[Measurement Type]],"Weighing")=0,"",IFERROR(AVERAGEIFS(tProd[[Average Weight kg]],tProd[[Batch ID]],$A107,tProd[[Measurement Type]],"Weighing",tProd[[Date]],_xlfn.MAXIFS(tProd[[Date]],tProd[[Batch ID]],$A107,tProd[[Measurement Type]],"Weighing")),"")))</f>
        <v/>
      </c>
    </row>
    <row r="108">
      <c r="A108" s="27">
        <f>IFERROR(INDEX(tBatches[[Batch ID]],104)&amp;"","")</f>
        <v/>
      </c>
      <c r="B108" s="36">
        <f>IF($A108="","",INDEX(tBatches[[Pen ID]],104)&amp;"")</f>
        <v/>
      </c>
      <c r="C108" s="36">
        <f>IF($A108="","",INDEX(tBatches[[Animal Type]],104)&amp;"")</f>
        <v/>
      </c>
      <c r="D108" s="31">
        <f>IF($A108="","",INDEX(tBatches[[Batch Start Date]],104))</f>
        <v/>
      </c>
      <c r="E108" s="36">
        <f>IF($A108="","",INDEX(tBatches[[Status]],104)&amp;"")</f>
        <v/>
      </c>
      <c r="F108" s="31">
        <f>IF($A108="","",IF(N(INDEX(tBatches[[Closing Date]],104))=0,"",INDEX(tBatches[[Closing Date]],104)))</f>
        <v/>
      </c>
      <c r="G108" s="39">
        <f>IF($A108="","",INDEX(tBatches[[Age (days)]],104))</f>
        <v/>
      </c>
      <c r="H108" s="39">
        <f>IF($A108="","",N(INDEX(tBatches[[Initial Quantity]],104)))</f>
        <v/>
      </c>
      <c r="I108" s="39">
        <f>IF($A108="","",INDEX(tBatches[[Transfers In / Added]],104))</f>
        <v/>
      </c>
      <c r="J108" s="39">
        <f>IF($A108="","",INDEX(tBatches[[Deaths]],104))</f>
        <v/>
      </c>
      <c r="K108" s="39">
        <f>IF($A108="","",INDEX(tBatches[[Heads Sold]],104))</f>
        <v/>
      </c>
      <c r="L108" s="39">
        <f>IF($A108="","",INDEX(tBatches[[Transfers Out]],104))</f>
        <v/>
      </c>
      <c r="M108" s="39">
        <f>IF($A108="","",INDEX(tBatches[[Current Quantity]],104))</f>
        <v/>
      </c>
      <c r="N108" s="40">
        <f>IF($A108="","",IFERROR(J108/(H108+I108),0))</f>
        <v/>
      </c>
      <c r="O108" s="28">
        <f>IF($A108="","",SUMIFS(tFeedIss[[Quantity Issued in kg]],tFeedIss[[Batch ID]],$A108))</f>
        <v/>
      </c>
      <c r="P108" s="29">
        <f>IF($A108="","",SUMIFS(tFeedIss[[Total Cost]],tFeedIss[[Batch ID]],$A108))</f>
        <v/>
      </c>
      <c r="Q108" s="29">
        <f>IF($A108="","",SUMIFS(tDrugUse[[Total Cost]],tDrugUse[[Batch ID]],$A108))</f>
        <v/>
      </c>
      <c r="R108" s="29">
        <f>IF($A108="","",SUMIFS(tExp[[Amount]],tExp[[Batch ID (if applicable)]],$A108))</f>
        <v/>
      </c>
      <c r="S108" s="41">
        <f>IF($A108="","",P108+Q108+R108)</f>
        <v/>
      </c>
      <c r="T108" s="41">
        <f>IF($A108="","",SUMIFS(tSales[[Total Revenue]],tSales[[Batch ID]],$A108))</f>
        <v/>
      </c>
      <c r="U108" s="41">
        <f>IF($A108="","",T108-S108)</f>
        <v/>
      </c>
      <c r="V108" s="29">
        <f>IF($A108="","",IFERROR(S108/(H108+I108),""))</f>
        <v/>
      </c>
      <c r="W108" s="29">
        <f>IF($A108="","",IF(K108=0,"",T108/K108))</f>
        <v/>
      </c>
      <c r="X108" s="42">
        <f>IF($A108="","",IFERROR(O108/(H108+I108),""))</f>
        <v/>
      </c>
      <c r="Y108" s="43">
        <f>IF($A108="","",IF(_xlfn.MAXIFS(tProd[[Date]],tProd[[Batch ID]],$A108,tProd[[Measurement Type]],"Weighing")=0,"",IFERROR(AVERAGEIFS(tProd[[Average Weight kg]],tProd[[Batch ID]],$A108,tProd[[Measurement Type]],"Weighing",tProd[[Date]],_xlfn.MAXIFS(tProd[[Date]],tProd[[Batch ID]],$A108,tProd[[Measurement Type]],"Weighing")),"")))</f>
        <v/>
      </c>
    </row>
    <row r="109">
      <c r="A109" s="27">
        <f>IFERROR(INDEX(tBatches[[Batch ID]],105)&amp;"","")</f>
        <v/>
      </c>
      <c r="B109" s="36">
        <f>IF($A109="","",INDEX(tBatches[[Pen ID]],105)&amp;"")</f>
        <v/>
      </c>
      <c r="C109" s="36">
        <f>IF($A109="","",INDEX(tBatches[[Animal Type]],105)&amp;"")</f>
        <v/>
      </c>
      <c r="D109" s="31">
        <f>IF($A109="","",INDEX(tBatches[[Batch Start Date]],105))</f>
        <v/>
      </c>
      <c r="E109" s="36">
        <f>IF($A109="","",INDEX(tBatches[[Status]],105)&amp;"")</f>
        <v/>
      </c>
      <c r="F109" s="31">
        <f>IF($A109="","",IF(N(INDEX(tBatches[[Closing Date]],105))=0,"",INDEX(tBatches[[Closing Date]],105)))</f>
        <v/>
      </c>
      <c r="G109" s="39">
        <f>IF($A109="","",INDEX(tBatches[[Age (days)]],105))</f>
        <v/>
      </c>
      <c r="H109" s="39">
        <f>IF($A109="","",N(INDEX(tBatches[[Initial Quantity]],105)))</f>
        <v/>
      </c>
      <c r="I109" s="39">
        <f>IF($A109="","",INDEX(tBatches[[Transfers In / Added]],105))</f>
        <v/>
      </c>
      <c r="J109" s="39">
        <f>IF($A109="","",INDEX(tBatches[[Deaths]],105))</f>
        <v/>
      </c>
      <c r="K109" s="39">
        <f>IF($A109="","",INDEX(tBatches[[Heads Sold]],105))</f>
        <v/>
      </c>
      <c r="L109" s="39">
        <f>IF($A109="","",INDEX(tBatches[[Transfers Out]],105))</f>
        <v/>
      </c>
      <c r="M109" s="39">
        <f>IF($A109="","",INDEX(tBatches[[Current Quantity]],105))</f>
        <v/>
      </c>
      <c r="N109" s="40">
        <f>IF($A109="","",IFERROR(J109/(H109+I109),0))</f>
        <v/>
      </c>
      <c r="O109" s="28">
        <f>IF($A109="","",SUMIFS(tFeedIss[[Quantity Issued in kg]],tFeedIss[[Batch ID]],$A109))</f>
        <v/>
      </c>
      <c r="P109" s="29">
        <f>IF($A109="","",SUMIFS(tFeedIss[[Total Cost]],tFeedIss[[Batch ID]],$A109))</f>
        <v/>
      </c>
      <c r="Q109" s="29">
        <f>IF($A109="","",SUMIFS(tDrugUse[[Total Cost]],tDrugUse[[Batch ID]],$A109))</f>
        <v/>
      </c>
      <c r="R109" s="29">
        <f>IF($A109="","",SUMIFS(tExp[[Amount]],tExp[[Batch ID (if applicable)]],$A109))</f>
        <v/>
      </c>
      <c r="S109" s="41">
        <f>IF($A109="","",P109+Q109+R109)</f>
        <v/>
      </c>
      <c r="T109" s="41">
        <f>IF($A109="","",SUMIFS(tSales[[Total Revenue]],tSales[[Batch ID]],$A109))</f>
        <v/>
      </c>
      <c r="U109" s="41">
        <f>IF($A109="","",T109-S109)</f>
        <v/>
      </c>
      <c r="V109" s="29">
        <f>IF($A109="","",IFERROR(S109/(H109+I109),""))</f>
        <v/>
      </c>
      <c r="W109" s="29">
        <f>IF($A109="","",IF(K109=0,"",T109/K109))</f>
        <v/>
      </c>
      <c r="X109" s="42">
        <f>IF($A109="","",IFERROR(O109/(H109+I109),""))</f>
        <v/>
      </c>
      <c r="Y109" s="43">
        <f>IF($A109="","",IF(_xlfn.MAXIFS(tProd[[Date]],tProd[[Batch ID]],$A109,tProd[[Measurement Type]],"Weighing")=0,"",IFERROR(AVERAGEIFS(tProd[[Average Weight kg]],tProd[[Batch ID]],$A109,tProd[[Measurement Type]],"Weighing",tProd[[Date]],_xlfn.MAXIFS(tProd[[Date]],tProd[[Batch ID]],$A109,tProd[[Measurement Type]],"Weighing")),"")))</f>
        <v/>
      </c>
    </row>
    <row r="110">
      <c r="A110" s="27">
        <f>IFERROR(INDEX(tBatches[[Batch ID]],106)&amp;"","")</f>
        <v/>
      </c>
      <c r="B110" s="36">
        <f>IF($A110="","",INDEX(tBatches[[Pen ID]],106)&amp;"")</f>
        <v/>
      </c>
      <c r="C110" s="36">
        <f>IF($A110="","",INDEX(tBatches[[Animal Type]],106)&amp;"")</f>
        <v/>
      </c>
      <c r="D110" s="31">
        <f>IF($A110="","",INDEX(tBatches[[Batch Start Date]],106))</f>
        <v/>
      </c>
      <c r="E110" s="36">
        <f>IF($A110="","",INDEX(tBatches[[Status]],106)&amp;"")</f>
        <v/>
      </c>
      <c r="F110" s="31">
        <f>IF($A110="","",IF(N(INDEX(tBatches[[Closing Date]],106))=0,"",INDEX(tBatches[[Closing Date]],106)))</f>
        <v/>
      </c>
      <c r="G110" s="39">
        <f>IF($A110="","",INDEX(tBatches[[Age (days)]],106))</f>
        <v/>
      </c>
      <c r="H110" s="39">
        <f>IF($A110="","",N(INDEX(tBatches[[Initial Quantity]],106)))</f>
        <v/>
      </c>
      <c r="I110" s="39">
        <f>IF($A110="","",INDEX(tBatches[[Transfers In / Added]],106))</f>
        <v/>
      </c>
      <c r="J110" s="39">
        <f>IF($A110="","",INDEX(tBatches[[Deaths]],106))</f>
        <v/>
      </c>
      <c r="K110" s="39">
        <f>IF($A110="","",INDEX(tBatches[[Heads Sold]],106))</f>
        <v/>
      </c>
      <c r="L110" s="39">
        <f>IF($A110="","",INDEX(tBatches[[Transfers Out]],106))</f>
        <v/>
      </c>
      <c r="M110" s="39">
        <f>IF($A110="","",INDEX(tBatches[[Current Quantity]],106))</f>
        <v/>
      </c>
      <c r="N110" s="40">
        <f>IF($A110="","",IFERROR(J110/(H110+I110),0))</f>
        <v/>
      </c>
      <c r="O110" s="28">
        <f>IF($A110="","",SUMIFS(tFeedIss[[Quantity Issued in kg]],tFeedIss[[Batch ID]],$A110))</f>
        <v/>
      </c>
      <c r="P110" s="29">
        <f>IF($A110="","",SUMIFS(tFeedIss[[Total Cost]],tFeedIss[[Batch ID]],$A110))</f>
        <v/>
      </c>
      <c r="Q110" s="29">
        <f>IF($A110="","",SUMIFS(tDrugUse[[Total Cost]],tDrugUse[[Batch ID]],$A110))</f>
        <v/>
      </c>
      <c r="R110" s="29">
        <f>IF($A110="","",SUMIFS(tExp[[Amount]],tExp[[Batch ID (if applicable)]],$A110))</f>
        <v/>
      </c>
      <c r="S110" s="41">
        <f>IF($A110="","",P110+Q110+R110)</f>
        <v/>
      </c>
      <c r="T110" s="41">
        <f>IF($A110="","",SUMIFS(tSales[[Total Revenue]],tSales[[Batch ID]],$A110))</f>
        <v/>
      </c>
      <c r="U110" s="41">
        <f>IF($A110="","",T110-S110)</f>
        <v/>
      </c>
      <c r="V110" s="29">
        <f>IF($A110="","",IFERROR(S110/(H110+I110),""))</f>
        <v/>
      </c>
      <c r="W110" s="29">
        <f>IF($A110="","",IF(K110=0,"",T110/K110))</f>
        <v/>
      </c>
      <c r="X110" s="42">
        <f>IF($A110="","",IFERROR(O110/(H110+I110),""))</f>
        <v/>
      </c>
      <c r="Y110" s="43">
        <f>IF($A110="","",IF(_xlfn.MAXIFS(tProd[[Date]],tProd[[Batch ID]],$A110,tProd[[Measurement Type]],"Weighing")=0,"",IFERROR(AVERAGEIFS(tProd[[Average Weight kg]],tProd[[Batch ID]],$A110,tProd[[Measurement Type]],"Weighing",tProd[[Date]],_xlfn.MAXIFS(tProd[[Date]],tProd[[Batch ID]],$A110,tProd[[Measurement Type]],"Weighing")),"")))</f>
        <v/>
      </c>
    </row>
    <row r="111">
      <c r="A111" s="27">
        <f>IFERROR(INDEX(tBatches[[Batch ID]],107)&amp;"","")</f>
        <v/>
      </c>
      <c r="B111" s="36">
        <f>IF($A111="","",INDEX(tBatches[[Pen ID]],107)&amp;"")</f>
        <v/>
      </c>
      <c r="C111" s="36">
        <f>IF($A111="","",INDEX(tBatches[[Animal Type]],107)&amp;"")</f>
        <v/>
      </c>
      <c r="D111" s="31">
        <f>IF($A111="","",INDEX(tBatches[[Batch Start Date]],107))</f>
        <v/>
      </c>
      <c r="E111" s="36">
        <f>IF($A111="","",INDEX(tBatches[[Status]],107)&amp;"")</f>
        <v/>
      </c>
      <c r="F111" s="31">
        <f>IF($A111="","",IF(N(INDEX(tBatches[[Closing Date]],107))=0,"",INDEX(tBatches[[Closing Date]],107)))</f>
        <v/>
      </c>
      <c r="G111" s="39">
        <f>IF($A111="","",INDEX(tBatches[[Age (days)]],107))</f>
        <v/>
      </c>
      <c r="H111" s="39">
        <f>IF($A111="","",N(INDEX(tBatches[[Initial Quantity]],107)))</f>
        <v/>
      </c>
      <c r="I111" s="39">
        <f>IF($A111="","",INDEX(tBatches[[Transfers In / Added]],107))</f>
        <v/>
      </c>
      <c r="J111" s="39">
        <f>IF($A111="","",INDEX(tBatches[[Deaths]],107))</f>
        <v/>
      </c>
      <c r="K111" s="39">
        <f>IF($A111="","",INDEX(tBatches[[Heads Sold]],107))</f>
        <v/>
      </c>
      <c r="L111" s="39">
        <f>IF($A111="","",INDEX(tBatches[[Transfers Out]],107))</f>
        <v/>
      </c>
      <c r="M111" s="39">
        <f>IF($A111="","",INDEX(tBatches[[Current Quantity]],107))</f>
        <v/>
      </c>
      <c r="N111" s="40">
        <f>IF($A111="","",IFERROR(J111/(H111+I111),0))</f>
        <v/>
      </c>
      <c r="O111" s="28">
        <f>IF($A111="","",SUMIFS(tFeedIss[[Quantity Issued in kg]],tFeedIss[[Batch ID]],$A111))</f>
        <v/>
      </c>
      <c r="P111" s="29">
        <f>IF($A111="","",SUMIFS(tFeedIss[[Total Cost]],tFeedIss[[Batch ID]],$A111))</f>
        <v/>
      </c>
      <c r="Q111" s="29">
        <f>IF($A111="","",SUMIFS(tDrugUse[[Total Cost]],tDrugUse[[Batch ID]],$A111))</f>
        <v/>
      </c>
      <c r="R111" s="29">
        <f>IF($A111="","",SUMIFS(tExp[[Amount]],tExp[[Batch ID (if applicable)]],$A111))</f>
        <v/>
      </c>
      <c r="S111" s="41">
        <f>IF($A111="","",P111+Q111+R111)</f>
        <v/>
      </c>
      <c r="T111" s="41">
        <f>IF($A111="","",SUMIFS(tSales[[Total Revenue]],tSales[[Batch ID]],$A111))</f>
        <v/>
      </c>
      <c r="U111" s="41">
        <f>IF($A111="","",T111-S111)</f>
        <v/>
      </c>
      <c r="V111" s="29">
        <f>IF($A111="","",IFERROR(S111/(H111+I111),""))</f>
        <v/>
      </c>
      <c r="W111" s="29">
        <f>IF($A111="","",IF(K111=0,"",T111/K111))</f>
        <v/>
      </c>
      <c r="X111" s="42">
        <f>IF($A111="","",IFERROR(O111/(H111+I111),""))</f>
        <v/>
      </c>
      <c r="Y111" s="43">
        <f>IF($A111="","",IF(_xlfn.MAXIFS(tProd[[Date]],tProd[[Batch ID]],$A111,tProd[[Measurement Type]],"Weighing")=0,"",IFERROR(AVERAGEIFS(tProd[[Average Weight kg]],tProd[[Batch ID]],$A111,tProd[[Measurement Type]],"Weighing",tProd[[Date]],_xlfn.MAXIFS(tProd[[Date]],tProd[[Batch ID]],$A111,tProd[[Measurement Type]],"Weighing")),"")))</f>
        <v/>
      </c>
    </row>
    <row r="112">
      <c r="A112" s="27">
        <f>IFERROR(INDEX(tBatches[[Batch ID]],108)&amp;"","")</f>
        <v/>
      </c>
      <c r="B112" s="36">
        <f>IF($A112="","",INDEX(tBatches[[Pen ID]],108)&amp;"")</f>
        <v/>
      </c>
      <c r="C112" s="36">
        <f>IF($A112="","",INDEX(tBatches[[Animal Type]],108)&amp;"")</f>
        <v/>
      </c>
      <c r="D112" s="31">
        <f>IF($A112="","",INDEX(tBatches[[Batch Start Date]],108))</f>
        <v/>
      </c>
      <c r="E112" s="36">
        <f>IF($A112="","",INDEX(tBatches[[Status]],108)&amp;"")</f>
        <v/>
      </c>
      <c r="F112" s="31">
        <f>IF($A112="","",IF(N(INDEX(tBatches[[Closing Date]],108))=0,"",INDEX(tBatches[[Closing Date]],108)))</f>
        <v/>
      </c>
      <c r="G112" s="39">
        <f>IF($A112="","",INDEX(tBatches[[Age (days)]],108))</f>
        <v/>
      </c>
      <c r="H112" s="39">
        <f>IF($A112="","",N(INDEX(tBatches[[Initial Quantity]],108)))</f>
        <v/>
      </c>
      <c r="I112" s="39">
        <f>IF($A112="","",INDEX(tBatches[[Transfers In / Added]],108))</f>
        <v/>
      </c>
      <c r="J112" s="39">
        <f>IF($A112="","",INDEX(tBatches[[Deaths]],108))</f>
        <v/>
      </c>
      <c r="K112" s="39">
        <f>IF($A112="","",INDEX(tBatches[[Heads Sold]],108))</f>
        <v/>
      </c>
      <c r="L112" s="39">
        <f>IF($A112="","",INDEX(tBatches[[Transfers Out]],108))</f>
        <v/>
      </c>
      <c r="M112" s="39">
        <f>IF($A112="","",INDEX(tBatches[[Current Quantity]],108))</f>
        <v/>
      </c>
      <c r="N112" s="40">
        <f>IF($A112="","",IFERROR(J112/(H112+I112),0))</f>
        <v/>
      </c>
      <c r="O112" s="28">
        <f>IF($A112="","",SUMIFS(tFeedIss[[Quantity Issued in kg]],tFeedIss[[Batch ID]],$A112))</f>
        <v/>
      </c>
      <c r="P112" s="29">
        <f>IF($A112="","",SUMIFS(tFeedIss[[Total Cost]],tFeedIss[[Batch ID]],$A112))</f>
        <v/>
      </c>
      <c r="Q112" s="29">
        <f>IF($A112="","",SUMIFS(tDrugUse[[Total Cost]],tDrugUse[[Batch ID]],$A112))</f>
        <v/>
      </c>
      <c r="R112" s="29">
        <f>IF($A112="","",SUMIFS(tExp[[Amount]],tExp[[Batch ID (if applicable)]],$A112))</f>
        <v/>
      </c>
      <c r="S112" s="41">
        <f>IF($A112="","",P112+Q112+R112)</f>
        <v/>
      </c>
      <c r="T112" s="41">
        <f>IF($A112="","",SUMIFS(tSales[[Total Revenue]],tSales[[Batch ID]],$A112))</f>
        <v/>
      </c>
      <c r="U112" s="41">
        <f>IF($A112="","",T112-S112)</f>
        <v/>
      </c>
      <c r="V112" s="29">
        <f>IF($A112="","",IFERROR(S112/(H112+I112),""))</f>
        <v/>
      </c>
      <c r="W112" s="29">
        <f>IF($A112="","",IF(K112=0,"",T112/K112))</f>
        <v/>
      </c>
      <c r="X112" s="42">
        <f>IF($A112="","",IFERROR(O112/(H112+I112),""))</f>
        <v/>
      </c>
      <c r="Y112" s="43">
        <f>IF($A112="","",IF(_xlfn.MAXIFS(tProd[[Date]],tProd[[Batch ID]],$A112,tProd[[Measurement Type]],"Weighing")=0,"",IFERROR(AVERAGEIFS(tProd[[Average Weight kg]],tProd[[Batch ID]],$A112,tProd[[Measurement Type]],"Weighing",tProd[[Date]],_xlfn.MAXIFS(tProd[[Date]],tProd[[Batch ID]],$A112,tProd[[Measurement Type]],"Weighing")),"")))</f>
        <v/>
      </c>
    </row>
    <row r="113">
      <c r="A113" s="27">
        <f>IFERROR(INDEX(tBatches[[Batch ID]],109)&amp;"","")</f>
        <v/>
      </c>
      <c r="B113" s="36">
        <f>IF($A113="","",INDEX(tBatches[[Pen ID]],109)&amp;"")</f>
        <v/>
      </c>
      <c r="C113" s="36">
        <f>IF($A113="","",INDEX(tBatches[[Animal Type]],109)&amp;"")</f>
        <v/>
      </c>
      <c r="D113" s="31">
        <f>IF($A113="","",INDEX(tBatches[[Batch Start Date]],109))</f>
        <v/>
      </c>
      <c r="E113" s="36">
        <f>IF($A113="","",INDEX(tBatches[[Status]],109)&amp;"")</f>
        <v/>
      </c>
      <c r="F113" s="31">
        <f>IF($A113="","",IF(N(INDEX(tBatches[[Closing Date]],109))=0,"",INDEX(tBatches[[Closing Date]],109)))</f>
        <v/>
      </c>
      <c r="G113" s="39">
        <f>IF($A113="","",INDEX(tBatches[[Age (days)]],109))</f>
        <v/>
      </c>
      <c r="H113" s="39">
        <f>IF($A113="","",N(INDEX(tBatches[[Initial Quantity]],109)))</f>
        <v/>
      </c>
      <c r="I113" s="39">
        <f>IF($A113="","",INDEX(tBatches[[Transfers In / Added]],109))</f>
        <v/>
      </c>
      <c r="J113" s="39">
        <f>IF($A113="","",INDEX(tBatches[[Deaths]],109))</f>
        <v/>
      </c>
      <c r="K113" s="39">
        <f>IF($A113="","",INDEX(tBatches[[Heads Sold]],109))</f>
        <v/>
      </c>
      <c r="L113" s="39">
        <f>IF($A113="","",INDEX(tBatches[[Transfers Out]],109))</f>
        <v/>
      </c>
      <c r="M113" s="39">
        <f>IF($A113="","",INDEX(tBatches[[Current Quantity]],109))</f>
        <v/>
      </c>
      <c r="N113" s="40">
        <f>IF($A113="","",IFERROR(J113/(H113+I113),0))</f>
        <v/>
      </c>
      <c r="O113" s="28">
        <f>IF($A113="","",SUMIFS(tFeedIss[[Quantity Issued in kg]],tFeedIss[[Batch ID]],$A113))</f>
        <v/>
      </c>
      <c r="P113" s="29">
        <f>IF($A113="","",SUMIFS(tFeedIss[[Total Cost]],tFeedIss[[Batch ID]],$A113))</f>
        <v/>
      </c>
      <c r="Q113" s="29">
        <f>IF($A113="","",SUMIFS(tDrugUse[[Total Cost]],tDrugUse[[Batch ID]],$A113))</f>
        <v/>
      </c>
      <c r="R113" s="29">
        <f>IF($A113="","",SUMIFS(tExp[[Amount]],tExp[[Batch ID (if applicable)]],$A113))</f>
        <v/>
      </c>
      <c r="S113" s="41">
        <f>IF($A113="","",P113+Q113+R113)</f>
        <v/>
      </c>
      <c r="T113" s="41">
        <f>IF($A113="","",SUMIFS(tSales[[Total Revenue]],tSales[[Batch ID]],$A113))</f>
        <v/>
      </c>
      <c r="U113" s="41">
        <f>IF($A113="","",T113-S113)</f>
        <v/>
      </c>
      <c r="V113" s="29">
        <f>IF($A113="","",IFERROR(S113/(H113+I113),""))</f>
        <v/>
      </c>
      <c r="W113" s="29">
        <f>IF($A113="","",IF(K113=0,"",T113/K113))</f>
        <v/>
      </c>
      <c r="X113" s="42">
        <f>IF($A113="","",IFERROR(O113/(H113+I113),""))</f>
        <v/>
      </c>
      <c r="Y113" s="43">
        <f>IF($A113="","",IF(_xlfn.MAXIFS(tProd[[Date]],tProd[[Batch ID]],$A113,tProd[[Measurement Type]],"Weighing")=0,"",IFERROR(AVERAGEIFS(tProd[[Average Weight kg]],tProd[[Batch ID]],$A113,tProd[[Measurement Type]],"Weighing",tProd[[Date]],_xlfn.MAXIFS(tProd[[Date]],tProd[[Batch ID]],$A113,tProd[[Measurement Type]],"Weighing")),"")))</f>
        <v/>
      </c>
    </row>
    <row r="114">
      <c r="A114" s="27">
        <f>IFERROR(INDEX(tBatches[[Batch ID]],110)&amp;"","")</f>
        <v/>
      </c>
      <c r="B114" s="36">
        <f>IF($A114="","",INDEX(tBatches[[Pen ID]],110)&amp;"")</f>
        <v/>
      </c>
      <c r="C114" s="36">
        <f>IF($A114="","",INDEX(tBatches[[Animal Type]],110)&amp;"")</f>
        <v/>
      </c>
      <c r="D114" s="31">
        <f>IF($A114="","",INDEX(tBatches[[Batch Start Date]],110))</f>
        <v/>
      </c>
      <c r="E114" s="36">
        <f>IF($A114="","",INDEX(tBatches[[Status]],110)&amp;"")</f>
        <v/>
      </c>
      <c r="F114" s="31">
        <f>IF($A114="","",IF(N(INDEX(tBatches[[Closing Date]],110))=0,"",INDEX(tBatches[[Closing Date]],110)))</f>
        <v/>
      </c>
      <c r="G114" s="39">
        <f>IF($A114="","",INDEX(tBatches[[Age (days)]],110))</f>
        <v/>
      </c>
      <c r="H114" s="39">
        <f>IF($A114="","",N(INDEX(tBatches[[Initial Quantity]],110)))</f>
        <v/>
      </c>
      <c r="I114" s="39">
        <f>IF($A114="","",INDEX(tBatches[[Transfers In / Added]],110))</f>
        <v/>
      </c>
      <c r="J114" s="39">
        <f>IF($A114="","",INDEX(tBatches[[Deaths]],110))</f>
        <v/>
      </c>
      <c r="K114" s="39">
        <f>IF($A114="","",INDEX(tBatches[[Heads Sold]],110))</f>
        <v/>
      </c>
      <c r="L114" s="39">
        <f>IF($A114="","",INDEX(tBatches[[Transfers Out]],110))</f>
        <v/>
      </c>
      <c r="M114" s="39">
        <f>IF($A114="","",INDEX(tBatches[[Current Quantity]],110))</f>
        <v/>
      </c>
      <c r="N114" s="40">
        <f>IF($A114="","",IFERROR(J114/(H114+I114),0))</f>
        <v/>
      </c>
      <c r="O114" s="28">
        <f>IF($A114="","",SUMIFS(tFeedIss[[Quantity Issued in kg]],tFeedIss[[Batch ID]],$A114))</f>
        <v/>
      </c>
      <c r="P114" s="29">
        <f>IF($A114="","",SUMIFS(tFeedIss[[Total Cost]],tFeedIss[[Batch ID]],$A114))</f>
        <v/>
      </c>
      <c r="Q114" s="29">
        <f>IF($A114="","",SUMIFS(tDrugUse[[Total Cost]],tDrugUse[[Batch ID]],$A114))</f>
        <v/>
      </c>
      <c r="R114" s="29">
        <f>IF($A114="","",SUMIFS(tExp[[Amount]],tExp[[Batch ID (if applicable)]],$A114))</f>
        <v/>
      </c>
      <c r="S114" s="41">
        <f>IF($A114="","",P114+Q114+R114)</f>
        <v/>
      </c>
      <c r="T114" s="41">
        <f>IF($A114="","",SUMIFS(tSales[[Total Revenue]],tSales[[Batch ID]],$A114))</f>
        <v/>
      </c>
      <c r="U114" s="41">
        <f>IF($A114="","",T114-S114)</f>
        <v/>
      </c>
      <c r="V114" s="29">
        <f>IF($A114="","",IFERROR(S114/(H114+I114),""))</f>
        <v/>
      </c>
      <c r="W114" s="29">
        <f>IF($A114="","",IF(K114=0,"",T114/K114))</f>
        <v/>
      </c>
      <c r="X114" s="42">
        <f>IF($A114="","",IFERROR(O114/(H114+I114),""))</f>
        <v/>
      </c>
      <c r="Y114" s="43">
        <f>IF($A114="","",IF(_xlfn.MAXIFS(tProd[[Date]],tProd[[Batch ID]],$A114,tProd[[Measurement Type]],"Weighing")=0,"",IFERROR(AVERAGEIFS(tProd[[Average Weight kg]],tProd[[Batch ID]],$A114,tProd[[Measurement Type]],"Weighing",tProd[[Date]],_xlfn.MAXIFS(tProd[[Date]],tProd[[Batch ID]],$A114,tProd[[Measurement Type]],"Weighing")),"")))</f>
        <v/>
      </c>
    </row>
    <row r="115">
      <c r="A115" s="27">
        <f>IFERROR(INDEX(tBatches[[Batch ID]],111)&amp;"","")</f>
        <v/>
      </c>
      <c r="B115" s="36">
        <f>IF($A115="","",INDEX(tBatches[[Pen ID]],111)&amp;"")</f>
        <v/>
      </c>
      <c r="C115" s="36">
        <f>IF($A115="","",INDEX(tBatches[[Animal Type]],111)&amp;"")</f>
        <v/>
      </c>
      <c r="D115" s="31">
        <f>IF($A115="","",INDEX(tBatches[[Batch Start Date]],111))</f>
        <v/>
      </c>
      <c r="E115" s="36">
        <f>IF($A115="","",INDEX(tBatches[[Status]],111)&amp;"")</f>
        <v/>
      </c>
      <c r="F115" s="31">
        <f>IF($A115="","",IF(N(INDEX(tBatches[[Closing Date]],111))=0,"",INDEX(tBatches[[Closing Date]],111)))</f>
        <v/>
      </c>
      <c r="G115" s="39">
        <f>IF($A115="","",INDEX(tBatches[[Age (days)]],111))</f>
        <v/>
      </c>
      <c r="H115" s="39">
        <f>IF($A115="","",N(INDEX(tBatches[[Initial Quantity]],111)))</f>
        <v/>
      </c>
      <c r="I115" s="39">
        <f>IF($A115="","",INDEX(tBatches[[Transfers In / Added]],111))</f>
        <v/>
      </c>
      <c r="J115" s="39">
        <f>IF($A115="","",INDEX(tBatches[[Deaths]],111))</f>
        <v/>
      </c>
      <c r="K115" s="39">
        <f>IF($A115="","",INDEX(tBatches[[Heads Sold]],111))</f>
        <v/>
      </c>
      <c r="L115" s="39">
        <f>IF($A115="","",INDEX(tBatches[[Transfers Out]],111))</f>
        <v/>
      </c>
      <c r="M115" s="39">
        <f>IF($A115="","",INDEX(tBatches[[Current Quantity]],111))</f>
        <v/>
      </c>
      <c r="N115" s="40">
        <f>IF($A115="","",IFERROR(J115/(H115+I115),0))</f>
        <v/>
      </c>
      <c r="O115" s="28">
        <f>IF($A115="","",SUMIFS(tFeedIss[[Quantity Issued in kg]],tFeedIss[[Batch ID]],$A115))</f>
        <v/>
      </c>
      <c r="P115" s="29">
        <f>IF($A115="","",SUMIFS(tFeedIss[[Total Cost]],tFeedIss[[Batch ID]],$A115))</f>
        <v/>
      </c>
      <c r="Q115" s="29">
        <f>IF($A115="","",SUMIFS(tDrugUse[[Total Cost]],tDrugUse[[Batch ID]],$A115))</f>
        <v/>
      </c>
      <c r="R115" s="29">
        <f>IF($A115="","",SUMIFS(tExp[[Amount]],tExp[[Batch ID (if applicable)]],$A115))</f>
        <v/>
      </c>
      <c r="S115" s="41">
        <f>IF($A115="","",P115+Q115+R115)</f>
        <v/>
      </c>
      <c r="T115" s="41">
        <f>IF($A115="","",SUMIFS(tSales[[Total Revenue]],tSales[[Batch ID]],$A115))</f>
        <v/>
      </c>
      <c r="U115" s="41">
        <f>IF($A115="","",T115-S115)</f>
        <v/>
      </c>
      <c r="V115" s="29">
        <f>IF($A115="","",IFERROR(S115/(H115+I115),""))</f>
        <v/>
      </c>
      <c r="W115" s="29">
        <f>IF($A115="","",IF(K115=0,"",T115/K115))</f>
        <v/>
      </c>
      <c r="X115" s="42">
        <f>IF($A115="","",IFERROR(O115/(H115+I115),""))</f>
        <v/>
      </c>
      <c r="Y115" s="43">
        <f>IF($A115="","",IF(_xlfn.MAXIFS(tProd[[Date]],tProd[[Batch ID]],$A115,tProd[[Measurement Type]],"Weighing")=0,"",IFERROR(AVERAGEIFS(tProd[[Average Weight kg]],tProd[[Batch ID]],$A115,tProd[[Measurement Type]],"Weighing",tProd[[Date]],_xlfn.MAXIFS(tProd[[Date]],tProd[[Batch ID]],$A115,tProd[[Measurement Type]],"Weighing")),"")))</f>
        <v/>
      </c>
    </row>
    <row r="116">
      <c r="A116" s="27">
        <f>IFERROR(INDEX(tBatches[[Batch ID]],112)&amp;"","")</f>
        <v/>
      </c>
      <c r="B116" s="36">
        <f>IF($A116="","",INDEX(tBatches[[Pen ID]],112)&amp;"")</f>
        <v/>
      </c>
      <c r="C116" s="36">
        <f>IF($A116="","",INDEX(tBatches[[Animal Type]],112)&amp;"")</f>
        <v/>
      </c>
      <c r="D116" s="31">
        <f>IF($A116="","",INDEX(tBatches[[Batch Start Date]],112))</f>
        <v/>
      </c>
      <c r="E116" s="36">
        <f>IF($A116="","",INDEX(tBatches[[Status]],112)&amp;"")</f>
        <v/>
      </c>
      <c r="F116" s="31">
        <f>IF($A116="","",IF(N(INDEX(tBatches[[Closing Date]],112))=0,"",INDEX(tBatches[[Closing Date]],112)))</f>
        <v/>
      </c>
      <c r="G116" s="39">
        <f>IF($A116="","",INDEX(tBatches[[Age (days)]],112))</f>
        <v/>
      </c>
      <c r="H116" s="39">
        <f>IF($A116="","",N(INDEX(tBatches[[Initial Quantity]],112)))</f>
        <v/>
      </c>
      <c r="I116" s="39">
        <f>IF($A116="","",INDEX(tBatches[[Transfers In / Added]],112))</f>
        <v/>
      </c>
      <c r="J116" s="39">
        <f>IF($A116="","",INDEX(tBatches[[Deaths]],112))</f>
        <v/>
      </c>
      <c r="K116" s="39">
        <f>IF($A116="","",INDEX(tBatches[[Heads Sold]],112))</f>
        <v/>
      </c>
      <c r="L116" s="39">
        <f>IF($A116="","",INDEX(tBatches[[Transfers Out]],112))</f>
        <v/>
      </c>
      <c r="M116" s="39">
        <f>IF($A116="","",INDEX(tBatches[[Current Quantity]],112))</f>
        <v/>
      </c>
      <c r="N116" s="40">
        <f>IF($A116="","",IFERROR(J116/(H116+I116),0))</f>
        <v/>
      </c>
      <c r="O116" s="28">
        <f>IF($A116="","",SUMIFS(tFeedIss[[Quantity Issued in kg]],tFeedIss[[Batch ID]],$A116))</f>
        <v/>
      </c>
      <c r="P116" s="29">
        <f>IF($A116="","",SUMIFS(tFeedIss[[Total Cost]],tFeedIss[[Batch ID]],$A116))</f>
        <v/>
      </c>
      <c r="Q116" s="29">
        <f>IF($A116="","",SUMIFS(tDrugUse[[Total Cost]],tDrugUse[[Batch ID]],$A116))</f>
        <v/>
      </c>
      <c r="R116" s="29">
        <f>IF($A116="","",SUMIFS(tExp[[Amount]],tExp[[Batch ID (if applicable)]],$A116))</f>
        <v/>
      </c>
      <c r="S116" s="41">
        <f>IF($A116="","",P116+Q116+R116)</f>
        <v/>
      </c>
      <c r="T116" s="41">
        <f>IF($A116="","",SUMIFS(tSales[[Total Revenue]],tSales[[Batch ID]],$A116))</f>
        <v/>
      </c>
      <c r="U116" s="41">
        <f>IF($A116="","",T116-S116)</f>
        <v/>
      </c>
      <c r="V116" s="29">
        <f>IF($A116="","",IFERROR(S116/(H116+I116),""))</f>
        <v/>
      </c>
      <c r="W116" s="29">
        <f>IF($A116="","",IF(K116=0,"",T116/K116))</f>
        <v/>
      </c>
      <c r="X116" s="42">
        <f>IF($A116="","",IFERROR(O116/(H116+I116),""))</f>
        <v/>
      </c>
      <c r="Y116" s="43">
        <f>IF($A116="","",IF(_xlfn.MAXIFS(tProd[[Date]],tProd[[Batch ID]],$A116,tProd[[Measurement Type]],"Weighing")=0,"",IFERROR(AVERAGEIFS(tProd[[Average Weight kg]],tProd[[Batch ID]],$A116,tProd[[Measurement Type]],"Weighing",tProd[[Date]],_xlfn.MAXIFS(tProd[[Date]],tProd[[Batch ID]],$A116,tProd[[Measurement Type]],"Weighing")),"")))</f>
        <v/>
      </c>
    </row>
    <row r="117">
      <c r="A117" s="27">
        <f>IFERROR(INDEX(tBatches[[Batch ID]],113)&amp;"","")</f>
        <v/>
      </c>
      <c r="B117" s="36">
        <f>IF($A117="","",INDEX(tBatches[[Pen ID]],113)&amp;"")</f>
        <v/>
      </c>
      <c r="C117" s="36">
        <f>IF($A117="","",INDEX(tBatches[[Animal Type]],113)&amp;"")</f>
        <v/>
      </c>
      <c r="D117" s="31">
        <f>IF($A117="","",INDEX(tBatches[[Batch Start Date]],113))</f>
        <v/>
      </c>
      <c r="E117" s="36">
        <f>IF($A117="","",INDEX(tBatches[[Status]],113)&amp;"")</f>
        <v/>
      </c>
      <c r="F117" s="31">
        <f>IF($A117="","",IF(N(INDEX(tBatches[[Closing Date]],113))=0,"",INDEX(tBatches[[Closing Date]],113)))</f>
        <v/>
      </c>
      <c r="G117" s="39">
        <f>IF($A117="","",INDEX(tBatches[[Age (days)]],113))</f>
        <v/>
      </c>
      <c r="H117" s="39">
        <f>IF($A117="","",N(INDEX(tBatches[[Initial Quantity]],113)))</f>
        <v/>
      </c>
      <c r="I117" s="39">
        <f>IF($A117="","",INDEX(tBatches[[Transfers In / Added]],113))</f>
        <v/>
      </c>
      <c r="J117" s="39">
        <f>IF($A117="","",INDEX(tBatches[[Deaths]],113))</f>
        <v/>
      </c>
      <c r="K117" s="39">
        <f>IF($A117="","",INDEX(tBatches[[Heads Sold]],113))</f>
        <v/>
      </c>
      <c r="L117" s="39">
        <f>IF($A117="","",INDEX(tBatches[[Transfers Out]],113))</f>
        <v/>
      </c>
      <c r="M117" s="39">
        <f>IF($A117="","",INDEX(tBatches[[Current Quantity]],113))</f>
        <v/>
      </c>
      <c r="N117" s="40">
        <f>IF($A117="","",IFERROR(J117/(H117+I117),0))</f>
        <v/>
      </c>
      <c r="O117" s="28">
        <f>IF($A117="","",SUMIFS(tFeedIss[[Quantity Issued in kg]],tFeedIss[[Batch ID]],$A117))</f>
        <v/>
      </c>
      <c r="P117" s="29">
        <f>IF($A117="","",SUMIFS(tFeedIss[[Total Cost]],tFeedIss[[Batch ID]],$A117))</f>
        <v/>
      </c>
      <c r="Q117" s="29">
        <f>IF($A117="","",SUMIFS(tDrugUse[[Total Cost]],tDrugUse[[Batch ID]],$A117))</f>
        <v/>
      </c>
      <c r="R117" s="29">
        <f>IF($A117="","",SUMIFS(tExp[[Amount]],tExp[[Batch ID (if applicable)]],$A117))</f>
        <v/>
      </c>
      <c r="S117" s="41">
        <f>IF($A117="","",P117+Q117+R117)</f>
        <v/>
      </c>
      <c r="T117" s="41">
        <f>IF($A117="","",SUMIFS(tSales[[Total Revenue]],tSales[[Batch ID]],$A117))</f>
        <v/>
      </c>
      <c r="U117" s="41">
        <f>IF($A117="","",T117-S117)</f>
        <v/>
      </c>
      <c r="V117" s="29">
        <f>IF($A117="","",IFERROR(S117/(H117+I117),""))</f>
        <v/>
      </c>
      <c r="W117" s="29">
        <f>IF($A117="","",IF(K117=0,"",T117/K117))</f>
        <v/>
      </c>
      <c r="X117" s="42">
        <f>IF($A117="","",IFERROR(O117/(H117+I117),""))</f>
        <v/>
      </c>
      <c r="Y117" s="43">
        <f>IF($A117="","",IF(_xlfn.MAXIFS(tProd[[Date]],tProd[[Batch ID]],$A117,tProd[[Measurement Type]],"Weighing")=0,"",IFERROR(AVERAGEIFS(tProd[[Average Weight kg]],tProd[[Batch ID]],$A117,tProd[[Measurement Type]],"Weighing",tProd[[Date]],_xlfn.MAXIFS(tProd[[Date]],tProd[[Batch ID]],$A117,tProd[[Measurement Type]],"Weighing")),"")))</f>
        <v/>
      </c>
    </row>
    <row r="118">
      <c r="A118" s="27">
        <f>IFERROR(INDEX(tBatches[[Batch ID]],114)&amp;"","")</f>
        <v/>
      </c>
      <c r="B118" s="36">
        <f>IF($A118="","",INDEX(tBatches[[Pen ID]],114)&amp;"")</f>
        <v/>
      </c>
      <c r="C118" s="36">
        <f>IF($A118="","",INDEX(tBatches[[Animal Type]],114)&amp;"")</f>
        <v/>
      </c>
      <c r="D118" s="31">
        <f>IF($A118="","",INDEX(tBatches[[Batch Start Date]],114))</f>
        <v/>
      </c>
      <c r="E118" s="36">
        <f>IF($A118="","",INDEX(tBatches[[Status]],114)&amp;"")</f>
        <v/>
      </c>
      <c r="F118" s="31">
        <f>IF($A118="","",IF(N(INDEX(tBatches[[Closing Date]],114))=0,"",INDEX(tBatches[[Closing Date]],114)))</f>
        <v/>
      </c>
      <c r="G118" s="39">
        <f>IF($A118="","",INDEX(tBatches[[Age (days)]],114))</f>
        <v/>
      </c>
      <c r="H118" s="39">
        <f>IF($A118="","",N(INDEX(tBatches[[Initial Quantity]],114)))</f>
        <v/>
      </c>
      <c r="I118" s="39">
        <f>IF($A118="","",INDEX(tBatches[[Transfers In / Added]],114))</f>
        <v/>
      </c>
      <c r="J118" s="39">
        <f>IF($A118="","",INDEX(tBatches[[Deaths]],114))</f>
        <v/>
      </c>
      <c r="K118" s="39">
        <f>IF($A118="","",INDEX(tBatches[[Heads Sold]],114))</f>
        <v/>
      </c>
      <c r="L118" s="39">
        <f>IF($A118="","",INDEX(tBatches[[Transfers Out]],114))</f>
        <v/>
      </c>
      <c r="M118" s="39">
        <f>IF($A118="","",INDEX(tBatches[[Current Quantity]],114))</f>
        <v/>
      </c>
      <c r="N118" s="40">
        <f>IF($A118="","",IFERROR(J118/(H118+I118),0))</f>
        <v/>
      </c>
      <c r="O118" s="28">
        <f>IF($A118="","",SUMIFS(tFeedIss[[Quantity Issued in kg]],tFeedIss[[Batch ID]],$A118))</f>
        <v/>
      </c>
      <c r="P118" s="29">
        <f>IF($A118="","",SUMIFS(tFeedIss[[Total Cost]],tFeedIss[[Batch ID]],$A118))</f>
        <v/>
      </c>
      <c r="Q118" s="29">
        <f>IF($A118="","",SUMIFS(tDrugUse[[Total Cost]],tDrugUse[[Batch ID]],$A118))</f>
        <v/>
      </c>
      <c r="R118" s="29">
        <f>IF($A118="","",SUMIFS(tExp[[Amount]],tExp[[Batch ID (if applicable)]],$A118))</f>
        <v/>
      </c>
      <c r="S118" s="41">
        <f>IF($A118="","",P118+Q118+R118)</f>
        <v/>
      </c>
      <c r="T118" s="41">
        <f>IF($A118="","",SUMIFS(tSales[[Total Revenue]],tSales[[Batch ID]],$A118))</f>
        <v/>
      </c>
      <c r="U118" s="41">
        <f>IF($A118="","",T118-S118)</f>
        <v/>
      </c>
      <c r="V118" s="29">
        <f>IF($A118="","",IFERROR(S118/(H118+I118),""))</f>
        <v/>
      </c>
      <c r="W118" s="29">
        <f>IF($A118="","",IF(K118=0,"",T118/K118))</f>
        <v/>
      </c>
      <c r="X118" s="42">
        <f>IF($A118="","",IFERROR(O118/(H118+I118),""))</f>
        <v/>
      </c>
      <c r="Y118" s="43">
        <f>IF($A118="","",IF(_xlfn.MAXIFS(tProd[[Date]],tProd[[Batch ID]],$A118,tProd[[Measurement Type]],"Weighing")=0,"",IFERROR(AVERAGEIFS(tProd[[Average Weight kg]],tProd[[Batch ID]],$A118,tProd[[Measurement Type]],"Weighing",tProd[[Date]],_xlfn.MAXIFS(tProd[[Date]],tProd[[Batch ID]],$A118,tProd[[Measurement Type]],"Weighing")),"")))</f>
        <v/>
      </c>
    </row>
    <row r="119">
      <c r="A119" s="27">
        <f>IFERROR(INDEX(tBatches[[Batch ID]],115)&amp;"","")</f>
        <v/>
      </c>
      <c r="B119" s="36">
        <f>IF($A119="","",INDEX(tBatches[[Pen ID]],115)&amp;"")</f>
        <v/>
      </c>
      <c r="C119" s="36">
        <f>IF($A119="","",INDEX(tBatches[[Animal Type]],115)&amp;"")</f>
        <v/>
      </c>
      <c r="D119" s="31">
        <f>IF($A119="","",INDEX(tBatches[[Batch Start Date]],115))</f>
        <v/>
      </c>
      <c r="E119" s="36">
        <f>IF($A119="","",INDEX(tBatches[[Status]],115)&amp;"")</f>
        <v/>
      </c>
      <c r="F119" s="31">
        <f>IF($A119="","",IF(N(INDEX(tBatches[[Closing Date]],115))=0,"",INDEX(tBatches[[Closing Date]],115)))</f>
        <v/>
      </c>
      <c r="G119" s="39">
        <f>IF($A119="","",INDEX(tBatches[[Age (days)]],115))</f>
        <v/>
      </c>
      <c r="H119" s="39">
        <f>IF($A119="","",N(INDEX(tBatches[[Initial Quantity]],115)))</f>
        <v/>
      </c>
      <c r="I119" s="39">
        <f>IF($A119="","",INDEX(tBatches[[Transfers In / Added]],115))</f>
        <v/>
      </c>
      <c r="J119" s="39">
        <f>IF($A119="","",INDEX(tBatches[[Deaths]],115))</f>
        <v/>
      </c>
      <c r="K119" s="39">
        <f>IF($A119="","",INDEX(tBatches[[Heads Sold]],115))</f>
        <v/>
      </c>
      <c r="L119" s="39">
        <f>IF($A119="","",INDEX(tBatches[[Transfers Out]],115))</f>
        <v/>
      </c>
      <c r="M119" s="39">
        <f>IF($A119="","",INDEX(tBatches[[Current Quantity]],115))</f>
        <v/>
      </c>
      <c r="N119" s="40">
        <f>IF($A119="","",IFERROR(J119/(H119+I119),0))</f>
        <v/>
      </c>
      <c r="O119" s="28">
        <f>IF($A119="","",SUMIFS(tFeedIss[[Quantity Issued in kg]],tFeedIss[[Batch ID]],$A119))</f>
        <v/>
      </c>
      <c r="P119" s="29">
        <f>IF($A119="","",SUMIFS(tFeedIss[[Total Cost]],tFeedIss[[Batch ID]],$A119))</f>
        <v/>
      </c>
      <c r="Q119" s="29">
        <f>IF($A119="","",SUMIFS(tDrugUse[[Total Cost]],tDrugUse[[Batch ID]],$A119))</f>
        <v/>
      </c>
      <c r="R119" s="29">
        <f>IF($A119="","",SUMIFS(tExp[[Amount]],tExp[[Batch ID (if applicable)]],$A119))</f>
        <v/>
      </c>
      <c r="S119" s="41">
        <f>IF($A119="","",P119+Q119+R119)</f>
        <v/>
      </c>
      <c r="T119" s="41">
        <f>IF($A119="","",SUMIFS(tSales[[Total Revenue]],tSales[[Batch ID]],$A119))</f>
        <v/>
      </c>
      <c r="U119" s="41">
        <f>IF($A119="","",T119-S119)</f>
        <v/>
      </c>
      <c r="V119" s="29">
        <f>IF($A119="","",IFERROR(S119/(H119+I119),""))</f>
        <v/>
      </c>
      <c r="W119" s="29">
        <f>IF($A119="","",IF(K119=0,"",T119/K119))</f>
        <v/>
      </c>
      <c r="X119" s="42">
        <f>IF($A119="","",IFERROR(O119/(H119+I119),""))</f>
        <v/>
      </c>
      <c r="Y119" s="43">
        <f>IF($A119="","",IF(_xlfn.MAXIFS(tProd[[Date]],tProd[[Batch ID]],$A119,tProd[[Measurement Type]],"Weighing")=0,"",IFERROR(AVERAGEIFS(tProd[[Average Weight kg]],tProd[[Batch ID]],$A119,tProd[[Measurement Type]],"Weighing",tProd[[Date]],_xlfn.MAXIFS(tProd[[Date]],tProd[[Batch ID]],$A119,tProd[[Measurement Type]],"Weighing")),"")))</f>
        <v/>
      </c>
    </row>
    <row r="120">
      <c r="A120" s="27">
        <f>IFERROR(INDEX(tBatches[[Batch ID]],116)&amp;"","")</f>
        <v/>
      </c>
      <c r="B120" s="36">
        <f>IF($A120="","",INDEX(tBatches[[Pen ID]],116)&amp;"")</f>
        <v/>
      </c>
      <c r="C120" s="36">
        <f>IF($A120="","",INDEX(tBatches[[Animal Type]],116)&amp;"")</f>
        <v/>
      </c>
      <c r="D120" s="31">
        <f>IF($A120="","",INDEX(tBatches[[Batch Start Date]],116))</f>
        <v/>
      </c>
      <c r="E120" s="36">
        <f>IF($A120="","",INDEX(tBatches[[Status]],116)&amp;"")</f>
        <v/>
      </c>
      <c r="F120" s="31">
        <f>IF($A120="","",IF(N(INDEX(tBatches[[Closing Date]],116))=0,"",INDEX(tBatches[[Closing Date]],116)))</f>
        <v/>
      </c>
      <c r="G120" s="39">
        <f>IF($A120="","",INDEX(tBatches[[Age (days)]],116))</f>
        <v/>
      </c>
      <c r="H120" s="39">
        <f>IF($A120="","",N(INDEX(tBatches[[Initial Quantity]],116)))</f>
        <v/>
      </c>
      <c r="I120" s="39">
        <f>IF($A120="","",INDEX(tBatches[[Transfers In / Added]],116))</f>
        <v/>
      </c>
      <c r="J120" s="39">
        <f>IF($A120="","",INDEX(tBatches[[Deaths]],116))</f>
        <v/>
      </c>
      <c r="K120" s="39">
        <f>IF($A120="","",INDEX(tBatches[[Heads Sold]],116))</f>
        <v/>
      </c>
      <c r="L120" s="39">
        <f>IF($A120="","",INDEX(tBatches[[Transfers Out]],116))</f>
        <v/>
      </c>
      <c r="M120" s="39">
        <f>IF($A120="","",INDEX(tBatches[[Current Quantity]],116))</f>
        <v/>
      </c>
      <c r="N120" s="40">
        <f>IF($A120="","",IFERROR(J120/(H120+I120),0))</f>
        <v/>
      </c>
      <c r="O120" s="28">
        <f>IF($A120="","",SUMIFS(tFeedIss[[Quantity Issued in kg]],tFeedIss[[Batch ID]],$A120))</f>
        <v/>
      </c>
      <c r="P120" s="29">
        <f>IF($A120="","",SUMIFS(tFeedIss[[Total Cost]],tFeedIss[[Batch ID]],$A120))</f>
        <v/>
      </c>
      <c r="Q120" s="29">
        <f>IF($A120="","",SUMIFS(tDrugUse[[Total Cost]],tDrugUse[[Batch ID]],$A120))</f>
        <v/>
      </c>
      <c r="R120" s="29">
        <f>IF($A120="","",SUMIFS(tExp[[Amount]],tExp[[Batch ID (if applicable)]],$A120))</f>
        <v/>
      </c>
      <c r="S120" s="41">
        <f>IF($A120="","",P120+Q120+R120)</f>
        <v/>
      </c>
      <c r="T120" s="41">
        <f>IF($A120="","",SUMIFS(tSales[[Total Revenue]],tSales[[Batch ID]],$A120))</f>
        <v/>
      </c>
      <c r="U120" s="41">
        <f>IF($A120="","",T120-S120)</f>
        <v/>
      </c>
      <c r="V120" s="29">
        <f>IF($A120="","",IFERROR(S120/(H120+I120),""))</f>
        <v/>
      </c>
      <c r="W120" s="29">
        <f>IF($A120="","",IF(K120=0,"",T120/K120))</f>
        <v/>
      </c>
      <c r="X120" s="42">
        <f>IF($A120="","",IFERROR(O120/(H120+I120),""))</f>
        <v/>
      </c>
      <c r="Y120" s="43">
        <f>IF($A120="","",IF(_xlfn.MAXIFS(tProd[[Date]],tProd[[Batch ID]],$A120,tProd[[Measurement Type]],"Weighing")=0,"",IFERROR(AVERAGEIFS(tProd[[Average Weight kg]],tProd[[Batch ID]],$A120,tProd[[Measurement Type]],"Weighing",tProd[[Date]],_xlfn.MAXIFS(tProd[[Date]],tProd[[Batch ID]],$A120,tProd[[Measurement Type]],"Weighing")),"")))</f>
        <v/>
      </c>
    </row>
    <row r="121">
      <c r="A121" s="27">
        <f>IFERROR(INDEX(tBatches[[Batch ID]],117)&amp;"","")</f>
        <v/>
      </c>
      <c r="B121" s="36">
        <f>IF($A121="","",INDEX(tBatches[[Pen ID]],117)&amp;"")</f>
        <v/>
      </c>
      <c r="C121" s="36">
        <f>IF($A121="","",INDEX(tBatches[[Animal Type]],117)&amp;"")</f>
        <v/>
      </c>
      <c r="D121" s="31">
        <f>IF($A121="","",INDEX(tBatches[[Batch Start Date]],117))</f>
        <v/>
      </c>
      <c r="E121" s="36">
        <f>IF($A121="","",INDEX(tBatches[[Status]],117)&amp;"")</f>
        <v/>
      </c>
      <c r="F121" s="31">
        <f>IF($A121="","",IF(N(INDEX(tBatches[[Closing Date]],117))=0,"",INDEX(tBatches[[Closing Date]],117)))</f>
        <v/>
      </c>
      <c r="G121" s="39">
        <f>IF($A121="","",INDEX(tBatches[[Age (days)]],117))</f>
        <v/>
      </c>
      <c r="H121" s="39">
        <f>IF($A121="","",N(INDEX(tBatches[[Initial Quantity]],117)))</f>
        <v/>
      </c>
      <c r="I121" s="39">
        <f>IF($A121="","",INDEX(tBatches[[Transfers In / Added]],117))</f>
        <v/>
      </c>
      <c r="J121" s="39">
        <f>IF($A121="","",INDEX(tBatches[[Deaths]],117))</f>
        <v/>
      </c>
      <c r="K121" s="39">
        <f>IF($A121="","",INDEX(tBatches[[Heads Sold]],117))</f>
        <v/>
      </c>
      <c r="L121" s="39">
        <f>IF($A121="","",INDEX(tBatches[[Transfers Out]],117))</f>
        <v/>
      </c>
      <c r="M121" s="39">
        <f>IF($A121="","",INDEX(tBatches[[Current Quantity]],117))</f>
        <v/>
      </c>
      <c r="N121" s="40">
        <f>IF($A121="","",IFERROR(J121/(H121+I121),0))</f>
        <v/>
      </c>
      <c r="O121" s="28">
        <f>IF($A121="","",SUMIFS(tFeedIss[[Quantity Issued in kg]],tFeedIss[[Batch ID]],$A121))</f>
        <v/>
      </c>
      <c r="P121" s="29">
        <f>IF($A121="","",SUMIFS(tFeedIss[[Total Cost]],tFeedIss[[Batch ID]],$A121))</f>
        <v/>
      </c>
      <c r="Q121" s="29">
        <f>IF($A121="","",SUMIFS(tDrugUse[[Total Cost]],tDrugUse[[Batch ID]],$A121))</f>
        <v/>
      </c>
      <c r="R121" s="29">
        <f>IF($A121="","",SUMIFS(tExp[[Amount]],tExp[[Batch ID (if applicable)]],$A121))</f>
        <v/>
      </c>
      <c r="S121" s="41">
        <f>IF($A121="","",P121+Q121+R121)</f>
        <v/>
      </c>
      <c r="T121" s="41">
        <f>IF($A121="","",SUMIFS(tSales[[Total Revenue]],tSales[[Batch ID]],$A121))</f>
        <v/>
      </c>
      <c r="U121" s="41">
        <f>IF($A121="","",T121-S121)</f>
        <v/>
      </c>
      <c r="V121" s="29">
        <f>IF($A121="","",IFERROR(S121/(H121+I121),""))</f>
        <v/>
      </c>
      <c r="W121" s="29">
        <f>IF($A121="","",IF(K121=0,"",T121/K121))</f>
        <v/>
      </c>
      <c r="X121" s="42">
        <f>IF($A121="","",IFERROR(O121/(H121+I121),""))</f>
        <v/>
      </c>
      <c r="Y121" s="43">
        <f>IF($A121="","",IF(_xlfn.MAXIFS(tProd[[Date]],tProd[[Batch ID]],$A121,tProd[[Measurement Type]],"Weighing")=0,"",IFERROR(AVERAGEIFS(tProd[[Average Weight kg]],tProd[[Batch ID]],$A121,tProd[[Measurement Type]],"Weighing",tProd[[Date]],_xlfn.MAXIFS(tProd[[Date]],tProd[[Batch ID]],$A121,tProd[[Measurement Type]],"Weighing")),"")))</f>
        <v/>
      </c>
    </row>
    <row r="122">
      <c r="A122" s="27">
        <f>IFERROR(INDEX(tBatches[[Batch ID]],118)&amp;"","")</f>
        <v/>
      </c>
      <c r="B122" s="36">
        <f>IF($A122="","",INDEX(tBatches[[Pen ID]],118)&amp;"")</f>
        <v/>
      </c>
      <c r="C122" s="36">
        <f>IF($A122="","",INDEX(tBatches[[Animal Type]],118)&amp;"")</f>
        <v/>
      </c>
      <c r="D122" s="31">
        <f>IF($A122="","",INDEX(tBatches[[Batch Start Date]],118))</f>
        <v/>
      </c>
      <c r="E122" s="36">
        <f>IF($A122="","",INDEX(tBatches[[Status]],118)&amp;"")</f>
        <v/>
      </c>
      <c r="F122" s="31">
        <f>IF($A122="","",IF(N(INDEX(tBatches[[Closing Date]],118))=0,"",INDEX(tBatches[[Closing Date]],118)))</f>
        <v/>
      </c>
      <c r="G122" s="39">
        <f>IF($A122="","",INDEX(tBatches[[Age (days)]],118))</f>
        <v/>
      </c>
      <c r="H122" s="39">
        <f>IF($A122="","",N(INDEX(tBatches[[Initial Quantity]],118)))</f>
        <v/>
      </c>
      <c r="I122" s="39">
        <f>IF($A122="","",INDEX(tBatches[[Transfers In / Added]],118))</f>
        <v/>
      </c>
      <c r="J122" s="39">
        <f>IF($A122="","",INDEX(tBatches[[Deaths]],118))</f>
        <v/>
      </c>
      <c r="K122" s="39">
        <f>IF($A122="","",INDEX(tBatches[[Heads Sold]],118))</f>
        <v/>
      </c>
      <c r="L122" s="39">
        <f>IF($A122="","",INDEX(tBatches[[Transfers Out]],118))</f>
        <v/>
      </c>
      <c r="M122" s="39">
        <f>IF($A122="","",INDEX(tBatches[[Current Quantity]],118))</f>
        <v/>
      </c>
      <c r="N122" s="40">
        <f>IF($A122="","",IFERROR(J122/(H122+I122),0))</f>
        <v/>
      </c>
      <c r="O122" s="28">
        <f>IF($A122="","",SUMIFS(tFeedIss[[Quantity Issued in kg]],tFeedIss[[Batch ID]],$A122))</f>
        <v/>
      </c>
      <c r="P122" s="29">
        <f>IF($A122="","",SUMIFS(tFeedIss[[Total Cost]],tFeedIss[[Batch ID]],$A122))</f>
        <v/>
      </c>
      <c r="Q122" s="29">
        <f>IF($A122="","",SUMIFS(tDrugUse[[Total Cost]],tDrugUse[[Batch ID]],$A122))</f>
        <v/>
      </c>
      <c r="R122" s="29">
        <f>IF($A122="","",SUMIFS(tExp[[Amount]],tExp[[Batch ID (if applicable)]],$A122))</f>
        <v/>
      </c>
      <c r="S122" s="41">
        <f>IF($A122="","",P122+Q122+R122)</f>
        <v/>
      </c>
      <c r="T122" s="41">
        <f>IF($A122="","",SUMIFS(tSales[[Total Revenue]],tSales[[Batch ID]],$A122))</f>
        <v/>
      </c>
      <c r="U122" s="41">
        <f>IF($A122="","",T122-S122)</f>
        <v/>
      </c>
      <c r="V122" s="29">
        <f>IF($A122="","",IFERROR(S122/(H122+I122),""))</f>
        <v/>
      </c>
      <c r="W122" s="29">
        <f>IF($A122="","",IF(K122=0,"",T122/K122))</f>
        <v/>
      </c>
      <c r="X122" s="42">
        <f>IF($A122="","",IFERROR(O122/(H122+I122),""))</f>
        <v/>
      </c>
      <c r="Y122" s="43">
        <f>IF($A122="","",IF(_xlfn.MAXIFS(tProd[[Date]],tProd[[Batch ID]],$A122,tProd[[Measurement Type]],"Weighing")=0,"",IFERROR(AVERAGEIFS(tProd[[Average Weight kg]],tProd[[Batch ID]],$A122,tProd[[Measurement Type]],"Weighing",tProd[[Date]],_xlfn.MAXIFS(tProd[[Date]],tProd[[Batch ID]],$A122,tProd[[Measurement Type]],"Weighing")),"")))</f>
        <v/>
      </c>
    </row>
    <row r="123">
      <c r="A123" s="27">
        <f>IFERROR(INDEX(tBatches[[Batch ID]],119)&amp;"","")</f>
        <v/>
      </c>
      <c r="B123" s="36">
        <f>IF($A123="","",INDEX(tBatches[[Pen ID]],119)&amp;"")</f>
        <v/>
      </c>
      <c r="C123" s="36">
        <f>IF($A123="","",INDEX(tBatches[[Animal Type]],119)&amp;"")</f>
        <v/>
      </c>
      <c r="D123" s="31">
        <f>IF($A123="","",INDEX(tBatches[[Batch Start Date]],119))</f>
        <v/>
      </c>
      <c r="E123" s="36">
        <f>IF($A123="","",INDEX(tBatches[[Status]],119)&amp;"")</f>
        <v/>
      </c>
      <c r="F123" s="31">
        <f>IF($A123="","",IF(N(INDEX(tBatches[[Closing Date]],119))=0,"",INDEX(tBatches[[Closing Date]],119)))</f>
        <v/>
      </c>
      <c r="G123" s="39">
        <f>IF($A123="","",INDEX(tBatches[[Age (days)]],119))</f>
        <v/>
      </c>
      <c r="H123" s="39">
        <f>IF($A123="","",N(INDEX(tBatches[[Initial Quantity]],119)))</f>
        <v/>
      </c>
      <c r="I123" s="39">
        <f>IF($A123="","",INDEX(tBatches[[Transfers In / Added]],119))</f>
        <v/>
      </c>
      <c r="J123" s="39">
        <f>IF($A123="","",INDEX(tBatches[[Deaths]],119))</f>
        <v/>
      </c>
      <c r="K123" s="39">
        <f>IF($A123="","",INDEX(tBatches[[Heads Sold]],119))</f>
        <v/>
      </c>
      <c r="L123" s="39">
        <f>IF($A123="","",INDEX(tBatches[[Transfers Out]],119))</f>
        <v/>
      </c>
      <c r="M123" s="39">
        <f>IF($A123="","",INDEX(tBatches[[Current Quantity]],119))</f>
        <v/>
      </c>
      <c r="N123" s="40">
        <f>IF($A123="","",IFERROR(J123/(H123+I123),0))</f>
        <v/>
      </c>
      <c r="O123" s="28">
        <f>IF($A123="","",SUMIFS(tFeedIss[[Quantity Issued in kg]],tFeedIss[[Batch ID]],$A123))</f>
        <v/>
      </c>
      <c r="P123" s="29">
        <f>IF($A123="","",SUMIFS(tFeedIss[[Total Cost]],tFeedIss[[Batch ID]],$A123))</f>
        <v/>
      </c>
      <c r="Q123" s="29">
        <f>IF($A123="","",SUMIFS(tDrugUse[[Total Cost]],tDrugUse[[Batch ID]],$A123))</f>
        <v/>
      </c>
      <c r="R123" s="29">
        <f>IF($A123="","",SUMIFS(tExp[[Amount]],tExp[[Batch ID (if applicable)]],$A123))</f>
        <v/>
      </c>
      <c r="S123" s="41">
        <f>IF($A123="","",P123+Q123+R123)</f>
        <v/>
      </c>
      <c r="T123" s="41">
        <f>IF($A123="","",SUMIFS(tSales[[Total Revenue]],tSales[[Batch ID]],$A123))</f>
        <v/>
      </c>
      <c r="U123" s="41">
        <f>IF($A123="","",T123-S123)</f>
        <v/>
      </c>
      <c r="V123" s="29">
        <f>IF($A123="","",IFERROR(S123/(H123+I123),""))</f>
        <v/>
      </c>
      <c r="W123" s="29">
        <f>IF($A123="","",IF(K123=0,"",T123/K123))</f>
        <v/>
      </c>
      <c r="X123" s="42">
        <f>IF($A123="","",IFERROR(O123/(H123+I123),""))</f>
        <v/>
      </c>
      <c r="Y123" s="43">
        <f>IF($A123="","",IF(_xlfn.MAXIFS(tProd[[Date]],tProd[[Batch ID]],$A123,tProd[[Measurement Type]],"Weighing")=0,"",IFERROR(AVERAGEIFS(tProd[[Average Weight kg]],tProd[[Batch ID]],$A123,tProd[[Measurement Type]],"Weighing",tProd[[Date]],_xlfn.MAXIFS(tProd[[Date]],tProd[[Batch ID]],$A123,tProd[[Measurement Type]],"Weighing")),"")))</f>
        <v/>
      </c>
    </row>
    <row r="124">
      <c r="A124" s="27">
        <f>IFERROR(INDEX(tBatches[[Batch ID]],120)&amp;"","")</f>
        <v/>
      </c>
      <c r="B124" s="36">
        <f>IF($A124="","",INDEX(tBatches[[Pen ID]],120)&amp;"")</f>
        <v/>
      </c>
      <c r="C124" s="36">
        <f>IF($A124="","",INDEX(tBatches[[Animal Type]],120)&amp;"")</f>
        <v/>
      </c>
      <c r="D124" s="31">
        <f>IF($A124="","",INDEX(tBatches[[Batch Start Date]],120))</f>
        <v/>
      </c>
      <c r="E124" s="36">
        <f>IF($A124="","",INDEX(tBatches[[Status]],120)&amp;"")</f>
        <v/>
      </c>
      <c r="F124" s="31">
        <f>IF($A124="","",IF(N(INDEX(tBatches[[Closing Date]],120))=0,"",INDEX(tBatches[[Closing Date]],120)))</f>
        <v/>
      </c>
      <c r="G124" s="39">
        <f>IF($A124="","",INDEX(tBatches[[Age (days)]],120))</f>
        <v/>
      </c>
      <c r="H124" s="39">
        <f>IF($A124="","",N(INDEX(tBatches[[Initial Quantity]],120)))</f>
        <v/>
      </c>
      <c r="I124" s="39">
        <f>IF($A124="","",INDEX(tBatches[[Transfers In / Added]],120))</f>
        <v/>
      </c>
      <c r="J124" s="39">
        <f>IF($A124="","",INDEX(tBatches[[Deaths]],120))</f>
        <v/>
      </c>
      <c r="K124" s="39">
        <f>IF($A124="","",INDEX(tBatches[[Heads Sold]],120))</f>
        <v/>
      </c>
      <c r="L124" s="39">
        <f>IF($A124="","",INDEX(tBatches[[Transfers Out]],120))</f>
        <v/>
      </c>
      <c r="M124" s="39">
        <f>IF($A124="","",INDEX(tBatches[[Current Quantity]],120))</f>
        <v/>
      </c>
      <c r="N124" s="40">
        <f>IF($A124="","",IFERROR(J124/(H124+I124),0))</f>
        <v/>
      </c>
      <c r="O124" s="28">
        <f>IF($A124="","",SUMIFS(tFeedIss[[Quantity Issued in kg]],tFeedIss[[Batch ID]],$A124))</f>
        <v/>
      </c>
      <c r="P124" s="29">
        <f>IF($A124="","",SUMIFS(tFeedIss[[Total Cost]],tFeedIss[[Batch ID]],$A124))</f>
        <v/>
      </c>
      <c r="Q124" s="29">
        <f>IF($A124="","",SUMIFS(tDrugUse[[Total Cost]],tDrugUse[[Batch ID]],$A124))</f>
        <v/>
      </c>
      <c r="R124" s="29">
        <f>IF($A124="","",SUMIFS(tExp[[Amount]],tExp[[Batch ID (if applicable)]],$A124))</f>
        <v/>
      </c>
      <c r="S124" s="41">
        <f>IF($A124="","",P124+Q124+R124)</f>
        <v/>
      </c>
      <c r="T124" s="41">
        <f>IF($A124="","",SUMIFS(tSales[[Total Revenue]],tSales[[Batch ID]],$A124))</f>
        <v/>
      </c>
      <c r="U124" s="41">
        <f>IF($A124="","",T124-S124)</f>
        <v/>
      </c>
      <c r="V124" s="29">
        <f>IF($A124="","",IFERROR(S124/(H124+I124),""))</f>
        <v/>
      </c>
      <c r="W124" s="29">
        <f>IF($A124="","",IF(K124=0,"",T124/K124))</f>
        <v/>
      </c>
      <c r="X124" s="42">
        <f>IF($A124="","",IFERROR(O124/(H124+I124),""))</f>
        <v/>
      </c>
      <c r="Y124" s="43">
        <f>IF($A124="","",IF(_xlfn.MAXIFS(tProd[[Date]],tProd[[Batch ID]],$A124,tProd[[Measurement Type]],"Weighing")=0,"",IFERROR(AVERAGEIFS(tProd[[Average Weight kg]],tProd[[Batch ID]],$A124,tProd[[Measurement Type]],"Weighing",tProd[[Date]],_xlfn.MAXIFS(tProd[[Date]],tProd[[Batch ID]],$A124,tProd[[Measurement Type]],"Weighing")),"")))</f>
        <v/>
      </c>
    </row>
    <row r="125">
      <c r="A125" s="27">
        <f>IFERROR(INDEX(tBatches[[Batch ID]],121)&amp;"","")</f>
        <v/>
      </c>
      <c r="B125" s="36">
        <f>IF($A125="","",INDEX(tBatches[[Pen ID]],121)&amp;"")</f>
        <v/>
      </c>
      <c r="C125" s="36">
        <f>IF($A125="","",INDEX(tBatches[[Animal Type]],121)&amp;"")</f>
        <v/>
      </c>
      <c r="D125" s="31">
        <f>IF($A125="","",INDEX(tBatches[[Batch Start Date]],121))</f>
        <v/>
      </c>
      <c r="E125" s="36">
        <f>IF($A125="","",INDEX(tBatches[[Status]],121)&amp;"")</f>
        <v/>
      </c>
      <c r="F125" s="31">
        <f>IF($A125="","",IF(N(INDEX(tBatches[[Closing Date]],121))=0,"",INDEX(tBatches[[Closing Date]],121)))</f>
        <v/>
      </c>
      <c r="G125" s="39">
        <f>IF($A125="","",INDEX(tBatches[[Age (days)]],121))</f>
        <v/>
      </c>
      <c r="H125" s="39">
        <f>IF($A125="","",N(INDEX(tBatches[[Initial Quantity]],121)))</f>
        <v/>
      </c>
      <c r="I125" s="39">
        <f>IF($A125="","",INDEX(tBatches[[Transfers In / Added]],121))</f>
        <v/>
      </c>
      <c r="J125" s="39">
        <f>IF($A125="","",INDEX(tBatches[[Deaths]],121))</f>
        <v/>
      </c>
      <c r="K125" s="39">
        <f>IF($A125="","",INDEX(tBatches[[Heads Sold]],121))</f>
        <v/>
      </c>
      <c r="L125" s="39">
        <f>IF($A125="","",INDEX(tBatches[[Transfers Out]],121))</f>
        <v/>
      </c>
      <c r="M125" s="39">
        <f>IF($A125="","",INDEX(tBatches[[Current Quantity]],121))</f>
        <v/>
      </c>
      <c r="N125" s="40">
        <f>IF($A125="","",IFERROR(J125/(H125+I125),0))</f>
        <v/>
      </c>
      <c r="O125" s="28">
        <f>IF($A125="","",SUMIFS(tFeedIss[[Quantity Issued in kg]],tFeedIss[[Batch ID]],$A125))</f>
        <v/>
      </c>
      <c r="P125" s="29">
        <f>IF($A125="","",SUMIFS(tFeedIss[[Total Cost]],tFeedIss[[Batch ID]],$A125))</f>
        <v/>
      </c>
      <c r="Q125" s="29">
        <f>IF($A125="","",SUMIFS(tDrugUse[[Total Cost]],tDrugUse[[Batch ID]],$A125))</f>
        <v/>
      </c>
      <c r="R125" s="29">
        <f>IF($A125="","",SUMIFS(tExp[[Amount]],tExp[[Batch ID (if applicable)]],$A125))</f>
        <v/>
      </c>
      <c r="S125" s="41">
        <f>IF($A125="","",P125+Q125+R125)</f>
        <v/>
      </c>
      <c r="T125" s="41">
        <f>IF($A125="","",SUMIFS(tSales[[Total Revenue]],tSales[[Batch ID]],$A125))</f>
        <v/>
      </c>
      <c r="U125" s="41">
        <f>IF($A125="","",T125-S125)</f>
        <v/>
      </c>
      <c r="V125" s="29">
        <f>IF($A125="","",IFERROR(S125/(H125+I125),""))</f>
        <v/>
      </c>
      <c r="W125" s="29">
        <f>IF($A125="","",IF(K125=0,"",T125/K125))</f>
        <v/>
      </c>
      <c r="X125" s="42">
        <f>IF($A125="","",IFERROR(O125/(H125+I125),""))</f>
        <v/>
      </c>
      <c r="Y125" s="43">
        <f>IF($A125="","",IF(_xlfn.MAXIFS(tProd[[Date]],tProd[[Batch ID]],$A125,tProd[[Measurement Type]],"Weighing")=0,"",IFERROR(AVERAGEIFS(tProd[[Average Weight kg]],tProd[[Batch ID]],$A125,tProd[[Measurement Type]],"Weighing",tProd[[Date]],_xlfn.MAXIFS(tProd[[Date]],tProd[[Batch ID]],$A125,tProd[[Measurement Type]],"Weighing")),"")))</f>
        <v/>
      </c>
    </row>
    <row r="126">
      <c r="A126" s="27">
        <f>IFERROR(INDEX(tBatches[[Batch ID]],122)&amp;"","")</f>
        <v/>
      </c>
      <c r="B126" s="36">
        <f>IF($A126="","",INDEX(tBatches[[Pen ID]],122)&amp;"")</f>
        <v/>
      </c>
      <c r="C126" s="36">
        <f>IF($A126="","",INDEX(tBatches[[Animal Type]],122)&amp;"")</f>
        <v/>
      </c>
      <c r="D126" s="31">
        <f>IF($A126="","",INDEX(tBatches[[Batch Start Date]],122))</f>
        <v/>
      </c>
      <c r="E126" s="36">
        <f>IF($A126="","",INDEX(tBatches[[Status]],122)&amp;"")</f>
        <v/>
      </c>
      <c r="F126" s="31">
        <f>IF($A126="","",IF(N(INDEX(tBatches[[Closing Date]],122))=0,"",INDEX(tBatches[[Closing Date]],122)))</f>
        <v/>
      </c>
      <c r="G126" s="39">
        <f>IF($A126="","",INDEX(tBatches[[Age (days)]],122))</f>
        <v/>
      </c>
      <c r="H126" s="39">
        <f>IF($A126="","",N(INDEX(tBatches[[Initial Quantity]],122)))</f>
        <v/>
      </c>
      <c r="I126" s="39">
        <f>IF($A126="","",INDEX(tBatches[[Transfers In / Added]],122))</f>
        <v/>
      </c>
      <c r="J126" s="39">
        <f>IF($A126="","",INDEX(tBatches[[Deaths]],122))</f>
        <v/>
      </c>
      <c r="K126" s="39">
        <f>IF($A126="","",INDEX(tBatches[[Heads Sold]],122))</f>
        <v/>
      </c>
      <c r="L126" s="39">
        <f>IF($A126="","",INDEX(tBatches[[Transfers Out]],122))</f>
        <v/>
      </c>
      <c r="M126" s="39">
        <f>IF($A126="","",INDEX(tBatches[[Current Quantity]],122))</f>
        <v/>
      </c>
      <c r="N126" s="40">
        <f>IF($A126="","",IFERROR(J126/(H126+I126),0))</f>
        <v/>
      </c>
      <c r="O126" s="28">
        <f>IF($A126="","",SUMIFS(tFeedIss[[Quantity Issued in kg]],tFeedIss[[Batch ID]],$A126))</f>
        <v/>
      </c>
      <c r="P126" s="29">
        <f>IF($A126="","",SUMIFS(tFeedIss[[Total Cost]],tFeedIss[[Batch ID]],$A126))</f>
        <v/>
      </c>
      <c r="Q126" s="29">
        <f>IF($A126="","",SUMIFS(tDrugUse[[Total Cost]],tDrugUse[[Batch ID]],$A126))</f>
        <v/>
      </c>
      <c r="R126" s="29">
        <f>IF($A126="","",SUMIFS(tExp[[Amount]],tExp[[Batch ID (if applicable)]],$A126))</f>
        <v/>
      </c>
      <c r="S126" s="41">
        <f>IF($A126="","",P126+Q126+R126)</f>
        <v/>
      </c>
      <c r="T126" s="41">
        <f>IF($A126="","",SUMIFS(tSales[[Total Revenue]],tSales[[Batch ID]],$A126))</f>
        <v/>
      </c>
      <c r="U126" s="41">
        <f>IF($A126="","",T126-S126)</f>
        <v/>
      </c>
      <c r="V126" s="29">
        <f>IF($A126="","",IFERROR(S126/(H126+I126),""))</f>
        <v/>
      </c>
      <c r="W126" s="29">
        <f>IF($A126="","",IF(K126=0,"",T126/K126))</f>
        <v/>
      </c>
      <c r="X126" s="42">
        <f>IF($A126="","",IFERROR(O126/(H126+I126),""))</f>
        <v/>
      </c>
      <c r="Y126" s="43">
        <f>IF($A126="","",IF(_xlfn.MAXIFS(tProd[[Date]],tProd[[Batch ID]],$A126,tProd[[Measurement Type]],"Weighing")=0,"",IFERROR(AVERAGEIFS(tProd[[Average Weight kg]],tProd[[Batch ID]],$A126,tProd[[Measurement Type]],"Weighing",tProd[[Date]],_xlfn.MAXIFS(tProd[[Date]],tProd[[Batch ID]],$A126,tProd[[Measurement Type]],"Weighing")),"")))</f>
        <v/>
      </c>
    </row>
    <row r="127">
      <c r="A127" s="27">
        <f>IFERROR(INDEX(tBatches[[Batch ID]],123)&amp;"","")</f>
        <v/>
      </c>
      <c r="B127" s="36">
        <f>IF($A127="","",INDEX(tBatches[[Pen ID]],123)&amp;"")</f>
        <v/>
      </c>
      <c r="C127" s="36">
        <f>IF($A127="","",INDEX(tBatches[[Animal Type]],123)&amp;"")</f>
        <v/>
      </c>
      <c r="D127" s="31">
        <f>IF($A127="","",INDEX(tBatches[[Batch Start Date]],123))</f>
        <v/>
      </c>
      <c r="E127" s="36">
        <f>IF($A127="","",INDEX(tBatches[[Status]],123)&amp;"")</f>
        <v/>
      </c>
      <c r="F127" s="31">
        <f>IF($A127="","",IF(N(INDEX(tBatches[[Closing Date]],123))=0,"",INDEX(tBatches[[Closing Date]],123)))</f>
        <v/>
      </c>
      <c r="G127" s="39">
        <f>IF($A127="","",INDEX(tBatches[[Age (days)]],123))</f>
        <v/>
      </c>
      <c r="H127" s="39">
        <f>IF($A127="","",N(INDEX(tBatches[[Initial Quantity]],123)))</f>
        <v/>
      </c>
      <c r="I127" s="39">
        <f>IF($A127="","",INDEX(tBatches[[Transfers In / Added]],123))</f>
        <v/>
      </c>
      <c r="J127" s="39">
        <f>IF($A127="","",INDEX(tBatches[[Deaths]],123))</f>
        <v/>
      </c>
      <c r="K127" s="39">
        <f>IF($A127="","",INDEX(tBatches[[Heads Sold]],123))</f>
        <v/>
      </c>
      <c r="L127" s="39">
        <f>IF($A127="","",INDEX(tBatches[[Transfers Out]],123))</f>
        <v/>
      </c>
      <c r="M127" s="39">
        <f>IF($A127="","",INDEX(tBatches[[Current Quantity]],123))</f>
        <v/>
      </c>
      <c r="N127" s="40">
        <f>IF($A127="","",IFERROR(J127/(H127+I127),0))</f>
        <v/>
      </c>
      <c r="O127" s="28">
        <f>IF($A127="","",SUMIFS(tFeedIss[[Quantity Issued in kg]],tFeedIss[[Batch ID]],$A127))</f>
        <v/>
      </c>
      <c r="P127" s="29">
        <f>IF($A127="","",SUMIFS(tFeedIss[[Total Cost]],tFeedIss[[Batch ID]],$A127))</f>
        <v/>
      </c>
      <c r="Q127" s="29">
        <f>IF($A127="","",SUMIFS(tDrugUse[[Total Cost]],tDrugUse[[Batch ID]],$A127))</f>
        <v/>
      </c>
      <c r="R127" s="29">
        <f>IF($A127="","",SUMIFS(tExp[[Amount]],tExp[[Batch ID (if applicable)]],$A127))</f>
        <v/>
      </c>
      <c r="S127" s="41">
        <f>IF($A127="","",P127+Q127+R127)</f>
        <v/>
      </c>
      <c r="T127" s="41">
        <f>IF($A127="","",SUMIFS(tSales[[Total Revenue]],tSales[[Batch ID]],$A127))</f>
        <v/>
      </c>
      <c r="U127" s="41">
        <f>IF($A127="","",T127-S127)</f>
        <v/>
      </c>
      <c r="V127" s="29">
        <f>IF($A127="","",IFERROR(S127/(H127+I127),""))</f>
        <v/>
      </c>
      <c r="W127" s="29">
        <f>IF($A127="","",IF(K127=0,"",T127/K127))</f>
        <v/>
      </c>
      <c r="X127" s="42">
        <f>IF($A127="","",IFERROR(O127/(H127+I127),""))</f>
        <v/>
      </c>
      <c r="Y127" s="43">
        <f>IF($A127="","",IF(_xlfn.MAXIFS(tProd[[Date]],tProd[[Batch ID]],$A127,tProd[[Measurement Type]],"Weighing")=0,"",IFERROR(AVERAGEIFS(tProd[[Average Weight kg]],tProd[[Batch ID]],$A127,tProd[[Measurement Type]],"Weighing",tProd[[Date]],_xlfn.MAXIFS(tProd[[Date]],tProd[[Batch ID]],$A127,tProd[[Measurement Type]],"Weighing")),"")))</f>
        <v/>
      </c>
    </row>
    <row r="128">
      <c r="A128" s="27">
        <f>IFERROR(INDEX(tBatches[[Batch ID]],124)&amp;"","")</f>
        <v/>
      </c>
      <c r="B128" s="36">
        <f>IF($A128="","",INDEX(tBatches[[Pen ID]],124)&amp;"")</f>
        <v/>
      </c>
      <c r="C128" s="36">
        <f>IF($A128="","",INDEX(tBatches[[Animal Type]],124)&amp;"")</f>
        <v/>
      </c>
      <c r="D128" s="31">
        <f>IF($A128="","",INDEX(tBatches[[Batch Start Date]],124))</f>
        <v/>
      </c>
      <c r="E128" s="36">
        <f>IF($A128="","",INDEX(tBatches[[Status]],124)&amp;"")</f>
        <v/>
      </c>
      <c r="F128" s="31">
        <f>IF($A128="","",IF(N(INDEX(tBatches[[Closing Date]],124))=0,"",INDEX(tBatches[[Closing Date]],124)))</f>
        <v/>
      </c>
      <c r="G128" s="39">
        <f>IF($A128="","",INDEX(tBatches[[Age (days)]],124))</f>
        <v/>
      </c>
      <c r="H128" s="39">
        <f>IF($A128="","",N(INDEX(tBatches[[Initial Quantity]],124)))</f>
        <v/>
      </c>
      <c r="I128" s="39">
        <f>IF($A128="","",INDEX(tBatches[[Transfers In / Added]],124))</f>
        <v/>
      </c>
      <c r="J128" s="39">
        <f>IF($A128="","",INDEX(tBatches[[Deaths]],124))</f>
        <v/>
      </c>
      <c r="K128" s="39">
        <f>IF($A128="","",INDEX(tBatches[[Heads Sold]],124))</f>
        <v/>
      </c>
      <c r="L128" s="39">
        <f>IF($A128="","",INDEX(tBatches[[Transfers Out]],124))</f>
        <v/>
      </c>
      <c r="M128" s="39">
        <f>IF($A128="","",INDEX(tBatches[[Current Quantity]],124))</f>
        <v/>
      </c>
      <c r="N128" s="40">
        <f>IF($A128="","",IFERROR(J128/(H128+I128),0))</f>
        <v/>
      </c>
      <c r="O128" s="28">
        <f>IF($A128="","",SUMIFS(tFeedIss[[Quantity Issued in kg]],tFeedIss[[Batch ID]],$A128))</f>
        <v/>
      </c>
      <c r="P128" s="29">
        <f>IF($A128="","",SUMIFS(tFeedIss[[Total Cost]],tFeedIss[[Batch ID]],$A128))</f>
        <v/>
      </c>
      <c r="Q128" s="29">
        <f>IF($A128="","",SUMIFS(tDrugUse[[Total Cost]],tDrugUse[[Batch ID]],$A128))</f>
        <v/>
      </c>
      <c r="R128" s="29">
        <f>IF($A128="","",SUMIFS(tExp[[Amount]],tExp[[Batch ID (if applicable)]],$A128))</f>
        <v/>
      </c>
      <c r="S128" s="41">
        <f>IF($A128="","",P128+Q128+R128)</f>
        <v/>
      </c>
      <c r="T128" s="41">
        <f>IF($A128="","",SUMIFS(tSales[[Total Revenue]],tSales[[Batch ID]],$A128))</f>
        <v/>
      </c>
      <c r="U128" s="41">
        <f>IF($A128="","",T128-S128)</f>
        <v/>
      </c>
      <c r="V128" s="29">
        <f>IF($A128="","",IFERROR(S128/(H128+I128),""))</f>
        <v/>
      </c>
      <c r="W128" s="29">
        <f>IF($A128="","",IF(K128=0,"",T128/K128))</f>
        <v/>
      </c>
      <c r="X128" s="42">
        <f>IF($A128="","",IFERROR(O128/(H128+I128),""))</f>
        <v/>
      </c>
      <c r="Y128" s="43">
        <f>IF($A128="","",IF(_xlfn.MAXIFS(tProd[[Date]],tProd[[Batch ID]],$A128,tProd[[Measurement Type]],"Weighing")=0,"",IFERROR(AVERAGEIFS(tProd[[Average Weight kg]],tProd[[Batch ID]],$A128,tProd[[Measurement Type]],"Weighing",tProd[[Date]],_xlfn.MAXIFS(tProd[[Date]],tProd[[Batch ID]],$A128,tProd[[Measurement Type]],"Weighing")),"")))</f>
        <v/>
      </c>
    </row>
    <row r="129">
      <c r="A129" s="27">
        <f>IFERROR(INDEX(tBatches[[Batch ID]],125)&amp;"","")</f>
        <v/>
      </c>
      <c r="B129" s="36">
        <f>IF($A129="","",INDEX(tBatches[[Pen ID]],125)&amp;"")</f>
        <v/>
      </c>
      <c r="C129" s="36">
        <f>IF($A129="","",INDEX(tBatches[[Animal Type]],125)&amp;"")</f>
        <v/>
      </c>
      <c r="D129" s="31">
        <f>IF($A129="","",INDEX(tBatches[[Batch Start Date]],125))</f>
        <v/>
      </c>
      <c r="E129" s="36">
        <f>IF($A129="","",INDEX(tBatches[[Status]],125)&amp;"")</f>
        <v/>
      </c>
      <c r="F129" s="31">
        <f>IF($A129="","",IF(N(INDEX(tBatches[[Closing Date]],125))=0,"",INDEX(tBatches[[Closing Date]],125)))</f>
        <v/>
      </c>
      <c r="G129" s="39">
        <f>IF($A129="","",INDEX(tBatches[[Age (days)]],125))</f>
        <v/>
      </c>
      <c r="H129" s="39">
        <f>IF($A129="","",N(INDEX(tBatches[[Initial Quantity]],125)))</f>
        <v/>
      </c>
      <c r="I129" s="39">
        <f>IF($A129="","",INDEX(tBatches[[Transfers In / Added]],125))</f>
        <v/>
      </c>
      <c r="J129" s="39">
        <f>IF($A129="","",INDEX(tBatches[[Deaths]],125))</f>
        <v/>
      </c>
      <c r="K129" s="39">
        <f>IF($A129="","",INDEX(tBatches[[Heads Sold]],125))</f>
        <v/>
      </c>
      <c r="L129" s="39">
        <f>IF($A129="","",INDEX(tBatches[[Transfers Out]],125))</f>
        <v/>
      </c>
      <c r="M129" s="39">
        <f>IF($A129="","",INDEX(tBatches[[Current Quantity]],125))</f>
        <v/>
      </c>
      <c r="N129" s="40">
        <f>IF($A129="","",IFERROR(J129/(H129+I129),0))</f>
        <v/>
      </c>
      <c r="O129" s="28">
        <f>IF($A129="","",SUMIFS(tFeedIss[[Quantity Issued in kg]],tFeedIss[[Batch ID]],$A129))</f>
        <v/>
      </c>
      <c r="P129" s="29">
        <f>IF($A129="","",SUMIFS(tFeedIss[[Total Cost]],tFeedIss[[Batch ID]],$A129))</f>
        <v/>
      </c>
      <c r="Q129" s="29">
        <f>IF($A129="","",SUMIFS(tDrugUse[[Total Cost]],tDrugUse[[Batch ID]],$A129))</f>
        <v/>
      </c>
      <c r="R129" s="29">
        <f>IF($A129="","",SUMIFS(tExp[[Amount]],tExp[[Batch ID (if applicable)]],$A129))</f>
        <v/>
      </c>
      <c r="S129" s="41">
        <f>IF($A129="","",P129+Q129+R129)</f>
        <v/>
      </c>
      <c r="T129" s="41">
        <f>IF($A129="","",SUMIFS(tSales[[Total Revenue]],tSales[[Batch ID]],$A129))</f>
        <v/>
      </c>
      <c r="U129" s="41">
        <f>IF($A129="","",T129-S129)</f>
        <v/>
      </c>
      <c r="V129" s="29">
        <f>IF($A129="","",IFERROR(S129/(H129+I129),""))</f>
        <v/>
      </c>
      <c r="W129" s="29">
        <f>IF($A129="","",IF(K129=0,"",T129/K129))</f>
        <v/>
      </c>
      <c r="X129" s="42">
        <f>IF($A129="","",IFERROR(O129/(H129+I129),""))</f>
        <v/>
      </c>
      <c r="Y129" s="43">
        <f>IF($A129="","",IF(_xlfn.MAXIFS(tProd[[Date]],tProd[[Batch ID]],$A129,tProd[[Measurement Type]],"Weighing")=0,"",IFERROR(AVERAGEIFS(tProd[[Average Weight kg]],tProd[[Batch ID]],$A129,tProd[[Measurement Type]],"Weighing",tProd[[Date]],_xlfn.MAXIFS(tProd[[Date]],tProd[[Batch ID]],$A129,tProd[[Measurement Type]],"Weighing")),"")))</f>
        <v/>
      </c>
    </row>
    <row r="130">
      <c r="A130" s="27">
        <f>IFERROR(INDEX(tBatches[[Batch ID]],126)&amp;"","")</f>
        <v/>
      </c>
      <c r="B130" s="36">
        <f>IF($A130="","",INDEX(tBatches[[Pen ID]],126)&amp;"")</f>
        <v/>
      </c>
      <c r="C130" s="36">
        <f>IF($A130="","",INDEX(tBatches[[Animal Type]],126)&amp;"")</f>
        <v/>
      </c>
      <c r="D130" s="31">
        <f>IF($A130="","",INDEX(tBatches[[Batch Start Date]],126))</f>
        <v/>
      </c>
      <c r="E130" s="36">
        <f>IF($A130="","",INDEX(tBatches[[Status]],126)&amp;"")</f>
        <v/>
      </c>
      <c r="F130" s="31">
        <f>IF($A130="","",IF(N(INDEX(tBatches[[Closing Date]],126))=0,"",INDEX(tBatches[[Closing Date]],126)))</f>
        <v/>
      </c>
      <c r="G130" s="39">
        <f>IF($A130="","",INDEX(tBatches[[Age (days)]],126))</f>
        <v/>
      </c>
      <c r="H130" s="39">
        <f>IF($A130="","",N(INDEX(tBatches[[Initial Quantity]],126)))</f>
        <v/>
      </c>
      <c r="I130" s="39">
        <f>IF($A130="","",INDEX(tBatches[[Transfers In / Added]],126))</f>
        <v/>
      </c>
      <c r="J130" s="39">
        <f>IF($A130="","",INDEX(tBatches[[Deaths]],126))</f>
        <v/>
      </c>
      <c r="K130" s="39">
        <f>IF($A130="","",INDEX(tBatches[[Heads Sold]],126))</f>
        <v/>
      </c>
      <c r="L130" s="39">
        <f>IF($A130="","",INDEX(tBatches[[Transfers Out]],126))</f>
        <v/>
      </c>
      <c r="M130" s="39">
        <f>IF($A130="","",INDEX(tBatches[[Current Quantity]],126))</f>
        <v/>
      </c>
      <c r="N130" s="40">
        <f>IF($A130="","",IFERROR(J130/(H130+I130),0))</f>
        <v/>
      </c>
      <c r="O130" s="28">
        <f>IF($A130="","",SUMIFS(tFeedIss[[Quantity Issued in kg]],tFeedIss[[Batch ID]],$A130))</f>
        <v/>
      </c>
      <c r="P130" s="29">
        <f>IF($A130="","",SUMIFS(tFeedIss[[Total Cost]],tFeedIss[[Batch ID]],$A130))</f>
        <v/>
      </c>
      <c r="Q130" s="29">
        <f>IF($A130="","",SUMIFS(tDrugUse[[Total Cost]],tDrugUse[[Batch ID]],$A130))</f>
        <v/>
      </c>
      <c r="R130" s="29">
        <f>IF($A130="","",SUMIFS(tExp[[Amount]],tExp[[Batch ID (if applicable)]],$A130))</f>
        <v/>
      </c>
      <c r="S130" s="41">
        <f>IF($A130="","",P130+Q130+R130)</f>
        <v/>
      </c>
      <c r="T130" s="41">
        <f>IF($A130="","",SUMIFS(tSales[[Total Revenue]],tSales[[Batch ID]],$A130))</f>
        <v/>
      </c>
      <c r="U130" s="41">
        <f>IF($A130="","",T130-S130)</f>
        <v/>
      </c>
      <c r="V130" s="29">
        <f>IF($A130="","",IFERROR(S130/(H130+I130),""))</f>
        <v/>
      </c>
      <c r="W130" s="29">
        <f>IF($A130="","",IF(K130=0,"",T130/K130))</f>
        <v/>
      </c>
      <c r="X130" s="42">
        <f>IF($A130="","",IFERROR(O130/(H130+I130),""))</f>
        <v/>
      </c>
      <c r="Y130" s="43">
        <f>IF($A130="","",IF(_xlfn.MAXIFS(tProd[[Date]],tProd[[Batch ID]],$A130,tProd[[Measurement Type]],"Weighing")=0,"",IFERROR(AVERAGEIFS(tProd[[Average Weight kg]],tProd[[Batch ID]],$A130,tProd[[Measurement Type]],"Weighing",tProd[[Date]],_xlfn.MAXIFS(tProd[[Date]],tProd[[Batch ID]],$A130,tProd[[Measurement Type]],"Weighing")),"")))</f>
        <v/>
      </c>
    </row>
    <row r="131">
      <c r="A131" s="27">
        <f>IFERROR(INDEX(tBatches[[Batch ID]],127)&amp;"","")</f>
        <v/>
      </c>
      <c r="B131" s="36">
        <f>IF($A131="","",INDEX(tBatches[[Pen ID]],127)&amp;"")</f>
        <v/>
      </c>
      <c r="C131" s="36">
        <f>IF($A131="","",INDEX(tBatches[[Animal Type]],127)&amp;"")</f>
        <v/>
      </c>
      <c r="D131" s="31">
        <f>IF($A131="","",INDEX(tBatches[[Batch Start Date]],127))</f>
        <v/>
      </c>
      <c r="E131" s="36">
        <f>IF($A131="","",INDEX(tBatches[[Status]],127)&amp;"")</f>
        <v/>
      </c>
      <c r="F131" s="31">
        <f>IF($A131="","",IF(N(INDEX(tBatches[[Closing Date]],127))=0,"",INDEX(tBatches[[Closing Date]],127)))</f>
        <v/>
      </c>
      <c r="G131" s="39">
        <f>IF($A131="","",INDEX(tBatches[[Age (days)]],127))</f>
        <v/>
      </c>
      <c r="H131" s="39">
        <f>IF($A131="","",N(INDEX(tBatches[[Initial Quantity]],127)))</f>
        <v/>
      </c>
      <c r="I131" s="39">
        <f>IF($A131="","",INDEX(tBatches[[Transfers In / Added]],127))</f>
        <v/>
      </c>
      <c r="J131" s="39">
        <f>IF($A131="","",INDEX(tBatches[[Deaths]],127))</f>
        <v/>
      </c>
      <c r="K131" s="39">
        <f>IF($A131="","",INDEX(tBatches[[Heads Sold]],127))</f>
        <v/>
      </c>
      <c r="L131" s="39">
        <f>IF($A131="","",INDEX(tBatches[[Transfers Out]],127))</f>
        <v/>
      </c>
      <c r="M131" s="39">
        <f>IF($A131="","",INDEX(tBatches[[Current Quantity]],127))</f>
        <v/>
      </c>
      <c r="N131" s="40">
        <f>IF($A131="","",IFERROR(J131/(H131+I131),0))</f>
        <v/>
      </c>
      <c r="O131" s="28">
        <f>IF($A131="","",SUMIFS(tFeedIss[[Quantity Issued in kg]],tFeedIss[[Batch ID]],$A131))</f>
        <v/>
      </c>
      <c r="P131" s="29">
        <f>IF($A131="","",SUMIFS(tFeedIss[[Total Cost]],tFeedIss[[Batch ID]],$A131))</f>
        <v/>
      </c>
      <c r="Q131" s="29">
        <f>IF($A131="","",SUMIFS(tDrugUse[[Total Cost]],tDrugUse[[Batch ID]],$A131))</f>
        <v/>
      </c>
      <c r="R131" s="29">
        <f>IF($A131="","",SUMIFS(tExp[[Amount]],tExp[[Batch ID (if applicable)]],$A131))</f>
        <v/>
      </c>
      <c r="S131" s="41">
        <f>IF($A131="","",P131+Q131+R131)</f>
        <v/>
      </c>
      <c r="T131" s="41">
        <f>IF($A131="","",SUMIFS(tSales[[Total Revenue]],tSales[[Batch ID]],$A131))</f>
        <v/>
      </c>
      <c r="U131" s="41">
        <f>IF($A131="","",T131-S131)</f>
        <v/>
      </c>
      <c r="V131" s="29">
        <f>IF($A131="","",IFERROR(S131/(H131+I131),""))</f>
        <v/>
      </c>
      <c r="W131" s="29">
        <f>IF($A131="","",IF(K131=0,"",T131/K131))</f>
        <v/>
      </c>
      <c r="X131" s="42">
        <f>IF($A131="","",IFERROR(O131/(H131+I131),""))</f>
        <v/>
      </c>
      <c r="Y131" s="43">
        <f>IF($A131="","",IF(_xlfn.MAXIFS(tProd[[Date]],tProd[[Batch ID]],$A131,tProd[[Measurement Type]],"Weighing")=0,"",IFERROR(AVERAGEIFS(tProd[[Average Weight kg]],tProd[[Batch ID]],$A131,tProd[[Measurement Type]],"Weighing",tProd[[Date]],_xlfn.MAXIFS(tProd[[Date]],tProd[[Batch ID]],$A131,tProd[[Measurement Type]],"Weighing")),"")))</f>
        <v/>
      </c>
    </row>
    <row r="132">
      <c r="A132" s="27">
        <f>IFERROR(INDEX(tBatches[[Batch ID]],128)&amp;"","")</f>
        <v/>
      </c>
      <c r="B132" s="36">
        <f>IF($A132="","",INDEX(tBatches[[Pen ID]],128)&amp;"")</f>
        <v/>
      </c>
      <c r="C132" s="36">
        <f>IF($A132="","",INDEX(tBatches[[Animal Type]],128)&amp;"")</f>
        <v/>
      </c>
      <c r="D132" s="31">
        <f>IF($A132="","",INDEX(tBatches[[Batch Start Date]],128))</f>
        <v/>
      </c>
      <c r="E132" s="36">
        <f>IF($A132="","",INDEX(tBatches[[Status]],128)&amp;"")</f>
        <v/>
      </c>
      <c r="F132" s="31">
        <f>IF($A132="","",IF(N(INDEX(tBatches[[Closing Date]],128))=0,"",INDEX(tBatches[[Closing Date]],128)))</f>
        <v/>
      </c>
      <c r="G132" s="39">
        <f>IF($A132="","",INDEX(tBatches[[Age (days)]],128))</f>
        <v/>
      </c>
      <c r="H132" s="39">
        <f>IF($A132="","",N(INDEX(tBatches[[Initial Quantity]],128)))</f>
        <v/>
      </c>
      <c r="I132" s="39">
        <f>IF($A132="","",INDEX(tBatches[[Transfers In / Added]],128))</f>
        <v/>
      </c>
      <c r="J132" s="39">
        <f>IF($A132="","",INDEX(tBatches[[Deaths]],128))</f>
        <v/>
      </c>
      <c r="K132" s="39">
        <f>IF($A132="","",INDEX(tBatches[[Heads Sold]],128))</f>
        <v/>
      </c>
      <c r="L132" s="39">
        <f>IF($A132="","",INDEX(tBatches[[Transfers Out]],128))</f>
        <v/>
      </c>
      <c r="M132" s="39">
        <f>IF($A132="","",INDEX(tBatches[[Current Quantity]],128))</f>
        <v/>
      </c>
      <c r="N132" s="40">
        <f>IF($A132="","",IFERROR(J132/(H132+I132),0))</f>
        <v/>
      </c>
      <c r="O132" s="28">
        <f>IF($A132="","",SUMIFS(tFeedIss[[Quantity Issued in kg]],tFeedIss[[Batch ID]],$A132))</f>
        <v/>
      </c>
      <c r="P132" s="29">
        <f>IF($A132="","",SUMIFS(tFeedIss[[Total Cost]],tFeedIss[[Batch ID]],$A132))</f>
        <v/>
      </c>
      <c r="Q132" s="29">
        <f>IF($A132="","",SUMIFS(tDrugUse[[Total Cost]],tDrugUse[[Batch ID]],$A132))</f>
        <v/>
      </c>
      <c r="R132" s="29">
        <f>IF($A132="","",SUMIFS(tExp[[Amount]],tExp[[Batch ID (if applicable)]],$A132))</f>
        <v/>
      </c>
      <c r="S132" s="41">
        <f>IF($A132="","",P132+Q132+R132)</f>
        <v/>
      </c>
      <c r="T132" s="41">
        <f>IF($A132="","",SUMIFS(tSales[[Total Revenue]],tSales[[Batch ID]],$A132))</f>
        <v/>
      </c>
      <c r="U132" s="41">
        <f>IF($A132="","",T132-S132)</f>
        <v/>
      </c>
      <c r="V132" s="29">
        <f>IF($A132="","",IFERROR(S132/(H132+I132),""))</f>
        <v/>
      </c>
      <c r="W132" s="29">
        <f>IF($A132="","",IF(K132=0,"",T132/K132))</f>
        <v/>
      </c>
      <c r="X132" s="42">
        <f>IF($A132="","",IFERROR(O132/(H132+I132),""))</f>
        <v/>
      </c>
      <c r="Y132" s="43">
        <f>IF($A132="","",IF(_xlfn.MAXIFS(tProd[[Date]],tProd[[Batch ID]],$A132,tProd[[Measurement Type]],"Weighing")=0,"",IFERROR(AVERAGEIFS(tProd[[Average Weight kg]],tProd[[Batch ID]],$A132,tProd[[Measurement Type]],"Weighing",tProd[[Date]],_xlfn.MAXIFS(tProd[[Date]],tProd[[Batch ID]],$A132,tProd[[Measurement Type]],"Weighing")),"")))</f>
        <v/>
      </c>
    </row>
    <row r="133">
      <c r="A133" s="27">
        <f>IFERROR(INDEX(tBatches[[Batch ID]],129)&amp;"","")</f>
        <v/>
      </c>
      <c r="B133" s="36">
        <f>IF($A133="","",INDEX(tBatches[[Pen ID]],129)&amp;"")</f>
        <v/>
      </c>
      <c r="C133" s="36">
        <f>IF($A133="","",INDEX(tBatches[[Animal Type]],129)&amp;"")</f>
        <v/>
      </c>
      <c r="D133" s="31">
        <f>IF($A133="","",INDEX(tBatches[[Batch Start Date]],129))</f>
        <v/>
      </c>
      <c r="E133" s="36">
        <f>IF($A133="","",INDEX(tBatches[[Status]],129)&amp;"")</f>
        <v/>
      </c>
      <c r="F133" s="31">
        <f>IF($A133="","",IF(N(INDEX(tBatches[[Closing Date]],129))=0,"",INDEX(tBatches[[Closing Date]],129)))</f>
        <v/>
      </c>
      <c r="G133" s="39">
        <f>IF($A133="","",INDEX(tBatches[[Age (days)]],129))</f>
        <v/>
      </c>
      <c r="H133" s="39">
        <f>IF($A133="","",N(INDEX(tBatches[[Initial Quantity]],129)))</f>
        <v/>
      </c>
      <c r="I133" s="39">
        <f>IF($A133="","",INDEX(tBatches[[Transfers In / Added]],129))</f>
        <v/>
      </c>
      <c r="J133" s="39">
        <f>IF($A133="","",INDEX(tBatches[[Deaths]],129))</f>
        <v/>
      </c>
      <c r="K133" s="39">
        <f>IF($A133="","",INDEX(tBatches[[Heads Sold]],129))</f>
        <v/>
      </c>
      <c r="L133" s="39">
        <f>IF($A133="","",INDEX(tBatches[[Transfers Out]],129))</f>
        <v/>
      </c>
      <c r="M133" s="39">
        <f>IF($A133="","",INDEX(tBatches[[Current Quantity]],129))</f>
        <v/>
      </c>
      <c r="N133" s="40">
        <f>IF($A133="","",IFERROR(J133/(H133+I133),0))</f>
        <v/>
      </c>
      <c r="O133" s="28">
        <f>IF($A133="","",SUMIFS(tFeedIss[[Quantity Issued in kg]],tFeedIss[[Batch ID]],$A133))</f>
        <v/>
      </c>
      <c r="P133" s="29">
        <f>IF($A133="","",SUMIFS(tFeedIss[[Total Cost]],tFeedIss[[Batch ID]],$A133))</f>
        <v/>
      </c>
      <c r="Q133" s="29">
        <f>IF($A133="","",SUMIFS(tDrugUse[[Total Cost]],tDrugUse[[Batch ID]],$A133))</f>
        <v/>
      </c>
      <c r="R133" s="29">
        <f>IF($A133="","",SUMIFS(tExp[[Amount]],tExp[[Batch ID (if applicable)]],$A133))</f>
        <v/>
      </c>
      <c r="S133" s="41">
        <f>IF($A133="","",P133+Q133+R133)</f>
        <v/>
      </c>
      <c r="T133" s="41">
        <f>IF($A133="","",SUMIFS(tSales[[Total Revenue]],tSales[[Batch ID]],$A133))</f>
        <v/>
      </c>
      <c r="U133" s="41">
        <f>IF($A133="","",T133-S133)</f>
        <v/>
      </c>
      <c r="V133" s="29">
        <f>IF($A133="","",IFERROR(S133/(H133+I133),""))</f>
        <v/>
      </c>
      <c r="W133" s="29">
        <f>IF($A133="","",IF(K133=0,"",T133/K133))</f>
        <v/>
      </c>
      <c r="X133" s="42">
        <f>IF($A133="","",IFERROR(O133/(H133+I133),""))</f>
        <v/>
      </c>
      <c r="Y133" s="43">
        <f>IF($A133="","",IF(_xlfn.MAXIFS(tProd[[Date]],tProd[[Batch ID]],$A133,tProd[[Measurement Type]],"Weighing")=0,"",IFERROR(AVERAGEIFS(tProd[[Average Weight kg]],tProd[[Batch ID]],$A133,tProd[[Measurement Type]],"Weighing",tProd[[Date]],_xlfn.MAXIFS(tProd[[Date]],tProd[[Batch ID]],$A133,tProd[[Measurement Type]],"Weighing")),"")))</f>
        <v/>
      </c>
    </row>
    <row r="134">
      <c r="A134" s="27">
        <f>IFERROR(INDEX(tBatches[[Batch ID]],130)&amp;"","")</f>
        <v/>
      </c>
      <c r="B134" s="36">
        <f>IF($A134="","",INDEX(tBatches[[Pen ID]],130)&amp;"")</f>
        <v/>
      </c>
      <c r="C134" s="36">
        <f>IF($A134="","",INDEX(tBatches[[Animal Type]],130)&amp;"")</f>
        <v/>
      </c>
      <c r="D134" s="31">
        <f>IF($A134="","",INDEX(tBatches[[Batch Start Date]],130))</f>
        <v/>
      </c>
      <c r="E134" s="36">
        <f>IF($A134="","",INDEX(tBatches[[Status]],130)&amp;"")</f>
        <v/>
      </c>
      <c r="F134" s="31">
        <f>IF($A134="","",IF(N(INDEX(tBatches[[Closing Date]],130))=0,"",INDEX(tBatches[[Closing Date]],130)))</f>
        <v/>
      </c>
      <c r="G134" s="39">
        <f>IF($A134="","",INDEX(tBatches[[Age (days)]],130))</f>
        <v/>
      </c>
      <c r="H134" s="39">
        <f>IF($A134="","",N(INDEX(tBatches[[Initial Quantity]],130)))</f>
        <v/>
      </c>
      <c r="I134" s="39">
        <f>IF($A134="","",INDEX(tBatches[[Transfers In / Added]],130))</f>
        <v/>
      </c>
      <c r="J134" s="39">
        <f>IF($A134="","",INDEX(tBatches[[Deaths]],130))</f>
        <v/>
      </c>
      <c r="K134" s="39">
        <f>IF($A134="","",INDEX(tBatches[[Heads Sold]],130))</f>
        <v/>
      </c>
      <c r="L134" s="39">
        <f>IF($A134="","",INDEX(tBatches[[Transfers Out]],130))</f>
        <v/>
      </c>
      <c r="M134" s="39">
        <f>IF($A134="","",INDEX(tBatches[[Current Quantity]],130))</f>
        <v/>
      </c>
      <c r="N134" s="40">
        <f>IF($A134="","",IFERROR(J134/(H134+I134),0))</f>
        <v/>
      </c>
      <c r="O134" s="28">
        <f>IF($A134="","",SUMIFS(tFeedIss[[Quantity Issued in kg]],tFeedIss[[Batch ID]],$A134))</f>
        <v/>
      </c>
      <c r="P134" s="29">
        <f>IF($A134="","",SUMIFS(tFeedIss[[Total Cost]],tFeedIss[[Batch ID]],$A134))</f>
        <v/>
      </c>
      <c r="Q134" s="29">
        <f>IF($A134="","",SUMIFS(tDrugUse[[Total Cost]],tDrugUse[[Batch ID]],$A134))</f>
        <v/>
      </c>
      <c r="R134" s="29">
        <f>IF($A134="","",SUMIFS(tExp[[Amount]],tExp[[Batch ID (if applicable)]],$A134))</f>
        <v/>
      </c>
      <c r="S134" s="41">
        <f>IF($A134="","",P134+Q134+R134)</f>
        <v/>
      </c>
      <c r="T134" s="41">
        <f>IF($A134="","",SUMIFS(tSales[[Total Revenue]],tSales[[Batch ID]],$A134))</f>
        <v/>
      </c>
      <c r="U134" s="41">
        <f>IF($A134="","",T134-S134)</f>
        <v/>
      </c>
      <c r="V134" s="29">
        <f>IF($A134="","",IFERROR(S134/(H134+I134),""))</f>
        <v/>
      </c>
      <c r="W134" s="29">
        <f>IF($A134="","",IF(K134=0,"",T134/K134))</f>
        <v/>
      </c>
      <c r="X134" s="42">
        <f>IF($A134="","",IFERROR(O134/(H134+I134),""))</f>
        <v/>
      </c>
      <c r="Y134" s="43">
        <f>IF($A134="","",IF(_xlfn.MAXIFS(tProd[[Date]],tProd[[Batch ID]],$A134,tProd[[Measurement Type]],"Weighing")=0,"",IFERROR(AVERAGEIFS(tProd[[Average Weight kg]],tProd[[Batch ID]],$A134,tProd[[Measurement Type]],"Weighing",tProd[[Date]],_xlfn.MAXIFS(tProd[[Date]],tProd[[Batch ID]],$A134,tProd[[Measurement Type]],"Weighing")),"")))</f>
        <v/>
      </c>
    </row>
    <row r="135">
      <c r="A135" s="27">
        <f>IFERROR(INDEX(tBatches[[Batch ID]],131)&amp;"","")</f>
        <v/>
      </c>
      <c r="B135" s="36">
        <f>IF($A135="","",INDEX(tBatches[[Pen ID]],131)&amp;"")</f>
        <v/>
      </c>
      <c r="C135" s="36">
        <f>IF($A135="","",INDEX(tBatches[[Animal Type]],131)&amp;"")</f>
        <v/>
      </c>
      <c r="D135" s="31">
        <f>IF($A135="","",INDEX(tBatches[[Batch Start Date]],131))</f>
        <v/>
      </c>
      <c r="E135" s="36">
        <f>IF($A135="","",INDEX(tBatches[[Status]],131)&amp;"")</f>
        <v/>
      </c>
      <c r="F135" s="31">
        <f>IF($A135="","",IF(N(INDEX(tBatches[[Closing Date]],131))=0,"",INDEX(tBatches[[Closing Date]],131)))</f>
        <v/>
      </c>
      <c r="G135" s="39">
        <f>IF($A135="","",INDEX(tBatches[[Age (days)]],131))</f>
        <v/>
      </c>
      <c r="H135" s="39">
        <f>IF($A135="","",N(INDEX(tBatches[[Initial Quantity]],131)))</f>
        <v/>
      </c>
      <c r="I135" s="39">
        <f>IF($A135="","",INDEX(tBatches[[Transfers In / Added]],131))</f>
        <v/>
      </c>
      <c r="J135" s="39">
        <f>IF($A135="","",INDEX(tBatches[[Deaths]],131))</f>
        <v/>
      </c>
      <c r="K135" s="39">
        <f>IF($A135="","",INDEX(tBatches[[Heads Sold]],131))</f>
        <v/>
      </c>
      <c r="L135" s="39">
        <f>IF($A135="","",INDEX(tBatches[[Transfers Out]],131))</f>
        <v/>
      </c>
      <c r="M135" s="39">
        <f>IF($A135="","",INDEX(tBatches[[Current Quantity]],131))</f>
        <v/>
      </c>
      <c r="N135" s="40">
        <f>IF($A135="","",IFERROR(J135/(H135+I135),0))</f>
        <v/>
      </c>
      <c r="O135" s="28">
        <f>IF($A135="","",SUMIFS(tFeedIss[[Quantity Issued in kg]],tFeedIss[[Batch ID]],$A135))</f>
        <v/>
      </c>
      <c r="P135" s="29">
        <f>IF($A135="","",SUMIFS(tFeedIss[[Total Cost]],tFeedIss[[Batch ID]],$A135))</f>
        <v/>
      </c>
      <c r="Q135" s="29">
        <f>IF($A135="","",SUMIFS(tDrugUse[[Total Cost]],tDrugUse[[Batch ID]],$A135))</f>
        <v/>
      </c>
      <c r="R135" s="29">
        <f>IF($A135="","",SUMIFS(tExp[[Amount]],tExp[[Batch ID (if applicable)]],$A135))</f>
        <v/>
      </c>
      <c r="S135" s="41">
        <f>IF($A135="","",P135+Q135+R135)</f>
        <v/>
      </c>
      <c r="T135" s="41">
        <f>IF($A135="","",SUMIFS(tSales[[Total Revenue]],tSales[[Batch ID]],$A135))</f>
        <v/>
      </c>
      <c r="U135" s="41">
        <f>IF($A135="","",T135-S135)</f>
        <v/>
      </c>
      <c r="V135" s="29">
        <f>IF($A135="","",IFERROR(S135/(H135+I135),""))</f>
        <v/>
      </c>
      <c r="W135" s="29">
        <f>IF($A135="","",IF(K135=0,"",T135/K135))</f>
        <v/>
      </c>
      <c r="X135" s="42">
        <f>IF($A135="","",IFERROR(O135/(H135+I135),""))</f>
        <v/>
      </c>
      <c r="Y135" s="43">
        <f>IF($A135="","",IF(_xlfn.MAXIFS(tProd[[Date]],tProd[[Batch ID]],$A135,tProd[[Measurement Type]],"Weighing")=0,"",IFERROR(AVERAGEIFS(tProd[[Average Weight kg]],tProd[[Batch ID]],$A135,tProd[[Measurement Type]],"Weighing",tProd[[Date]],_xlfn.MAXIFS(tProd[[Date]],tProd[[Batch ID]],$A135,tProd[[Measurement Type]],"Weighing")),"")))</f>
        <v/>
      </c>
    </row>
    <row r="136">
      <c r="A136" s="27">
        <f>IFERROR(INDEX(tBatches[[Batch ID]],132)&amp;"","")</f>
        <v/>
      </c>
      <c r="B136" s="36">
        <f>IF($A136="","",INDEX(tBatches[[Pen ID]],132)&amp;"")</f>
        <v/>
      </c>
      <c r="C136" s="36">
        <f>IF($A136="","",INDEX(tBatches[[Animal Type]],132)&amp;"")</f>
        <v/>
      </c>
      <c r="D136" s="31">
        <f>IF($A136="","",INDEX(tBatches[[Batch Start Date]],132))</f>
        <v/>
      </c>
      <c r="E136" s="36">
        <f>IF($A136="","",INDEX(tBatches[[Status]],132)&amp;"")</f>
        <v/>
      </c>
      <c r="F136" s="31">
        <f>IF($A136="","",IF(N(INDEX(tBatches[[Closing Date]],132))=0,"",INDEX(tBatches[[Closing Date]],132)))</f>
        <v/>
      </c>
      <c r="G136" s="39">
        <f>IF($A136="","",INDEX(tBatches[[Age (days)]],132))</f>
        <v/>
      </c>
      <c r="H136" s="39">
        <f>IF($A136="","",N(INDEX(tBatches[[Initial Quantity]],132)))</f>
        <v/>
      </c>
      <c r="I136" s="39">
        <f>IF($A136="","",INDEX(tBatches[[Transfers In / Added]],132))</f>
        <v/>
      </c>
      <c r="J136" s="39">
        <f>IF($A136="","",INDEX(tBatches[[Deaths]],132))</f>
        <v/>
      </c>
      <c r="K136" s="39">
        <f>IF($A136="","",INDEX(tBatches[[Heads Sold]],132))</f>
        <v/>
      </c>
      <c r="L136" s="39">
        <f>IF($A136="","",INDEX(tBatches[[Transfers Out]],132))</f>
        <v/>
      </c>
      <c r="M136" s="39">
        <f>IF($A136="","",INDEX(tBatches[[Current Quantity]],132))</f>
        <v/>
      </c>
      <c r="N136" s="40">
        <f>IF($A136="","",IFERROR(J136/(H136+I136),0))</f>
        <v/>
      </c>
      <c r="O136" s="28">
        <f>IF($A136="","",SUMIFS(tFeedIss[[Quantity Issued in kg]],tFeedIss[[Batch ID]],$A136))</f>
        <v/>
      </c>
      <c r="P136" s="29">
        <f>IF($A136="","",SUMIFS(tFeedIss[[Total Cost]],tFeedIss[[Batch ID]],$A136))</f>
        <v/>
      </c>
      <c r="Q136" s="29">
        <f>IF($A136="","",SUMIFS(tDrugUse[[Total Cost]],tDrugUse[[Batch ID]],$A136))</f>
        <v/>
      </c>
      <c r="R136" s="29">
        <f>IF($A136="","",SUMIFS(tExp[[Amount]],tExp[[Batch ID (if applicable)]],$A136))</f>
        <v/>
      </c>
      <c r="S136" s="41">
        <f>IF($A136="","",P136+Q136+R136)</f>
        <v/>
      </c>
      <c r="T136" s="41">
        <f>IF($A136="","",SUMIFS(tSales[[Total Revenue]],tSales[[Batch ID]],$A136))</f>
        <v/>
      </c>
      <c r="U136" s="41">
        <f>IF($A136="","",T136-S136)</f>
        <v/>
      </c>
      <c r="V136" s="29">
        <f>IF($A136="","",IFERROR(S136/(H136+I136),""))</f>
        <v/>
      </c>
      <c r="W136" s="29">
        <f>IF($A136="","",IF(K136=0,"",T136/K136))</f>
        <v/>
      </c>
      <c r="X136" s="42">
        <f>IF($A136="","",IFERROR(O136/(H136+I136),""))</f>
        <v/>
      </c>
      <c r="Y136" s="43">
        <f>IF($A136="","",IF(_xlfn.MAXIFS(tProd[[Date]],tProd[[Batch ID]],$A136,tProd[[Measurement Type]],"Weighing")=0,"",IFERROR(AVERAGEIFS(tProd[[Average Weight kg]],tProd[[Batch ID]],$A136,tProd[[Measurement Type]],"Weighing",tProd[[Date]],_xlfn.MAXIFS(tProd[[Date]],tProd[[Batch ID]],$A136,tProd[[Measurement Type]],"Weighing")),"")))</f>
        <v/>
      </c>
    </row>
    <row r="137">
      <c r="A137" s="27">
        <f>IFERROR(INDEX(tBatches[[Batch ID]],133)&amp;"","")</f>
        <v/>
      </c>
      <c r="B137" s="36">
        <f>IF($A137="","",INDEX(tBatches[[Pen ID]],133)&amp;"")</f>
        <v/>
      </c>
      <c r="C137" s="36">
        <f>IF($A137="","",INDEX(tBatches[[Animal Type]],133)&amp;"")</f>
        <v/>
      </c>
      <c r="D137" s="31">
        <f>IF($A137="","",INDEX(tBatches[[Batch Start Date]],133))</f>
        <v/>
      </c>
      <c r="E137" s="36">
        <f>IF($A137="","",INDEX(tBatches[[Status]],133)&amp;"")</f>
        <v/>
      </c>
      <c r="F137" s="31">
        <f>IF($A137="","",IF(N(INDEX(tBatches[[Closing Date]],133))=0,"",INDEX(tBatches[[Closing Date]],133)))</f>
        <v/>
      </c>
      <c r="G137" s="39">
        <f>IF($A137="","",INDEX(tBatches[[Age (days)]],133))</f>
        <v/>
      </c>
      <c r="H137" s="39">
        <f>IF($A137="","",N(INDEX(tBatches[[Initial Quantity]],133)))</f>
        <v/>
      </c>
      <c r="I137" s="39">
        <f>IF($A137="","",INDEX(tBatches[[Transfers In / Added]],133))</f>
        <v/>
      </c>
      <c r="J137" s="39">
        <f>IF($A137="","",INDEX(tBatches[[Deaths]],133))</f>
        <v/>
      </c>
      <c r="K137" s="39">
        <f>IF($A137="","",INDEX(tBatches[[Heads Sold]],133))</f>
        <v/>
      </c>
      <c r="L137" s="39">
        <f>IF($A137="","",INDEX(tBatches[[Transfers Out]],133))</f>
        <v/>
      </c>
      <c r="M137" s="39">
        <f>IF($A137="","",INDEX(tBatches[[Current Quantity]],133))</f>
        <v/>
      </c>
      <c r="N137" s="40">
        <f>IF($A137="","",IFERROR(J137/(H137+I137),0))</f>
        <v/>
      </c>
      <c r="O137" s="28">
        <f>IF($A137="","",SUMIFS(tFeedIss[[Quantity Issued in kg]],tFeedIss[[Batch ID]],$A137))</f>
        <v/>
      </c>
      <c r="P137" s="29">
        <f>IF($A137="","",SUMIFS(tFeedIss[[Total Cost]],tFeedIss[[Batch ID]],$A137))</f>
        <v/>
      </c>
      <c r="Q137" s="29">
        <f>IF($A137="","",SUMIFS(tDrugUse[[Total Cost]],tDrugUse[[Batch ID]],$A137))</f>
        <v/>
      </c>
      <c r="R137" s="29">
        <f>IF($A137="","",SUMIFS(tExp[[Amount]],tExp[[Batch ID (if applicable)]],$A137))</f>
        <v/>
      </c>
      <c r="S137" s="41">
        <f>IF($A137="","",P137+Q137+R137)</f>
        <v/>
      </c>
      <c r="T137" s="41">
        <f>IF($A137="","",SUMIFS(tSales[[Total Revenue]],tSales[[Batch ID]],$A137))</f>
        <v/>
      </c>
      <c r="U137" s="41">
        <f>IF($A137="","",T137-S137)</f>
        <v/>
      </c>
      <c r="V137" s="29">
        <f>IF($A137="","",IFERROR(S137/(H137+I137),""))</f>
        <v/>
      </c>
      <c r="W137" s="29">
        <f>IF($A137="","",IF(K137=0,"",T137/K137))</f>
        <v/>
      </c>
      <c r="X137" s="42">
        <f>IF($A137="","",IFERROR(O137/(H137+I137),""))</f>
        <v/>
      </c>
      <c r="Y137" s="43">
        <f>IF($A137="","",IF(_xlfn.MAXIFS(tProd[[Date]],tProd[[Batch ID]],$A137,tProd[[Measurement Type]],"Weighing")=0,"",IFERROR(AVERAGEIFS(tProd[[Average Weight kg]],tProd[[Batch ID]],$A137,tProd[[Measurement Type]],"Weighing",tProd[[Date]],_xlfn.MAXIFS(tProd[[Date]],tProd[[Batch ID]],$A137,tProd[[Measurement Type]],"Weighing")),"")))</f>
        <v/>
      </c>
    </row>
    <row r="138">
      <c r="A138" s="27">
        <f>IFERROR(INDEX(tBatches[[Batch ID]],134)&amp;"","")</f>
        <v/>
      </c>
      <c r="B138" s="36">
        <f>IF($A138="","",INDEX(tBatches[[Pen ID]],134)&amp;"")</f>
        <v/>
      </c>
      <c r="C138" s="36">
        <f>IF($A138="","",INDEX(tBatches[[Animal Type]],134)&amp;"")</f>
        <v/>
      </c>
      <c r="D138" s="31">
        <f>IF($A138="","",INDEX(tBatches[[Batch Start Date]],134))</f>
        <v/>
      </c>
      <c r="E138" s="36">
        <f>IF($A138="","",INDEX(tBatches[[Status]],134)&amp;"")</f>
        <v/>
      </c>
      <c r="F138" s="31">
        <f>IF($A138="","",IF(N(INDEX(tBatches[[Closing Date]],134))=0,"",INDEX(tBatches[[Closing Date]],134)))</f>
        <v/>
      </c>
      <c r="G138" s="39">
        <f>IF($A138="","",INDEX(tBatches[[Age (days)]],134))</f>
        <v/>
      </c>
      <c r="H138" s="39">
        <f>IF($A138="","",N(INDEX(tBatches[[Initial Quantity]],134)))</f>
        <v/>
      </c>
      <c r="I138" s="39">
        <f>IF($A138="","",INDEX(tBatches[[Transfers In / Added]],134))</f>
        <v/>
      </c>
      <c r="J138" s="39">
        <f>IF($A138="","",INDEX(tBatches[[Deaths]],134))</f>
        <v/>
      </c>
      <c r="K138" s="39">
        <f>IF($A138="","",INDEX(tBatches[[Heads Sold]],134))</f>
        <v/>
      </c>
      <c r="L138" s="39">
        <f>IF($A138="","",INDEX(tBatches[[Transfers Out]],134))</f>
        <v/>
      </c>
      <c r="M138" s="39">
        <f>IF($A138="","",INDEX(tBatches[[Current Quantity]],134))</f>
        <v/>
      </c>
      <c r="N138" s="40">
        <f>IF($A138="","",IFERROR(J138/(H138+I138),0))</f>
        <v/>
      </c>
      <c r="O138" s="28">
        <f>IF($A138="","",SUMIFS(tFeedIss[[Quantity Issued in kg]],tFeedIss[[Batch ID]],$A138))</f>
        <v/>
      </c>
      <c r="P138" s="29">
        <f>IF($A138="","",SUMIFS(tFeedIss[[Total Cost]],tFeedIss[[Batch ID]],$A138))</f>
        <v/>
      </c>
      <c r="Q138" s="29">
        <f>IF($A138="","",SUMIFS(tDrugUse[[Total Cost]],tDrugUse[[Batch ID]],$A138))</f>
        <v/>
      </c>
      <c r="R138" s="29">
        <f>IF($A138="","",SUMIFS(tExp[[Amount]],tExp[[Batch ID (if applicable)]],$A138))</f>
        <v/>
      </c>
      <c r="S138" s="41">
        <f>IF($A138="","",P138+Q138+R138)</f>
        <v/>
      </c>
      <c r="T138" s="41">
        <f>IF($A138="","",SUMIFS(tSales[[Total Revenue]],tSales[[Batch ID]],$A138))</f>
        <v/>
      </c>
      <c r="U138" s="41">
        <f>IF($A138="","",T138-S138)</f>
        <v/>
      </c>
      <c r="V138" s="29">
        <f>IF($A138="","",IFERROR(S138/(H138+I138),""))</f>
        <v/>
      </c>
      <c r="W138" s="29">
        <f>IF($A138="","",IF(K138=0,"",T138/K138))</f>
        <v/>
      </c>
      <c r="X138" s="42">
        <f>IF($A138="","",IFERROR(O138/(H138+I138),""))</f>
        <v/>
      </c>
      <c r="Y138" s="43">
        <f>IF($A138="","",IF(_xlfn.MAXIFS(tProd[[Date]],tProd[[Batch ID]],$A138,tProd[[Measurement Type]],"Weighing")=0,"",IFERROR(AVERAGEIFS(tProd[[Average Weight kg]],tProd[[Batch ID]],$A138,tProd[[Measurement Type]],"Weighing",tProd[[Date]],_xlfn.MAXIFS(tProd[[Date]],tProd[[Batch ID]],$A138,tProd[[Measurement Type]],"Weighing")),"")))</f>
        <v/>
      </c>
    </row>
    <row r="139">
      <c r="A139" s="27">
        <f>IFERROR(INDEX(tBatches[[Batch ID]],135)&amp;"","")</f>
        <v/>
      </c>
      <c r="B139" s="36">
        <f>IF($A139="","",INDEX(tBatches[[Pen ID]],135)&amp;"")</f>
        <v/>
      </c>
      <c r="C139" s="36">
        <f>IF($A139="","",INDEX(tBatches[[Animal Type]],135)&amp;"")</f>
        <v/>
      </c>
      <c r="D139" s="31">
        <f>IF($A139="","",INDEX(tBatches[[Batch Start Date]],135))</f>
        <v/>
      </c>
      <c r="E139" s="36">
        <f>IF($A139="","",INDEX(tBatches[[Status]],135)&amp;"")</f>
        <v/>
      </c>
      <c r="F139" s="31">
        <f>IF($A139="","",IF(N(INDEX(tBatches[[Closing Date]],135))=0,"",INDEX(tBatches[[Closing Date]],135)))</f>
        <v/>
      </c>
      <c r="G139" s="39">
        <f>IF($A139="","",INDEX(tBatches[[Age (days)]],135))</f>
        <v/>
      </c>
      <c r="H139" s="39">
        <f>IF($A139="","",N(INDEX(tBatches[[Initial Quantity]],135)))</f>
        <v/>
      </c>
      <c r="I139" s="39">
        <f>IF($A139="","",INDEX(tBatches[[Transfers In / Added]],135))</f>
        <v/>
      </c>
      <c r="J139" s="39">
        <f>IF($A139="","",INDEX(tBatches[[Deaths]],135))</f>
        <v/>
      </c>
      <c r="K139" s="39">
        <f>IF($A139="","",INDEX(tBatches[[Heads Sold]],135))</f>
        <v/>
      </c>
      <c r="L139" s="39">
        <f>IF($A139="","",INDEX(tBatches[[Transfers Out]],135))</f>
        <v/>
      </c>
      <c r="M139" s="39">
        <f>IF($A139="","",INDEX(tBatches[[Current Quantity]],135))</f>
        <v/>
      </c>
      <c r="N139" s="40">
        <f>IF($A139="","",IFERROR(J139/(H139+I139),0))</f>
        <v/>
      </c>
      <c r="O139" s="28">
        <f>IF($A139="","",SUMIFS(tFeedIss[[Quantity Issued in kg]],tFeedIss[[Batch ID]],$A139))</f>
        <v/>
      </c>
      <c r="P139" s="29">
        <f>IF($A139="","",SUMIFS(tFeedIss[[Total Cost]],tFeedIss[[Batch ID]],$A139))</f>
        <v/>
      </c>
      <c r="Q139" s="29">
        <f>IF($A139="","",SUMIFS(tDrugUse[[Total Cost]],tDrugUse[[Batch ID]],$A139))</f>
        <v/>
      </c>
      <c r="R139" s="29">
        <f>IF($A139="","",SUMIFS(tExp[[Amount]],tExp[[Batch ID (if applicable)]],$A139))</f>
        <v/>
      </c>
      <c r="S139" s="41">
        <f>IF($A139="","",P139+Q139+R139)</f>
        <v/>
      </c>
      <c r="T139" s="41">
        <f>IF($A139="","",SUMIFS(tSales[[Total Revenue]],tSales[[Batch ID]],$A139))</f>
        <v/>
      </c>
      <c r="U139" s="41">
        <f>IF($A139="","",T139-S139)</f>
        <v/>
      </c>
      <c r="V139" s="29">
        <f>IF($A139="","",IFERROR(S139/(H139+I139),""))</f>
        <v/>
      </c>
      <c r="W139" s="29">
        <f>IF($A139="","",IF(K139=0,"",T139/K139))</f>
        <v/>
      </c>
      <c r="X139" s="42">
        <f>IF($A139="","",IFERROR(O139/(H139+I139),""))</f>
        <v/>
      </c>
      <c r="Y139" s="43">
        <f>IF($A139="","",IF(_xlfn.MAXIFS(tProd[[Date]],tProd[[Batch ID]],$A139,tProd[[Measurement Type]],"Weighing")=0,"",IFERROR(AVERAGEIFS(tProd[[Average Weight kg]],tProd[[Batch ID]],$A139,tProd[[Measurement Type]],"Weighing",tProd[[Date]],_xlfn.MAXIFS(tProd[[Date]],tProd[[Batch ID]],$A139,tProd[[Measurement Type]],"Weighing")),"")))</f>
        <v/>
      </c>
    </row>
    <row r="140">
      <c r="A140" s="27">
        <f>IFERROR(INDEX(tBatches[[Batch ID]],136)&amp;"","")</f>
        <v/>
      </c>
      <c r="B140" s="36">
        <f>IF($A140="","",INDEX(tBatches[[Pen ID]],136)&amp;"")</f>
        <v/>
      </c>
      <c r="C140" s="36">
        <f>IF($A140="","",INDEX(tBatches[[Animal Type]],136)&amp;"")</f>
        <v/>
      </c>
      <c r="D140" s="31">
        <f>IF($A140="","",INDEX(tBatches[[Batch Start Date]],136))</f>
        <v/>
      </c>
      <c r="E140" s="36">
        <f>IF($A140="","",INDEX(tBatches[[Status]],136)&amp;"")</f>
        <v/>
      </c>
      <c r="F140" s="31">
        <f>IF($A140="","",IF(N(INDEX(tBatches[[Closing Date]],136))=0,"",INDEX(tBatches[[Closing Date]],136)))</f>
        <v/>
      </c>
      <c r="G140" s="39">
        <f>IF($A140="","",INDEX(tBatches[[Age (days)]],136))</f>
        <v/>
      </c>
      <c r="H140" s="39">
        <f>IF($A140="","",N(INDEX(tBatches[[Initial Quantity]],136)))</f>
        <v/>
      </c>
      <c r="I140" s="39">
        <f>IF($A140="","",INDEX(tBatches[[Transfers In / Added]],136))</f>
        <v/>
      </c>
      <c r="J140" s="39">
        <f>IF($A140="","",INDEX(tBatches[[Deaths]],136))</f>
        <v/>
      </c>
      <c r="K140" s="39">
        <f>IF($A140="","",INDEX(tBatches[[Heads Sold]],136))</f>
        <v/>
      </c>
      <c r="L140" s="39">
        <f>IF($A140="","",INDEX(tBatches[[Transfers Out]],136))</f>
        <v/>
      </c>
      <c r="M140" s="39">
        <f>IF($A140="","",INDEX(tBatches[[Current Quantity]],136))</f>
        <v/>
      </c>
      <c r="N140" s="40">
        <f>IF($A140="","",IFERROR(J140/(H140+I140),0))</f>
        <v/>
      </c>
      <c r="O140" s="28">
        <f>IF($A140="","",SUMIFS(tFeedIss[[Quantity Issued in kg]],tFeedIss[[Batch ID]],$A140))</f>
        <v/>
      </c>
      <c r="P140" s="29">
        <f>IF($A140="","",SUMIFS(tFeedIss[[Total Cost]],tFeedIss[[Batch ID]],$A140))</f>
        <v/>
      </c>
      <c r="Q140" s="29">
        <f>IF($A140="","",SUMIFS(tDrugUse[[Total Cost]],tDrugUse[[Batch ID]],$A140))</f>
        <v/>
      </c>
      <c r="R140" s="29">
        <f>IF($A140="","",SUMIFS(tExp[[Amount]],tExp[[Batch ID (if applicable)]],$A140))</f>
        <v/>
      </c>
      <c r="S140" s="41">
        <f>IF($A140="","",P140+Q140+R140)</f>
        <v/>
      </c>
      <c r="T140" s="41">
        <f>IF($A140="","",SUMIFS(tSales[[Total Revenue]],tSales[[Batch ID]],$A140))</f>
        <v/>
      </c>
      <c r="U140" s="41">
        <f>IF($A140="","",T140-S140)</f>
        <v/>
      </c>
      <c r="V140" s="29">
        <f>IF($A140="","",IFERROR(S140/(H140+I140),""))</f>
        <v/>
      </c>
      <c r="W140" s="29">
        <f>IF($A140="","",IF(K140=0,"",T140/K140))</f>
        <v/>
      </c>
      <c r="X140" s="42">
        <f>IF($A140="","",IFERROR(O140/(H140+I140),""))</f>
        <v/>
      </c>
      <c r="Y140" s="43">
        <f>IF($A140="","",IF(_xlfn.MAXIFS(tProd[[Date]],tProd[[Batch ID]],$A140,tProd[[Measurement Type]],"Weighing")=0,"",IFERROR(AVERAGEIFS(tProd[[Average Weight kg]],tProd[[Batch ID]],$A140,tProd[[Measurement Type]],"Weighing",tProd[[Date]],_xlfn.MAXIFS(tProd[[Date]],tProd[[Batch ID]],$A140,tProd[[Measurement Type]],"Weighing")),"")))</f>
        <v/>
      </c>
    </row>
    <row r="141">
      <c r="A141" s="27">
        <f>IFERROR(INDEX(tBatches[[Batch ID]],137)&amp;"","")</f>
        <v/>
      </c>
      <c r="B141" s="36">
        <f>IF($A141="","",INDEX(tBatches[[Pen ID]],137)&amp;"")</f>
        <v/>
      </c>
      <c r="C141" s="36">
        <f>IF($A141="","",INDEX(tBatches[[Animal Type]],137)&amp;"")</f>
        <v/>
      </c>
      <c r="D141" s="31">
        <f>IF($A141="","",INDEX(tBatches[[Batch Start Date]],137))</f>
        <v/>
      </c>
      <c r="E141" s="36">
        <f>IF($A141="","",INDEX(tBatches[[Status]],137)&amp;"")</f>
        <v/>
      </c>
      <c r="F141" s="31">
        <f>IF($A141="","",IF(N(INDEX(tBatches[[Closing Date]],137))=0,"",INDEX(tBatches[[Closing Date]],137)))</f>
        <v/>
      </c>
      <c r="G141" s="39">
        <f>IF($A141="","",INDEX(tBatches[[Age (days)]],137))</f>
        <v/>
      </c>
      <c r="H141" s="39">
        <f>IF($A141="","",N(INDEX(tBatches[[Initial Quantity]],137)))</f>
        <v/>
      </c>
      <c r="I141" s="39">
        <f>IF($A141="","",INDEX(tBatches[[Transfers In / Added]],137))</f>
        <v/>
      </c>
      <c r="J141" s="39">
        <f>IF($A141="","",INDEX(tBatches[[Deaths]],137))</f>
        <v/>
      </c>
      <c r="K141" s="39">
        <f>IF($A141="","",INDEX(tBatches[[Heads Sold]],137))</f>
        <v/>
      </c>
      <c r="L141" s="39">
        <f>IF($A141="","",INDEX(tBatches[[Transfers Out]],137))</f>
        <v/>
      </c>
      <c r="M141" s="39">
        <f>IF($A141="","",INDEX(tBatches[[Current Quantity]],137))</f>
        <v/>
      </c>
      <c r="N141" s="40">
        <f>IF($A141="","",IFERROR(J141/(H141+I141),0))</f>
        <v/>
      </c>
      <c r="O141" s="28">
        <f>IF($A141="","",SUMIFS(tFeedIss[[Quantity Issued in kg]],tFeedIss[[Batch ID]],$A141))</f>
        <v/>
      </c>
      <c r="P141" s="29">
        <f>IF($A141="","",SUMIFS(tFeedIss[[Total Cost]],tFeedIss[[Batch ID]],$A141))</f>
        <v/>
      </c>
      <c r="Q141" s="29">
        <f>IF($A141="","",SUMIFS(tDrugUse[[Total Cost]],tDrugUse[[Batch ID]],$A141))</f>
        <v/>
      </c>
      <c r="R141" s="29">
        <f>IF($A141="","",SUMIFS(tExp[[Amount]],tExp[[Batch ID (if applicable)]],$A141))</f>
        <v/>
      </c>
      <c r="S141" s="41">
        <f>IF($A141="","",P141+Q141+R141)</f>
        <v/>
      </c>
      <c r="T141" s="41">
        <f>IF($A141="","",SUMIFS(tSales[[Total Revenue]],tSales[[Batch ID]],$A141))</f>
        <v/>
      </c>
      <c r="U141" s="41">
        <f>IF($A141="","",T141-S141)</f>
        <v/>
      </c>
      <c r="V141" s="29">
        <f>IF($A141="","",IFERROR(S141/(H141+I141),""))</f>
        <v/>
      </c>
      <c r="W141" s="29">
        <f>IF($A141="","",IF(K141=0,"",T141/K141))</f>
        <v/>
      </c>
      <c r="X141" s="42">
        <f>IF($A141="","",IFERROR(O141/(H141+I141),""))</f>
        <v/>
      </c>
      <c r="Y141" s="43">
        <f>IF($A141="","",IF(_xlfn.MAXIFS(tProd[[Date]],tProd[[Batch ID]],$A141,tProd[[Measurement Type]],"Weighing")=0,"",IFERROR(AVERAGEIFS(tProd[[Average Weight kg]],tProd[[Batch ID]],$A141,tProd[[Measurement Type]],"Weighing",tProd[[Date]],_xlfn.MAXIFS(tProd[[Date]],tProd[[Batch ID]],$A141,tProd[[Measurement Type]],"Weighing")),"")))</f>
        <v/>
      </c>
    </row>
    <row r="142">
      <c r="A142" s="27">
        <f>IFERROR(INDEX(tBatches[[Batch ID]],138)&amp;"","")</f>
        <v/>
      </c>
      <c r="B142" s="36">
        <f>IF($A142="","",INDEX(tBatches[[Pen ID]],138)&amp;"")</f>
        <v/>
      </c>
      <c r="C142" s="36">
        <f>IF($A142="","",INDEX(tBatches[[Animal Type]],138)&amp;"")</f>
        <v/>
      </c>
      <c r="D142" s="31">
        <f>IF($A142="","",INDEX(tBatches[[Batch Start Date]],138))</f>
        <v/>
      </c>
      <c r="E142" s="36">
        <f>IF($A142="","",INDEX(tBatches[[Status]],138)&amp;"")</f>
        <v/>
      </c>
      <c r="F142" s="31">
        <f>IF($A142="","",IF(N(INDEX(tBatches[[Closing Date]],138))=0,"",INDEX(tBatches[[Closing Date]],138)))</f>
        <v/>
      </c>
      <c r="G142" s="39">
        <f>IF($A142="","",INDEX(tBatches[[Age (days)]],138))</f>
        <v/>
      </c>
      <c r="H142" s="39">
        <f>IF($A142="","",N(INDEX(tBatches[[Initial Quantity]],138)))</f>
        <v/>
      </c>
      <c r="I142" s="39">
        <f>IF($A142="","",INDEX(tBatches[[Transfers In / Added]],138))</f>
        <v/>
      </c>
      <c r="J142" s="39">
        <f>IF($A142="","",INDEX(tBatches[[Deaths]],138))</f>
        <v/>
      </c>
      <c r="K142" s="39">
        <f>IF($A142="","",INDEX(tBatches[[Heads Sold]],138))</f>
        <v/>
      </c>
      <c r="L142" s="39">
        <f>IF($A142="","",INDEX(tBatches[[Transfers Out]],138))</f>
        <v/>
      </c>
      <c r="M142" s="39">
        <f>IF($A142="","",INDEX(tBatches[[Current Quantity]],138))</f>
        <v/>
      </c>
      <c r="N142" s="40">
        <f>IF($A142="","",IFERROR(J142/(H142+I142),0))</f>
        <v/>
      </c>
      <c r="O142" s="28">
        <f>IF($A142="","",SUMIFS(tFeedIss[[Quantity Issued in kg]],tFeedIss[[Batch ID]],$A142))</f>
        <v/>
      </c>
      <c r="P142" s="29">
        <f>IF($A142="","",SUMIFS(tFeedIss[[Total Cost]],tFeedIss[[Batch ID]],$A142))</f>
        <v/>
      </c>
      <c r="Q142" s="29">
        <f>IF($A142="","",SUMIFS(tDrugUse[[Total Cost]],tDrugUse[[Batch ID]],$A142))</f>
        <v/>
      </c>
      <c r="R142" s="29">
        <f>IF($A142="","",SUMIFS(tExp[[Amount]],tExp[[Batch ID (if applicable)]],$A142))</f>
        <v/>
      </c>
      <c r="S142" s="41">
        <f>IF($A142="","",P142+Q142+R142)</f>
        <v/>
      </c>
      <c r="T142" s="41">
        <f>IF($A142="","",SUMIFS(tSales[[Total Revenue]],tSales[[Batch ID]],$A142))</f>
        <v/>
      </c>
      <c r="U142" s="41">
        <f>IF($A142="","",T142-S142)</f>
        <v/>
      </c>
      <c r="V142" s="29">
        <f>IF($A142="","",IFERROR(S142/(H142+I142),""))</f>
        <v/>
      </c>
      <c r="W142" s="29">
        <f>IF($A142="","",IF(K142=0,"",T142/K142))</f>
        <v/>
      </c>
      <c r="X142" s="42">
        <f>IF($A142="","",IFERROR(O142/(H142+I142),""))</f>
        <v/>
      </c>
      <c r="Y142" s="43">
        <f>IF($A142="","",IF(_xlfn.MAXIFS(tProd[[Date]],tProd[[Batch ID]],$A142,tProd[[Measurement Type]],"Weighing")=0,"",IFERROR(AVERAGEIFS(tProd[[Average Weight kg]],tProd[[Batch ID]],$A142,tProd[[Measurement Type]],"Weighing",tProd[[Date]],_xlfn.MAXIFS(tProd[[Date]],tProd[[Batch ID]],$A142,tProd[[Measurement Type]],"Weighing")),"")))</f>
        <v/>
      </c>
    </row>
    <row r="143">
      <c r="A143" s="27">
        <f>IFERROR(INDEX(tBatches[[Batch ID]],139)&amp;"","")</f>
        <v/>
      </c>
      <c r="B143" s="36">
        <f>IF($A143="","",INDEX(tBatches[[Pen ID]],139)&amp;"")</f>
        <v/>
      </c>
      <c r="C143" s="36">
        <f>IF($A143="","",INDEX(tBatches[[Animal Type]],139)&amp;"")</f>
        <v/>
      </c>
      <c r="D143" s="31">
        <f>IF($A143="","",INDEX(tBatches[[Batch Start Date]],139))</f>
        <v/>
      </c>
      <c r="E143" s="36">
        <f>IF($A143="","",INDEX(tBatches[[Status]],139)&amp;"")</f>
        <v/>
      </c>
      <c r="F143" s="31">
        <f>IF($A143="","",IF(N(INDEX(tBatches[[Closing Date]],139))=0,"",INDEX(tBatches[[Closing Date]],139)))</f>
        <v/>
      </c>
      <c r="G143" s="39">
        <f>IF($A143="","",INDEX(tBatches[[Age (days)]],139))</f>
        <v/>
      </c>
      <c r="H143" s="39">
        <f>IF($A143="","",N(INDEX(tBatches[[Initial Quantity]],139)))</f>
        <v/>
      </c>
      <c r="I143" s="39">
        <f>IF($A143="","",INDEX(tBatches[[Transfers In / Added]],139))</f>
        <v/>
      </c>
      <c r="J143" s="39">
        <f>IF($A143="","",INDEX(tBatches[[Deaths]],139))</f>
        <v/>
      </c>
      <c r="K143" s="39">
        <f>IF($A143="","",INDEX(tBatches[[Heads Sold]],139))</f>
        <v/>
      </c>
      <c r="L143" s="39">
        <f>IF($A143="","",INDEX(tBatches[[Transfers Out]],139))</f>
        <v/>
      </c>
      <c r="M143" s="39">
        <f>IF($A143="","",INDEX(tBatches[[Current Quantity]],139))</f>
        <v/>
      </c>
      <c r="N143" s="40">
        <f>IF($A143="","",IFERROR(J143/(H143+I143),0))</f>
        <v/>
      </c>
      <c r="O143" s="28">
        <f>IF($A143="","",SUMIFS(tFeedIss[[Quantity Issued in kg]],tFeedIss[[Batch ID]],$A143))</f>
        <v/>
      </c>
      <c r="P143" s="29">
        <f>IF($A143="","",SUMIFS(tFeedIss[[Total Cost]],tFeedIss[[Batch ID]],$A143))</f>
        <v/>
      </c>
      <c r="Q143" s="29">
        <f>IF($A143="","",SUMIFS(tDrugUse[[Total Cost]],tDrugUse[[Batch ID]],$A143))</f>
        <v/>
      </c>
      <c r="R143" s="29">
        <f>IF($A143="","",SUMIFS(tExp[[Amount]],tExp[[Batch ID (if applicable)]],$A143))</f>
        <v/>
      </c>
      <c r="S143" s="41">
        <f>IF($A143="","",P143+Q143+R143)</f>
        <v/>
      </c>
      <c r="T143" s="41">
        <f>IF($A143="","",SUMIFS(tSales[[Total Revenue]],tSales[[Batch ID]],$A143))</f>
        <v/>
      </c>
      <c r="U143" s="41">
        <f>IF($A143="","",T143-S143)</f>
        <v/>
      </c>
      <c r="V143" s="29">
        <f>IF($A143="","",IFERROR(S143/(H143+I143),""))</f>
        <v/>
      </c>
      <c r="W143" s="29">
        <f>IF($A143="","",IF(K143=0,"",T143/K143))</f>
        <v/>
      </c>
      <c r="X143" s="42">
        <f>IF($A143="","",IFERROR(O143/(H143+I143),""))</f>
        <v/>
      </c>
      <c r="Y143" s="43">
        <f>IF($A143="","",IF(_xlfn.MAXIFS(tProd[[Date]],tProd[[Batch ID]],$A143,tProd[[Measurement Type]],"Weighing")=0,"",IFERROR(AVERAGEIFS(tProd[[Average Weight kg]],tProd[[Batch ID]],$A143,tProd[[Measurement Type]],"Weighing",tProd[[Date]],_xlfn.MAXIFS(tProd[[Date]],tProd[[Batch ID]],$A143,tProd[[Measurement Type]],"Weighing")),"")))</f>
        <v/>
      </c>
    </row>
    <row r="144">
      <c r="A144" s="27">
        <f>IFERROR(INDEX(tBatches[[Batch ID]],140)&amp;"","")</f>
        <v/>
      </c>
      <c r="B144" s="36">
        <f>IF($A144="","",INDEX(tBatches[[Pen ID]],140)&amp;"")</f>
        <v/>
      </c>
      <c r="C144" s="36">
        <f>IF($A144="","",INDEX(tBatches[[Animal Type]],140)&amp;"")</f>
        <v/>
      </c>
      <c r="D144" s="31">
        <f>IF($A144="","",INDEX(tBatches[[Batch Start Date]],140))</f>
        <v/>
      </c>
      <c r="E144" s="36">
        <f>IF($A144="","",INDEX(tBatches[[Status]],140)&amp;"")</f>
        <v/>
      </c>
      <c r="F144" s="31">
        <f>IF($A144="","",IF(N(INDEX(tBatches[[Closing Date]],140))=0,"",INDEX(tBatches[[Closing Date]],140)))</f>
        <v/>
      </c>
      <c r="G144" s="39">
        <f>IF($A144="","",INDEX(tBatches[[Age (days)]],140))</f>
        <v/>
      </c>
      <c r="H144" s="39">
        <f>IF($A144="","",N(INDEX(tBatches[[Initial Quantity]],140)))</f>
        <v/>
      </c>
      <c r="I144" s="39">
        <f>IF($A144="","",INDEX(tBatches[[Transfers In / Added]],140))</f>
        <v/>
      </c>
      <c r="J144" s="39">
        <f>IF($A144="","",INDEX(tBatches[[Deaths]],140))</f>
        <v/>
      </c>
      <c r="K144" s="39">
        <f>IF($A144="","",INDEX(tBatches[[Heads Sold]],140))</f>
        <v/>
      </c>
      <c r="L144" s="39">
        <f>IF($A144="","",INDEX(tBatches[[Transfers Out]],140))</f>
        <v/>
      </c>
      <c r="M144" s="39">
        <f>IF($A144="","",INDEX(tBatches[[Current Quantity]],140))</f>
        <v/>
      </c>
      <c r="N144" s="40">
        <f>IF($A144="","",IFERROR(J144/(H144+I144),0))</f>
        <v/>
      </c>
      <c r="O144" s="28">
        <f>IF($A144="","",SUMIFS(tFeedIss[[Quantity Issued in kg]],tFeedIss[[Batch ID]],$A144))</f>
        <v/>
      </c>
      <c r="P144" s="29">
        <f>IF($A144="","",SUMIFS(tFeedIss[[Total Cost]],tFeedIss[[Batch ID]],$A144))</f>
        <v/>
      </c>
      <c r="Q144" s="29">
        <f>IF($A144="","",SUMIFS(tDrugUse[[Total Cost]],tDrugUse[[Batch ID]],$A144))</f>
        <v/>
      </c>
      <c r="R144" s="29">
        <f>IF($A144="","",SUMIFS(tExp[[Amount]],tExp[[Batch ID (if applicable)]],$A144))</f>
        <v/>
      </c>
      <c r="S144" s="41">
        <f>IF($A144="","",P144+Q144+R144)</f>
        <v/>
      </c>
      <c r="T144" s="41">
        <f>IF($A144="","",SUMIFS(tSales[[Total Revenue]],tSales[[Batch ID]],$A144))</f>
        <v/>
      </c>
      <c r="U144" s="41">
        <f>IF($A144="","",T144-S144)</f>
        <v/>
      </c>
      <c r="V144" s="29">
        <f>IF($A144="","",IFERROR(S144/(H144+I144),""))</f>
        <v/>
      </c>
      <c r="W144" s="29">
        <f>IF($A144="","",IF(K144=0,"",T144/K144))</f>
        <v/>
      </c>
      <c r="X144" s="42">
        <f>IF($A144="","",IFERROR(O144/(H144+I144),""))</f>
        <v/>
      </c>
      <c r="Y144" s="43">
        <f>IF($A144="","",IF(_xlfn.MAXIFS(tProd[[Date]],tProd[[Batch ID]],$A144,tProd[[Measurement Type]],"Weighing")=0,"",IFERROR(AVERAGEIFS(tProd[[Average Weight kg]],tProd[[Batch ID]],$A144,tProd[[Measurement Type]],"Weighing",tProd[[Date]],_xlfn.MAXIFS(tProd[[Date]],tProd[[Batch ID]],$A144,tProd[[Measurement Type]],"Weighing")),"")))</f>
        <v/>
      </c>
    </row>
    <row r="145">
      <c r="A145" s="27">
        <f>IFERROR(INDEX(tBatches[[Batch ID]],141)&amp;"","")</f>
        <v/>
      </c>
      <c r="B145" s="36">
        <f>IF($A145="","",INDEX(tBatches[[Pen ID]],141)&amp;"")</f>
        <v/>
      </c>
      <c r="C145" s="36">
        <f>IF($A145="","",INDEX(tBatches[[Animal Type]],141)&amp;"")</f>
        <v/>
      </c>
      <c r="D145" s="31">
        <f>IF($A145="","",INDEX(tBatches[[Batch Start Date]],141))</f>
        <v/>
      </c>
      <c r="E145" s="36">
        <f>IF($A145="","",INDEX(tBatches[[Status]],141)&amp;"")</f>
        <v/>
      </c>
      <c r="F145" s="31">
        <f>IF($A145="","",IF(N(INDEX(tBatches[[Closing Date]],141))=0,"",INDEX(tBatches[[Closing Date]],141)))</f>
        <v/>
      </c>
      <c r="G145" s="39">
        <f>IF($A145="","",INDEX(tBatches[[Age (days)]],141))</f>
        <v/>
      </c>
      <c r="H145" s="39">
        <f>IF($A145="","",N(INDEX(tBatches[[Initial Quantity]],141)))</f>
        <v/>
      </c>
      <c r="I145" s="39">
        <f>IF($A145="","",INDEX(tBatches[[Transfers In / Added]],141))</f>
        <v/>
      </c>
      <c r="J145" s="39">
        <f>IF($A145="","",INDEX(tBatches[[Deaths]],141))</f>
        <v/>
      </c>
      <c r="K145" s="39">
        <f>IF($A145="","",INDEX(tBatches[[Heads Sold]],141))</f>
        <v/>
      </c>
      <c r="L145" s="39">
        <f>IF($A145="","",INDEX(tBatches[[Transfers Out]],141))</f>
        <v/>
      </c>
      <c r="M145" s="39">
        <f>IF($A145="","",INDEX(tBatches[[Current Quantity]],141))</f>
        <v/>
      </c>
      <c r="N145" s="40">
        <f>IF($A145="","",IFERROR(J145/(H145+I145),0))</f>
        <v/>
      </c>
      <c r="O145" s="28">
        <f>IF($A145="","",SUMIFS(tFeedIss[[Quantity Issued in kg]],tFeedIss[[Batch ID]],$A145))</f>
        <v/>
      </c>
      <c r="P145" s="29">
        <f>IF($A145="","",SUMIFS(tFeedIss[[Total Cost]],tFeedIss[[Batch ID]],$A145))</f>
        <v/>
      </c>
      <c r="Q145" s="29">
        <f>IF($A145="","",SUMIFS(tDrugUse[[Total Cost]],tDrugUse[[Batch ID]],$A145))</f>
        <v/>
      </c>
      <c r="R145" s="29">
        <f>IF($A145="","",SUMIFS(tExp[[Amount]],tExp[[Batch ID (if applicable)]],$A145))</f>
        <v/>
      </c>
      <c r="S145" s="41">
        <f>IF($A145="","",P145+Q145+R145)</f>
        <v/>
      </c>
      <c r="T145" s="41">
        <f>IF($A145="","",SUMIFS(tSales[[Total Revenue]],tSales[[Batch ID]],$A145))</f>
        <v/>
      </c>
      <c r="U145" s="41">
        <f>IF($A145="","",T145-S145)</f>
        <v/>
      </c>
      <c r="V145" s="29">
        <f>IF($A145="","",IFERROR(S145/(H145+I145),""))</f>
        <v/>
      </c>
      <c r="W145" s="29">
        <f>IF($A145="","",IF(K145=0,"",T145/K145))</f>
        <v/>
      </c>
      <c r="X145" s="42">
        <f>IF($A145="","",IFERROR(O145/(H145+I145),""))</f>
        <v/>
      </c>
      <c r="Y145" s="43">
        <f>IF($A145="","",IF(_xlfn.MAXIFS(tProd[[Date]],tProd[[Batch ID]],$A145,tProd[[Measurement Type]],"Weighing")=0,"",IFERROR(AVERAGEIFS(tProd[[Average Weight kg]],tProd[[Batch ID]],$A145,tProd[[Measurement Type]],"Weighing",tProd[[Date]],_xlfn.MAXIFS(tProd[[Date]],tProd[[Batch ID]],$A145,tProd[[Measurement Type]],"Weighing")),"")))</f>
        <v/>
      </c>
    </row>
    <row r="146">
      <c r="A146" s="27">
        <f>IFERROR(INDEX(tBatches[[Batch ID]],142)&amp;"","")</f>
        <v/>
      </c>
      <c r="B146" s="36">
        <f>IF($A146="","",INDEX(tBatches[[Pen ID]],142)&amp;"")</f>
        <v/>
      </c>
      <c r="C146" s="36">
        <f>IF($A146="","",INDEX(tBatches[[Animal Type]],142)&amp;"")</f>
        <v/>
      </c>
      <c r="D146" s="31">
        <f>IF($A146="","",INDEX(tBatches[[Batch Start Date]],142))</f>
        <v/>
      </c>
      <c r="E146" s="36">
        <f>IF($A146="","",INDEX(tBatches[[Status]],142)&amp;"")</f>
        <v/>
      </c>
      <c r="F146" s="31">
        <f>IF($A146="","",IF(N(INDEX(tBatches[[Closing Date]],142))=0,"",INDEX(tBatches[[Closing Date]],142)))</f>
        <v/>
      </c>
      <c r="G146" s="39">
        <f>IF($A146="","",INDEX(tBatches[[Age (days)]],142))</f>
        <v/>
      </c>
      <c r="H146" s="39">
        <f>IF($A146="","",N(INDEX(tBatches[[Initial Quantity]],142)))</f>
        <v/>
      </c>
      <c r="I146" s="39">
        <f>IF($A146="","",INDEX(tBatches[[Transfers In / Added]],142))</f>
        <v/>
      </c>
      <c r="J146" s="39">
        <f>IF($A146="","",INDEX(tBatches[[Deaths]],142))</f>
        <v/>
      </c>
      <c r="K146" s="39">
        <f>IF($A146="","",INDEX(tBatches[[Heads Sold]],142))</f>
        <v/>
      </c>
      <c r="L146" s="39">
        <f>IF($A146="","",INDEX(tBatches[[Transfers Out]],142))</f>
        <v/>
      </c>
      <c r="M146" s="39">
        <f>IF($A146="","",INDEX(tBatches[[Current Quantity]],142))</f>
        <v/>
      </c>
      <c r="N146" s="40">
        <f>IF($A146="","",IFERROR(J146/(H146+I146),0))</f>
        <v/>
      </c>
      <c r="O146" s="28">
        <f>IF($A146="","",SUMIFS(tFeedIss[[Quantity Issued in kg]],tFeedIss[[Batch ID]],$A146))</f>
        <v/>
      </c>
      <c r="P146" s="29">
        <f>IF($A146="","",SUMIFS(tFeedIss[[Total Cost]],tFeedIss[[Batch ID]],$A146))</f>
        <v/>
      </c>
      <c r="Q146" s="29">
        <f>IF($A146="","",SUMIFS(tDrugUse[[Total Cost]],tDrugUse[[Batch ID]],$A146))</f>
        <v/>
      </c>
      <c r="R146" s="29">
        <f>IF($A146="","",SUMIFS(tExp[[Amount]],tExp[[Batch ID (if applicable)]],$A146))</f>
        <v/>
      </c>
      <c r="S146" s="41">
        <f>IF($A146="","",P146+Q146+R146)</f>
        <v/>
      </c>
      <c r="T146" s="41">
        <f>IF($A146="","",SUMIFS(tSales[[Total Revenue]],tSales[[Batch ID]],$A146))</f>
        <v/>
      </c>
      <c r="U146" s="41">
        <f>IF($A146="","",T146-S146)</f>
        <v/>
      </c>
      <c r="V146" s="29">
        <f>IF($A146="","",IFERROR(S146/(H146+I146),""))</f>
        <v/>
      </c>
      <c r="W146" s="29">
        <f>IF($A146="","",IF(K146=0,"",T146/K146))</f>
        <v/>
      </c>
      <c r="X146" s="42">
        <f>IF($A146="","",IFERROR(O146/(H146+I146),""))</f>
        <v/>
      </c>
      <c r="Y146" s="43">
        <f>IF($A146="","",IF(_xlfn.MAXIFS(tProd[[Date]],tProd[[Batch ID]],$A146,tProd[[Measurement Type]],"Weighing")=0,"",IFERROR(AVERAGEIFS(tProd[[Average Weight kg]],tProd[[Batch ID]],$A146,tProd[[Measurement Type]],"Weighing",tProd[[Date]],_xlfn.MAXIFS(tProd[[Date]],tProd[[Batch ID]],$A146,tProd[[Measurement Type]],"Weighing")),"")))</f>
        <v/>
      </c>
    </row>
    <row r="147">
      <c r="A147" s="27">
        <f>IFERROR(INDEX(tBatches[[Batch ID]],143)&amp;"","")</f>
        <v/>
      </c>
      <c r="B147" s="36">
        <f>IF($A147="","",INDEX(tBatches[[Pen ID]],143)&amp;"")</f>
        <v/>
      </c>
      <c r="C147" s="36">
        <f>IF($A147="","",INDEX(tBatches[[Animal Type]],143)&amp;"")</f>
        <v/>
      </c>
      <c r="D147" s="31">
        <f>IF($A147="","",INDEX(tBatches[[Batch Start Date]],143))</f>
        <v/>
      </c>
      <c r="E147" s="36">
        <f>IF($A147="","",INDEX(tBatches[[Status]],143)&amp;"")</f>
        <v/>
      </c>
      <c r="F147" s="31">
        <f>IF($A147="","",IF(N(INDEX(tBatches[[Closing Date]],143))=0,"",INDEX(tBatches[[Closing Date]],143)))</f>
        <v/>
      </c>
      <c r="G147" s="39">
        <f>IF($A147="","",INDEX(tBatches[[Age (days)]],143))</f>
        <v/>
      </c>
      <c r="H147" s="39">
        <f>IF($A147="","",N(INDEX(tBatches[[Initial Quantity]],143)))</f>
        <v/>
      </c>
      <c r="I147" s="39">
        <f>IF($A147="","",INDEX(tBatches[[Transfers In / Added]],143))</f>
        <v/>
      </c>
      <c r="J147" s="39">
        <f>IF($A147="","",INDEX(tBatches[[Deaths]],143))</f>
        <v/>
      </c>
      <c r="K147" s="39">
        <f>IF($A147="","",INDEX(tBatches[[Heads Sold]],143))</f>
        <v/>
      </c>
      <c r="L147" s="39">
        <f>IF($A147="","",INDEX(tBatches[[Transfers Out]],143))</f>
        <v/>
      </c>
      <c r="M147" s="39">
        <f>IF($A147="","",INDEX(tBatches[[Current Quantity]],143))</f>
        <v/>
      </c>
      <c r="N147" s="40">
        <f>IF($A147="","",IFERROR(J147/(H147+I147),0))</f>
        <v/>
      </c>
      <c r="O147" s="28">
        <f>IF($A147="","",SUMIFS(tFeedIss[[Quantity Issued in kg]],tFeedIss[[Batch ID]],$A147))</f>
        <v/>
      </c>
      <c r="P147" s="29">
        <f>IF($A147="","",SUMIFS(tFeedIss[[Total Cost]],tFeedIss[[Batch ID]],$A147))</f>
        <v/>
      </c>
      <c r="Q147" s="29">
        <f>IF($A147="","",SUMIFS(tDrugUse[[Total Cost]],tDrugUse[[Batch ID]],$A147))</f>
        <v/>
      </c>
      <c r="R147" s="29">
        <f>IF($A147="","",SUMIFS(tExp[[Amount]],tExp[[Batch ID (if applicable)]],$A147))</f>
        <v/>
      </c>
      <c r="S147" s="41">
        <f>IF($A147="","",P147+Q147+R147)</f>
        <v/>
      </c>
      <c r="T147" s="41">
        <f>IF($A147="","",SUMIFS(tSales[[Total Revenue]],tSales[[Batch ID]],$A147))</f>
        <v/>
      </c>
      <c r="U147" s="41">
        <f>IF($A147="","",T147-S147)</f>
        <v/>
      </c>
      <c r="V147" s="29">
        <f>IF($A147="","",IFERROR(S147/(H147+I147),""))</f>
        <v/>
      </c>
      <c r="W147" s="29">
        <f>IF($A147="","",IF(K147=0,"",T147/K147))</f>
        <v/>
      </c>
      <c r="X147" s="42">
        <f>IF($A147="","",IFERROR(O147/(H147+I147),""))</f>
        <v/>
      </c>
      <c r="Y147" s="43">
        <f>IF($A147="","",IF(_xlfn.MAXIFS(tProd[[Date]],tProd[[Batch ID]],$A147,tProd[[Measurement Type]],"Weighing")=0,"",IFERROR(AVERAGEIFS(tProd[[Average Weight kg]],tProd[[Batch ID]],$A147,tProd[[Measurement Type]],"Weighing",tProd[[Date]],_xlfn.MAXIFS(tProd[[Date]],tProd[[Batch ID]],$A147,tProd[[Measurement Type]],"Weighing")),"")))</f>
        <v/>
      </c>
    </row>
    <row r="148">
      <c r="A148" s="27">
        <f>IFERROR(INDEX(tBatches[[Batch ID]],144)&amp;"","")</f>
        <v/>
      </c>
      <c r="B148" s="36">
        <f>IF($A148="","",INDEX(tBatches[[Pen ID]],144)&amp;"")</f>
        <v/>
      </c>
      <c r="C148" s="36">
        <f>IF($A148="","",INDEX(tBatches[[Animal Type]],144)&amp;"")</f>
        <v/>
      </c>
      <c r="D148" s="31">
        <f>IF($A148="","",INDEX(tBatches[[Batch Start Date]],144))</f>
        <v/>
      </c>
      <c r="E148" s="36">
        <f>IF($A148="","",INDEX(tBatches[[Status]],144)&amp;"")</f>
        <v/>
      </c>
      <c r="F148" s="31">
        <f>IF($A148="","",IF(N(INDEX(tBatches[[Closing Date]],144))=0,"",INDEX(tBatches[[Closing Date]],144)))</f>
        <v/>
      </c>
      <c r="G148" s="39">
        <f>IF($A148="","",INDEX(tBatches[[Age (days)]],144))</f>
        <v/>
      </c>
      <c r="H148" s="39">
        <f>IF($A148="","",N(INDEX(tBatches[[Initial Quantity]],144)))</f>
        <v/>
      </c>
      <c r="I148" s="39">
        <f>IF($A148="","",INDEX(tBatches[[Transfers In / Added]],144))</f>
        <v/>
      </c>
      <c r="J148" s="39">
        <f>IF($A148="","",INDEX(tBatches[[Deaths]],144))</f>
        <v/>
      </c>
      <c r="K148" s="39">
        <f>IF($A148="","",INDEX(tBatches[[Heads Sold]],144))</f>
        <v/>
      </c>
      <c r="L148" s="39">
        <f>IF($A148="","",INDEX(tBatches[[Transfers Out]],144))</f>
        <v/>
      </c>
      <c r="M148" s="39">
        <f>IF($A148="","",INDEX(tBatches[[Current Quantity]],144))</f>
        <v/>
      </c>
      <c r="N148" s="40">
        <f>IF($A148="","",IFERROR(J148/(H148+I148),0))</f>
        <v/>
      </c>
      <c r="O148" s="28">
        <f>IF($A148="","",SUMIFS(tFeedIss[[Quantity Issued in kg]],tFeedIss[[Batch ID]],$A148))</f>
        <v/>
      </c>
      <c r="P148" s="29">
        <f>IF($A148="","",SUMIFS(tFeedIss[[Total Cost]],tFeedIss[[Batch ID]],$A148))</f>
        <v/>
      </c>
      <c r="Q148" s="29">
        <f>IF($A148="","",SUMIFS(tDrugUse[[Total Cost]],tDrugUse[[Batch ID]],$A148))</f>
        <v/>
      </c>
      <c r="R148" s="29">
        <f>IF($A148="","",SUMIFS(tExp[[Amount]],tExp[[Batch ID (if applicable)]],$A148))</f>
        <v/>
      </c>
      <c r="S148" s="41">
        <f>IF($A148="","",P148+Q148+R148)</f>
        <v/>
      </c>
      <c r="T148" s="41">
        <f>IF($A148="","",SUMIFS(tSales[[Total Revenue]],tSales[[Batch ID]],$A148))</f>
        <v/>
      </c>
      <c r="U148" s="41">
        <f>IF($A148="","",T148-S148)</f>
        <v/>
      </c>
      <c r="V148" s="29">
        <f>IF($A148="","",IFERROR(S148/(H148+I148),""))</f>
        <v/>
      </c>
      <c r="W148" s="29">
        <f>IF($A148="","",IF(K148=0,"",T148/K148))</f>
        <v/>
      </c>
      <c r="X148" s="42">
        <f>IF($A148="","",IFERROR(O148/(H148+I148),""))</f>
        <v/>
      </c>
      <c r="Y148" s="43">
        <f>IF($A148="","",IF(_xlfn.MAXIFS(tProd[[Date]],tProd[[Batch ID]],$A148,tProd[[Measurement Type]],"Weighing")=0,"",IFERROR(AVERAGEIFS(tProd[[Average Weight kg]],tProd[[Batch ID]],$A148,tProd[[Measurement Type]],"Weighing",tProd[[Date]],_xlfn.MAXIFS(tProd[[Date]],tProd[[Batch ID]],$A148,tProd[[Measurement Type]],"Weighing")),"")))</f>
        <v/>
      </c>
    </row>
    <row r="149">
      <c r="A149" s="27">
        <f>IFERROR(INDEX(tBatches[[Batch ID]],145)&amp;"","")</f>
        <v/>
      </c>
      <c r="B149" s="36">
        <f>IF($A149="","",INDEX(tBatches[[Pen ID]],145)&amp;"")</f>
        <v/>
      </c>
      <c r="C149" s="36">
        <f>IF($A149="","",INDEX(tBatches[[Animal Type]],145)&amp;"")</f>
        <v/>
      </c>
      <c r="D149" s="31">
        <f>IF($A149="","",INDEX(tBatches[[Batch Start Date]],145))</f>
        <v/>
      </c>
      <c r="E149" s="36">
        <f>IF($A149="","",INDEX(tBatches[[Status]],145)&amp;"")</f>
        <v/>
      </c>
      <c r="F149" s="31">
        <f>IF($A149="","",IF(N(INDEX(tBatches[[Closing Date]],145))=0,"",INDEX(tBatches[[Closing Date]],145)))</f>
        <v/>
      </c>
      <c r="G149" s="39">
        <f>IF($A149="","",INDEX(tBatches[[Age (days)]],145))</f>
        <v/>
      </c>
      <c r="H149" s="39">
        <f>IF($A149="","",N(INDEX(tBatches[[Initial Quantity]],145)))</f>
        <v/>
      </c>
      <c r="I149" s="39">
        <f>IF($A149="","",INDEX(tBatches[[Transfers In / Added]],145))</f>
        <v/>
      </c>
      <c r="J149" s="39">
        <f>IF($A149="","",INDEX(tBatches[[Deaths]],145))</f>
        <v/>
      </c>
      <c r="K149" s="39">
        <f>IF($A149="","",INDEX(tBatches[[Heads Sold]],145))</f>
        <v/>
      </c>
      <c r="L149" s="39">
        <f>IF($A149="","",INDEX(tBatches[[Transfers Out]],145))</f>
        <v/>
      </c>
      <c r="M149" s="39">
        <f>IF($A149="","",INDEX(tBatches[[Current Quantity]],145))</f>
        <v/>
      </c>
      <c r="N149" s="40">
        <f>IF($A149="","",IFERROR(J149/(H149+I149),0))</f>
        <v/>
      </c>
      <c r="O149" s="28">
        <f>IF($A149="","",SUMIFS(tFeedIss[[Quantity Issued in kg]],tFeedIss[[Batch ID]],$A149))</f>
        <v/>
      </c>
      <c r="P149" s="29">
        <f>IF($A149="","",SUMIFS(tFeedIss[[Total Cost]],tFeedIss[[Batch ID]],$A149))</f>
        <v/>
      </c>
      <c r="Q149" s="29">
        <f>IF($A149="","",SUMIFS(tDrugUse[[Total Cost]],tDrugUse[[Batch ID]],$A149))</f>
        <v/>
      </c>
      <c r="R149" s="29">
        <f>IF($A149="","",SUMIFS(tExp[[Amount]],tExp[[Batch ID (if applicable)]],$A149))</f>
        <v/>
      </c>
      <c r="S149" s="41">
        <f>IF($A149="","",P149+Q149+R149)</f>
        <v/>
      </c>
      <c r="T149" s="41">
        <f>IF($A149="","",SUMIFS(tSales[[Total Revenue]],tSales[[Batch ID]],$A149))</f>
        <v/>
      </c>
      <c r="U149" s="41">
        <f>IF($A149="","",T149-S149)</f>
        <v/>
      </c>
      <c r="V149" s="29">
        <f>IF($A149="","",IFERROR(S149/(H149+I149),""))</f>
        <v/>
      </c>
      <c r="W149" s="29">
        <f>IF($A149="","",IF(K149=0,"",T149/K149))</f>
        <v/>
      </c>
      <c r="X149" s="42">
        <f>IF($A149="","",IFERROR(O149/(H149+I149),""))</f>
        <v/>
      </c>
      <c r="Y149" s="43">
        <f>IF($A149="","",IF(_xlfn.MAXIFS(tProd[[Date]],tProd[[Batch ID]],$A149,tProd[[Measurement Type]],"Weighing")=0,"",IFERROR(AVERAGEIFS(tProd[[Average Weight kg]],tProd[[Batch ID]],$A149,tProd[[Measurement Type]],"Weighing",tProd[[Date]],_xlfn.MAXIFS(tProd[[Date]],tProd[[Batch ID]],$A149,tProd[[Measurement Type]],"Weighing")),"")))</f>
        <v/>
      </c>
    </row>
    <row r="150">
      <c r="A150" s="27">
        <f>IFERROR(INDEX(tBatches[[Batch ID]],146)&amp;"","")</f>
        <v/>
      </c>
      <c r="B150" s="36">
        <f>IF($A150="","",INDEX(tBatches[[Pen ID]],146)&amp;"")</f>
        <v/>
      </c>
      <c r="C150" s="36">
        <f>IF($A150="","",INDEX(tBatches[[Animal Type]],146)&amp;"")</f>
        <v/>
      </c>
      <c r="D150" s="31">
        <f>IF($A150="","",INDEX(tBatches[[Batch Start Date]],146))</f>
        <v/>
      </c>
      <c r="E150" s="36">
        <f>IF($A150="","",INDEX(tBatches[[Status]],146)&amp;"")</f>
        <v/>
      </c>
      <c r="F150" s="31">
        <f>IF($A150="","",IF(N(INDEX(tBatches[[Closing Date]],146))=0,"",INDEX(tBatches[[Closing Date]],146)))</f>
        <v/>
      </c>
      <c r="G150" s="39">
        <f>IF($A150="","",INDEX(tBatches[[Age (days)]],146))</f>
        <v/>
      </c>
      <c r="H150" s="39">
        <f>IF($A150="","",N(INDEX(tBatches[[Initial Quantity]],146)))</f>
        <v/>
      </c>
      <c r="I150" s="39">
        <f>IF($A150="","",INDEX(tBatches[[Transfers In / Added]],146))</f>
        <v/>
      </c>
      <c r="J150" s="39">
        <f>IF($A150="","",INDEX(tBatches[[Deaths]],146))</f>
        <v/>
      </c>
      <c r="K150" s="39">
        <f>IF($A150="","",INDEX(tBatches[[Heads Sold]],146))</f>
        <v/>
      </c>
      <c r="L150" s="39">
        <f>IF($A150="","",INDEX(tBatches[[Transfers Out]],146))</f>
        <v/>
      </c>
      <c r="M150" s="39">
        <f>IF($A150="","",INDEX(tBatches[[Current Quantity]],146))</f>
        <v/>
      </c>
      <c r="N150" s="40">
        <f>IF($A150="","",IFERROR(J150/(H150+I150),0))</f>
        <v/>
      </c>
      <c r="O150" s="28">
        <f>IF($A150="","",SUMIFS(tFeedIss[[Quantity Issued in kg]],tFeedIss[[Batch ID]],$A150))</f>
        <v/>
      </c>
      <c r="P150" s="29">
        <f>IF($A150="","",SUMIFS(tFeedIss[[Total Cost]],tFeedIss[[Batch ID]],$A150))</f>
        <v/>
      </c>
      <c r="Q150" s="29">
        <f>IF($A150="","",SUMIFS(tDrugUse[[Total Cost]],tDrugUse[[Batch ID]],$A150))</f>
        <v/>
      </c>
      <c r="R150" s="29">
        <f>IF($A150="","",SUMIFS(tExp[[Amount]],tExp[[Batch ID (if applicable)]],$A150))</f>
        <v/>
      </c>
      <c r="S150" s="41">
        <f>IF($A150="","",P150+Q150+R150)</f>
        <v/>
      </c>
      <c r="T150" s="41">
        <f>IF($A150="","",SUMIFS(tSales[[Total Revenue]],tSales[[Batch ID]],$A150))</f>
        <v/>
      </c>
      <c r="U150" s="41">
        <f>IF($A150="","",T150-S150)</f>
        <v/>
      </c>
      <c r="V150" s="29">
        <f>IF($A150="","",IFERROR(S150/(H150+I150),""))</f>
        <v/>
      </c>
      <c r="W150" s="29">
        <f>IF($A150="","",IF(K150=0,"",T150/K150))</f>
        <v/>
      </c>
      <c r="X150" s="42">
        <f>IF($A150="","",IFERROR(O150/(H150+I150),""))</f>
        <v/>
      </c>
      <c r="Y150" s="43">
        <f>IF($A150="","",IF(_xlfn.MAXIFS(tProd[[Date]],tProd[[Batch ID]],$A150,tProd[[Measurement Type]],"Weighing")=0,"",IFERROR(AVERAGEIFS(tProd[[Average Weight kg]],tProd[[Batch ID]],$A150,tProd[[Measurement Type]],"Weighing",tProd[[Date]],_xlfn.MAXIFS(tProd[[Date]],tProd[[Batch ID]],$A150,tProd[[Measurement Type]],"Weighing")),"")))</f>
        <v/>
      </c>
    </row>
    <row r="151">
      <c r="A151" s="27">
        <f>IFERROR(INDEX(tBatches[[Batch ID]],147)&amp;"","")</f>
        <v/>
      </c>
      <c r="B151" s="36">
        <f>IF($A151="","",INDEX(tBatches[[Pen ID]],147)&amp;"")</f>
        <v/>
      </c>
      <c r="C151" s="36">
        <f>IF($A151="","",INDEX(tBatches[[Animal Type]],147)&amp;"")</f>
        <v/>
      </c>
      <c r="D151" s="31">
        <f>IF($A151="","",INDEX(tBatches[[Batch Start Date]],147))</f>
        <v/>
      </c>
      <c r="E151" s="36">
        <f>IF($A151="","",INDEX(tBatches[[Status]],147)&amp;"")</f>
        <v/>
      </c>
      <c r="F151" s="31">
        <f>IF($A151="","",IF(N(INDEX(tBatches[[Closing Date]],147))=0,"",INDEX(tBatches[[Closing Date]],147)))</f>
        <v/>
      </c>
      <c r="G151" s="39">
        <f>IF($A151="","",INDEX(tBatches[[Age (days)]],147))</f>
        <v/>
      </c>
      <c r="H151" s="39">
        <f>IF($A151="","",N(INDEX(tBatches[[Initial Quantity]],147)))</f>
        <v/>
      </c>
      <c r="I151" s="39">
        <f>IF($A151="","",INDEX(tBatches[[Transfers In / Added]],147))</f>
        <v/>
      </c>
      <c r="J151" s="39">
        <f>IF($A151="","",INDEX(tBatches[[Deaths]],147))</f>
        <v/>
      </c>
      <c r="K151" s="39">
        <f>IF($A151="","",INDEX(tBatches[[Heads Sold]],147))</f>
        <v/>
      </c>
      <c r="L151" s="39">
        <f>IF($A151="","",INDEX(tBatches[[Transfers Out]],147))</f>
        <v/>
      </c>
      <c r="M151" s="39">
        <f>IF($A151="","",INDEX(tBatches[[Current Quantity]],147))</f>
        <v/>
      </c>
      <c r="N151" s="40">
        <f>IF($A151="","",IFERROR(J151/(H151+I151),0))</f>
        <v/>
      </c>
      <c r="O151" s="28">
        <f>IF($A151="","",SUMIFS(tFeedIss[[Quantity Issued in kg]],tFeedIss[[Batch ID]],$A151))</f>
        <v/>
      </c>
      <c r="P151" s="29">
        <f>IF($A151="","",SUMIFS(tFeedIss[[Total Cost]],tFeedIss[[Batch ID]],$A151))</f>
        <v/>
      </c>
      <c r="Q151" s="29">
        <f>IF($A151="","",SUMIFS(tDrugUse[[Total Cost]],tDrugUse[[Batch ID]],$A151))</f>
        <v/>
      </c>
      <c r="R151" s="29">
        <f>IF($A151="","",SUMIFS(tExp[[Amount]],tExp[[Batch ID (if applicable)]],$A151))</f>
        <v/>
      </c>
      <c r="S151" s="41">
        <f>IF($A151="","",P151+Q151+R151)</f>
        <v/>
      </c>
      <c r="T151" s="41">
        <f>IF($A151="","",SUMIFS(tSales[[Total Revenue]],tSales[[Batch ID]],$A151))</f>
        <v/>
      </c>
      <c r="U151" s="41">
        <f>IF($A151="","",T151-S151)</f>
        <v/>
      </c>
      <c r="V151" s="29">
        <f>IF($A151="","",IFERROR(S151/(H151+I151),""))</f>
        <v/>
      </c>
      <c r="W151" s="29">
        <f>IF($A151="","",IF(K151=0,"",T151/K151))</f>
        <v/>
      </c>
      <c r="X151" s="42">
        <f>IF($A151="","",IFERROR(O151/(H151+I151),""))</f>
        <v/>
      </c>
      <c r="Y151" s="43">
        <f>IF($A151="","",IF(_xlfn.MAXIFS(tProd[[Date]],tProd[[Batch ID]],$A151,tProd[[Measurement Type]],"Weighing")=0,"",IFERROR(AVERAGEIFS(tProd[[Average Weight kg]],tProd[[Batch ID]],$A151,tProd[[Measurement Type]],"Weighing",tProd[[Date]],_xlfn.MAXIFS(tProd[[Date]],tProd[[Batch ID]],$A151,tProd[[Measurement Type]],"Weighing")),"")))</f>
        <v/>
      </c>
    </row>
    <row r="152">
      <c r="A152" s="27">
        <f>IFERROR(INDEX(tBatches[[Batch ID]],148)&amp;"","")</f>
        <v/>
      </c>
      <c r="B152" s="36">
        <f>IF($A152="","",INDEX(tBatches[[Pen ID]],148)&amp;"")</f>
        <v/>
      </c>
      <c r="C152" s="36">
        <f>IF($A152="","",INDEX(tBatches[[Animal Type]],148)&amp;"")</f>
        <v/>
      </c>
      <c r="D152" s="31">
        <f>IF($A152="","",INDEX(tBatches[[Batch Start Date]],148))</f>
        <v/>
      </c>
      <c r="E152" s="36">
        <f>IF($A152="","",INDEX(tBatches[[Status]],148)&amp;"")</f>
        <v/>
      </c>
      <c r="F152" s="31">
        <f>IF($A152="","",IF(N(INDEX(tBatches[[Closing Date]],148))=0,"",INDEX(tBatches[[Closing Date]],148)))</f>
        <v/>
      </c>
      <c r="G152" s="39">
        <f>IF($A152="","",INDEX(tBatches[[Age (days)]],148))</f>
        <v/>
      </c>
      <c r="H152" s="39">
        <f>IF($A152="","",N(INDEX(tBatches[[Initial Quantity]],148)))</f>
        <v/>
      </c>
      <c r="I152" s="39">
        <f>IF($A152="","",INDEX(tBatches[[Transfers In / Added]],148))</f>
        <v/>
      </c>
      <c r="J152" s="39">
        <f>IF($A152="","",INDEX(tBatches[[Deaths]],148))</f>
        <v/>
      </c>
      <c r="K152" s="39">
        <f>IF($A152="","",INDEX(tBatches[[Heads Sold]],148))</f>
        <v/>
      </c>
      <c r="L152" s="39">
        <f>IF($A152="","",INDEX(tBatches[[Transfers Out]],148))</f>
        <v/>
      </c>
      <c r="M152" s="39">
        <f>IF($A152="","",INDEX(tBatches[[Current Quantity]],148))</f>
        <v/>
      </c>
      <c r="N152" s="40">
        <f>IF($A152="","",IFERROR(J152/(H152+I152),0))</f>
        <v/>
      </c>
      <c r="O152" s="28">
        <f>IF($A152="","",SUMIFS(tFeedIss[[Quantity Issued in kg]],tFeedIss[[Batch ID]],$A152))</f>
        <v/>
      </c>
      <c r="P152" s="29">
        <f>IF($A152="","",SUMIFS(tFeedIss[[Total Cost]],tFeedIss[[Batch ID]],$A152))</f>
        <v/>
      </c>
      <c r="Q152" s="29">
        <f>IF($A152="","",SUMIFS(tDrugUse[[Total Cost]],tDrugUse[[Batch ID]],$A152))</f>
        <v/>
      </c>
      <c r="R152" s="29">
        <f>IF($A152="","",SUMIFS(tExp[[Amount]],tExp[[Batch ID (if applicable)]],$A152))</f>
        <v/>
      </c>
      <c r="S152" s="41">
        <f>IF($A152="","",P152+Q152+R152)</f>
        <v/>
      </c>
      <c r="T152" s="41">
        <f>IF($A152="","",SUMIFS(tSales[[Total Revenue]],tSales[[Batch ID]],$A152))</f>
        <v/>
      </c>
      <c r="U152" s="41">
        <f>IF($A152="","",T152-S152)</f>
        <v/>
      </c>
      <c r="V152" s="29">
        <f>IF($A152="","",IFERROR(S152/(H152+I152),""))</f>
        <v/>
      </c>
      <c r="W152" s="29">
        <f>IF($A152="","",IF(K152=0,"",T152/K152))</f>
        <v/>
      </c>
      <c r="X152" s="42">
        <f>IF($A152="","",IFERROR(O152/(H152+I152),""))</f>
        <v/>
      </c>
      <c r="Y152" s="43">
        <f>IF($A152="","",IF(_xlfn.MAXIFS(tProd[[Date]],tProd[[Batch ID]],$A152,tProd[[Measurement Type]],"Weighing")=0,"",IFERROR(AVERAGEIFS(tProd[[Average Weight kg]],tProd[[Batch ID]],$A152,tProd[[Measurement Type]],"Weighing",tProd[[Date]],_xlfn.MAXIFS(tProd[[Date]],tProd[[Batch ID]],$A152,tProd[[Measurement Type]],"Weighing")),"")))</f>
        <v/>
      </c>
    </row>
    <row r="153">
      <c r="A153" s="27">
        <f>IFERROR(INDEX(tBatches[[Batch ID]],149)&amp;"","")</f>
        <v/>
      </c>
      <c r="B153" s="36">
        <f>IF($A153="","",INDEX(tBatches[[Pen ID]],149)&amp;"")</f>
        <v/>
      </c>
      <c r="C153" s="36">
        <f>IF($A153="","",INDEX(tBatches[[Animal Type]],149)&amp;"")</f>
        <v/>
      </c>
      <c r="D153" s="31">
        <f>IF($A153="","",INDEX(tBatches[[Batch Start Date]],149))</f>
        <v/>
      </c>
      <c r="E153" s="36">
        <f>IF($A153="","",INDEX(tBatches[[Status]],149)&amp;"")</f>
        <v/>
      </c>
      <c r="F153" s="31">
        <f>IF($A153="","",IF(N(INDEX(tBatches[[Closing Date]],149))=0,"",INDEX(tBatches[[Closing Date]],149)))</f>
        <v/>
      </c>
      <c r="G153" s="39">
        <f>IF($A153="","",INDEX(tBatches[[Age (days)]],149))</f>
        <v/>
      </c>
      <c r="H153" s="39">
        <f>IF($A153="","",N(INDEX(tBatches[[Initial Quantity]],149)))</f>
        <v/>
      </c>
      <c r="I153" s="39">
        <f>IF($A153="","",INDEX(tBatches[[Transfers In / Added]],149))</f>
        <v/>
      </c>
      <c r="J153" s="39">
        <f>IF($A153="","",INDEX(tBatches[[Deaths]],149))</f>
        <v/>
      </c>
      <c r="K153" s="39">
        <f>IF($A153="","",INDEX(tBatches[[Heads Sold]],149))</f>
        <v/>
      </c>
      <c r="L153" s="39">
        <f>IF($A153="","",INDEX(tBatches[[Transfers Out]],149))</f>
        <v/>
      </c>
      <c r="M153" s="39">
        <f>IF($A153="","",INDEX(tBatches[[Current Quantity]],149))</f>
        <v/>
      </c>
      <c r="N153" s="40">
        <f>IF($A153="","",IFERROR(J153/(H153+I153),0))</f>
        <v/>
      </c>
      <c r="O153" s="28">
        <f>IF($A153="","",SUMIFS(tFeedIss[[Quantity Issued in kg]],tFeedIss[[Batch ID]],$A153))</f>
        <v/>
      </c>
      <c r="P153" s="29">
        <f>IF($A153="","",SUMIFS(tFeedIss[[Total Cost]],tFeedIss[[Batch ID]],$A153))</f>
        <v/>
      </c>
      <c r="Q153" s="29">
        <f>IF($A153="","",SUMIFS(tDrugUse[[Total Cost]],tDrugUse[[Batch ID]],$A153))</f>
        <v/>
      </c>
      <c r="R153" s="29">
        <f>IF($A153="","",SUMIFS(tExp[[Amount]],tExp[[Batch ID (if applicable)]],$A153))</f>
        <v/>
      </c>
      <c r="S153" s="41">
        <f>IF($A153="","",P153+Q153+R153)</f>
        <v/>
      </c>
      <c r="T153" s="41">
        <f>IF($A153="","",SUMIFS(tSales[[Total Revenue]],tSales[[Batch ID]],$A153))</f>
        <v/>
      </c>
      <c r="U153" s="41">
        <f>IF($A153="","",T153-S153)</f>
        <v/>
      </c>
      <c r="V153" s="29">
        <f>IF($A153="","",IFERROR(S153/(H153+I153),""))</f>
        <v/>
      </c>
      <c r="W153" s="29">
        <f>IF($A153="","",IF(K153=0,"",T153/K153))</f>
        <v/>
      </c>
      <c r="X153" s="42">
        <f>IF($A153="","",IFERROR(O153/(H153+I153),""))</f>
        <v/>
      </c>
      <c r="Y153" s="43">
        <f>IF($A153="","",IF(_xlfn.MAXIFS(tProd[[Date]],tProd[[Batch ID]],$A153,tProd[[Measurement Type]],"Weighing")=0,"",IFERROR(AVERAGEIFS(tProd[[Average Weight kg]],tProd[[Batch ID]],$A153,tProd[[Measurement Type]],"Weighing",tProd[[Date]],_xlfn.MAXIFS(tProd[[Date]],tProd[[Batch ID]],$A153,tProd[[Measurement Type]],"Weighing")),"")))</f>
        <v/>
      </c>
    </row>
    <row r="154">
      <c r="A154" s="27">
        <f>IFERROR(INDEX(tBatches[[Batch ID]],150)&amp;"","")</f>
        <v/>
      </c>
      <c r="B154" s="36">
        <f>IF($A154="","",INDEX(tBatches[[Pen ID]],150)&amp;"")</f>
        <v/>
      </c>
      <c r="C154" s="36">
        <f>IF($A154="","",INDEX(tBatches[[Animal Type]],150)&amp;"")</f>
        <v/>
      </c>
      <c r="D154" s="31">
        <f>IF($A154="","",INDEX(tBatches[[Batch Start Date]],150))</f>
        <v/>
      </c>
      <c r="E154" s="36">
        <f>IF($A154="","",INDEX(tBatches[[Status]],150)&amp;"")</f>
        <v/>
      </c>
      <c r="F154" s="31">
        <f>IF($A154="","",IF(N(INDEX(tBatches[[Closing Date]],150))=0,"",INDEX(tBatches[[Closing Date]],150)))</f>
        <v/>
      </c>
      <c r="G154" s="39">
        <f>IF($A154="","",INDEX(tBatches[[Age (days)]],150))</f>
        <v/>
      </c>
      <c r="H154" s="39">
        <f>IF($A154="","",N(INDEX(tBatches[[Initial Quantity]],150)))</f>
        <v/>
      </c>
      <c r="I154" s="39">
        <f>IF($A154="","",INDEX(tBatches[[Transfers In / Added]],150))</f>
        <v/>
      </c>
      <c r="J154" s="39">
        <f>IF($A154="","",INDEX(tBatches[[Deaths]],150))</f>
        <v/>
      </c>
      <c r="K154" s="39">
        <f>IF($A154="","",INDEX(tBatches[[Heads Sold]],150))</f>
        <v/>
      </c>
      <c r="L154" s="39">
        <f>IF($A154="","",INDEX(tBatches[[Transfers Out]],150))</f>
        <v/>
      </c>
      <c r="M154" s="39">
        <f>IF($A154="","",INDEX(tBatches[[Current Quantity]],150))</f>
        <v/>
      </c>
      <c r="N154" s="40">
        <f>IF($A154="","",IFERROR(J154/(H154+I154),0))</f>
        <v/>
      </c>
      <c r="O154" s="28">
        <f>IF($A154="","",SUMIFS(tFeedIss[[Quantity Issued in kg]],tFeedIss[[Batch ID]],$A154))</f>
        <v/>
      </c>
      <c r="P154" s="29">
        <f>IF($A154="","",SUMIFS(tFeedIss[[Total Cost]],tFeedIss[[Batch ID]],$A154))</f>
        <v/>
      </c>
      <c r="Q154" s="29">
        <f>IF($A154="","",SUMIFS(tDrugUse[[Total Cost]],tDrugUse[[Batch ID]],$A154))</f>
        <v/>
      </c>
      <c r="R154" s="29">
        <f>IF($A154="","",SUMIFS(tExp[[Amount]],tExp[[Batch ID (if applicable)]],$A154))</f>
        <v/>
      </c>
      <c r="S154" s="41">
        <f>IF($A154="","",P154+Q154+R154)</f>
        <v/>
      </c>
      <c r="T154" s="41">
        <f>IF($A154="","",SUMIFS(tSales[[Total Revenue]],tSales[[Batch ID]],$A154))</f>
        <v/>
      </c>
      <c r="U154" s="41">
        <f>IF($A154="","",T154-S154)</f>
        <v/>
      </c>
      <c r="V154" s="29">
        <f>IF($A154="","",IFERROR(S154/(H154+I154),""))</f>
        <v/>
      </c>
      <c r="W154" s="29">
        <f>IF($A154="","",IF(K154=0,"",T154/K154))</f>
        <v/>
      </c>
      <c r="X154" s="42">
        <f>IF($A154="","",IFERROR(O154/(H154+I154),""))</f>
        <v/>
      </c>
      <c r="Y154" s="43">
        <f>IF($A154="","",IF(_xlfn.MAXIFS(tProd[[Date]],tProd[[Batch ID]],$A154,tProd[[Measurement Type]],"Weighing")=0,"",IFERROR(AVERAGEIFS(tProd[[Average Weight kg]],tProd[[Batch ID]],$A154,tProd[[Measurement Type]],"Weighing",tProd[[Date]],_xlfn.MAXIFS(tProd[[Date]],tProd[[Batch ID]],$A154,tProd[[Measurement Type]],"Weighing")),"")))</f>
        <v/>
      </c>
    </row>
    <row r="155">
      <c r="A155" s="27">
        <f>IFERROR(INDEX(tBatches[[Batch ID]],151)&amp;"","")</f>
        <v/>
      </c>
      <c r="B155" s="36">
        <f>IF($A155="","",INDEX(tBatches[[Pen ID]],151)&amp;"")</f>
        <v/>
      </c>
      <c r="C155" s="36">
        <f>IF($A155="","",INDEX(tBatches[[Animal Type]],151)&amp;"")</f>
        <v/>
      </c>
      <c r="D155" s="31">
        <f>IF($A155="","",INDEX(tBatches[[Batch Start Date]],151))</f>
        <v/>
      </c>
      <c r="E155" s="36">
        <f>IF($A155="","",INDEX(tBatches[[Status]],151)&amp;"")</f>
        <v/>
      </c>
      <c r="F155" s="31">
        <f>IF($A155="","",IF(N(INDEX(tBatches[[Closing Date]],151))=0,"",INDEX(tBatches[[Closing Date]],151)))</f>
        <v/>
      </c>
      <c r="G155" s="39">
        <f>IF($A155="","",INDEX(tBatches[[Age (days)]],151))</f>
        <v/>
      </c>
      <c r="H155" s="39">
        <f>IF($A155="","",N(INDEX(tBatches[[Initial Quantity]],151)))</f>
        <v/>
      </c>
      <c r="I155" s="39">
        <f>IF($A155="","",INDEX(tBatches[[Transfers In / Added]],151))</f>
        <v/>
      </c>
      <c r="J155" s="39">
        <f>IF($A155="","",INDEX(tBatches[[Deaths]],151))</f>
        <v/>
      </c>
      <c r="K155" s="39">
        <f>IF($A155="","",INDEX(tBatches[[Heads Sold]],151))</f>
        <v/>
      </c>
      <c r="L155" s="39">
        <f>IF($A155="","",INDEX(tBatches[[Transfers Out]],151))</f>
        <v/>
      </c>
      <c r="M155" s="39">
        <f>IF($A155="","",INDEX(tBatches[[Current Quantity]],151))</f>
        <v/>
      </c>
      <c r="N155" s="40">
        <f>IF($A155="","",IFERROR(J155/(H155+I155),0))</f>
        <v/>
      </c>
      <c r="O155" s="28">
        <f>IF($A155="","",SUMIFS(tFeedIss[[Quantity Issued in kg]],tFeedIss[[Batch ID]],$A155))</f>
        <v/>
      </c>
      <c r="P155" s="29">
        <f>IF($A155="","",SUMIFS(tFeedIss[[Total Cost]],tFeedIss[[Batch ID]],$A155))</f>
        <v/>
      </c>
      <c r="Q155" s="29">
        <f>IF($A155="","",SUMIFS(tDrugUse[[Total Cost]],tDrugUse[[Batch ID]],$A155))</f>
        <v/>
      </c>
      <c r="R155" s="29">
        <f>IF($A155="","",SUMIFS(tExp[[Amount]],tExp[[Batch ID (if applicable)]],$A155))</f>
        <v/>
      </c>
      <c r="S155" s="41">
        <f>IF($A155="","",P155+Q155+R155)</f>
        <v/>
      </c>
      <c r="T155" s="41">
        <f>IF($A155="","",SUMIFS(tSales[[Total Revenue]],tSales[[Batch ID]],$A155))</f>
        <v/>
      </c>
      <c r="U155" s="41">
        <f>IF($A155="","",T155-S155)</f>
        <v/>
      </c>
      <c r="V155" s="29">
        <f>IF($A155="","",IFERROR(S155/(H155+I155),""))</f>
        <v/>
      </c>
      <c r="W155" s="29">
        <f>IF($A155="","",IF(K155=0,"",T155/K155))</f>
        <v/>
      </c>
      <c r="X155" s="42">
        <f>IF($A155="","",IFERROR(O155/(H155+I155),""))</f>
        <v/>
      </c>
      <c r="Y155" s="43">
        <f>IF($A155="","",IF(_xlfn.MAXIFS(tProd[[Date]],tProd[[Batch ID]],$A155,tProd[[Measurement Type]],"Weighing")=0,"",IFERROR(AVERAGEIFS(tProd[[Average Weight kg]],tProd[[Batch ID]],$A155,tProd[[Measurement Type]],"Weighing",tProd[[Date]],_xlfn.MAXIFS(tProd[[Date]],tProd[[Batch ID]],$A155,tProd[[Measurement Type]],"Weighing")),"")))</f>
        <v/>
      </c>
    </row>
    <row r="156">
      <c r="A156" s="27">
        <f>IFERROR(INDEX(tBatches[[Batch ID]],152)&amp;"","")</f>
        <v/>
      </c>
      <c r="B156" s="36">
        <f>IF($A156="","",INDEX(tBatches[[Pen ID]],152)&amp;"")</f>
        <v/>
      </c>
      <c r="C156" s="36">
        <f>IF($A156="","",INDEX(tBatches[[Animal Type]],152)&amp;"")</f>
        <v/>
      </c>
      <c r="D156" s="31">
        <f>IF($A156="","",INDEX(tBatches[[Batch Start Date]],152))</f>
        <v/>
      </c>
      <c r="E156" s="36">
        <f>IF($A156="","",INDEX(tBatches[[Status]],152)&amp;"")</f>
        <v/>
      </c>
      <c r="F156" s="31">
        <f>IF($A156="","",IF(N(INDEX(tBatches[[Closing Date]],152))=0,"",INDEX(tBatches[[Closing Date]],152)))</f>
        <v/>
      </c>
      <c r="G156" s="39">
        <f>IF($A156="","",INDEX(tBatches[[Age (days)]],152))</f>
        <v/>
      </c>
      <c r="H156" s="39">
        <f>IF($A156="","",N(INDEX(tBatches[[Initial Quantity]],152)))</f>
        <v/>
      </c>
      <c r="I156" s="39">
        <f>IF($A156="","",INDEX(tBatches[[Transfers In / Added]],152))</f>
        <v/>
      </c>
      <c r="J156" s="39">
        <f>IF($A156="","",INDEX(tBatches[[Deaths]],152))</f>
        <v/>
      </c>
      <c r="K156" s="39">
        <f>IF($A156="","",INDEX(tBatches[[Heads Sold]],152))</f>
        <v/>
      </c>
      <c r="L156" s="39">
        <f>IF($A156="","",INDEX(tBatches[[Transfers Out]],152))</f>
        <v/>
      </c>
      <c r="M156" s="39">
        <f>IF($A156="","",INDEX(tBatches[[Current Quantity]],152))</f>
        <v/>
      </c>
      <c r="N156" s="40">
        <f>IF($A156="","",IFERROR(J156/(H156+I156),0))</f>
        <v/>
      </c>
      <c r="O156" s="28">
        <f>IF($A156="","",SUMIFS(tFeedIss[[Quantity Issued in kg]],tFeedIss[[Batch ID]],$A156))</f>
        <v/>
      </c>
      <c r="P156" s="29">
        <f>IF($A156="","",SUMIFS(tFeedIss[[Total Cost]],tFeedIss[[Batch ID]],$A156))</f>
        <v/>
      </c>
      <c r="Q156" s="29">
        <f>IF($A156="","",SUMIFS(tDrugUse[[Total Cost]],tDrugUse[[Batch ID]],$A156))</f>
        <v/>
      </c>
      <c r="R156" s="29">
        <f>IF($A156="","",SUMIFS(tExp[[Amount]],tExp[[Batch ID (if applicable)]],$A156))</f>
        <v/>
      </c>
      <c r="S156" s="41">
        <f>IF($A156="","",P156+Q156+R156)</f>
        <v/>
      </c>
      <c r="T156" s="41">
        <f>IF($A156="","",SUMIFS(tSales[[Total Revenue]],tSales[[Batch ID]],$A156))</f>
        <v/>
      </c>
      <c r="U156" s="41">
        <f>IF($A156="","",T156-S156)</f>
        <v/>
      </c>
      <c r="V156" s="29">
        <f>IF($A156="","",IFERROR(S156/(H156+I156),""))</f>
        <v/>
      </c>
      <c r="W156" s="29">
        <f>IF($A156="","",IF(K156=0,"",T156/K156))</f>
        <v/>
      </c>
      <c r="X156" s="42">
        <f>IF($A156="","",IFERROR(O156/(H156+I156),""))</f>
        <v/>
      </c>
      <c r="Y156" s="43">
        <f>IF($A156="","",IF(_xlfn.MAXIFS(tProd[[Date]],tProd[[Batch ID]],$A156,tProd[[Measurement Type]],"Weighing")=0,"",IFERROR(AVERAGEIFS(tProd[[Average Weight kg]],tProd[[Batch ID]],$A156,tProd[[Measurement Type]],"Weighing",tProd[[Date]],_xlfn.MAXIFS(tProd[[Date]],tProd[[Batch ID]],$A156,tProd[[Measurement Type]],"Weighing")),"")))</f>
        <v/>
      </c>
    </row>
    <row r="157">
      <c r="A157" s="27">
        <f>IFERROR(INDEX(tBatches[[Batch ID]],153)&amp;"","")</f>
        <v/>
      </c>
      <c r="B157" s="36">
        <f>IF($A157="","",INDEX(tBatches[[Pen ID]],153)&amp;"")</f>
        <v/>
      </c>
      <c r="C157" s="36">
        <f>IF($A157="","",INDEX(tBatches[[Animal Type]],153)&amp;"")</f>
        <v/>
      </c>
      <c r="D157" s="31">
        <f>IF($A157="","",INDEX(tBatches[[Batch Start Date]],153))</f>
        <v/>
      </c>
      <c r="E157" s="36">
        <f>IF($A157="","",INDEX(tBatches[[Status]],153)&amp;"")</f>
        <v/>
      </c>
      <c r="F157" s="31">
        <f>IF($A157="","",IF(N(INDEX(tBatches[[Closing Date]],153))=0,"",INDEX(tBatches[[Closing Date]],153)))</f>
        <v/>
      </c>
      <c r="G157" s="39">
        <f>IF($A157="","",INDEX(tBatches[[Age (days)]],153))</f>
        <v/>
      </c>
      <c r="H157" s="39">
        <f>IF($A157="","",N(INDEX(tBatches[[Initial Quantity]],153)))</f>
        <v/>
      </c>
      <c r="I157" s="39">
        <f>IF($A157="","",INDEX(tBatches[[Transfers In / Added]],153))</f>
        <v/>
      </c>
      <c r="J157" s="39">
        <f>IF($A157="","",INDEX(tBatches[[Deaths]],153))</f>
        <v/>
      </c>
      <c r="K157" s="39">
        <f>IF($A157="","",INDEX(tBatches[[Heads Sold]],153))</f>
        <v/>
      </c>
      <c r="L157" s="39">
        <f>IF($A157="","",INDEX(tBatches[[Transfers Out]],153))</f>
        <v/>
      </c>
      <c r="M157" s="39">
        <f>IF($A157="","",INDEX(tBatches[[Current Quantity]],153))</f>
        <v/>
      </c>
      <c r="N157" s="40">
        <f>IF($A157="","",IFERROR(J157/(H157+I157),0))</f>
        <v/>
      </c>
      <c r="O157" s="28">
        <f>IF($A157="","",SUMIFS(tFeedIss[[Quantity Issued in kg]],tFeedIss[[Batch ID]],$A157))</f>
        <v/>
      </c>
      <c r="P157" s="29">
        <f>IF($A157="","",SUMIFS(tFeedIss[[Total Cost]],tFeedIss[[Batch ID]],$A157))</f>
        <v/>
      </c>
      <c r="Q157" s="29">
        <f>IF($A157="","",SUMIFS(tDrugUse[[Total Cost]],tDrugUse[[Batch ID]],$A157))</f>
        <v/>
      </c>
      <c r="R157" s="29">
        <f>IF($A157="","",SUMIFS(tExp[[Amount]],tExp[[Batch ID (if applicable)]],$A157))</f>
        <v/>
      </c>
      <c r="S157" s="41">
        <f>IF($A157="","",P157+Q157+R157)</f>
        <v/>
      </c>
      <c r="T157" s="41">
        <f>IF($A157="","",SUMIFS(tSales[[Total Revenue]],tSales[[Batch ID]],$A157))</f>
        <v/>
      </c>
      <c r="U157" s="41">
        <f>IF($A157="","",T157-S157)</f>
        <v/>
      </c>
      <c r="V157" s="29">
        <f>IF($A157="","",IFERROR(S157/(H157+I157),""))</f>
        <v/>
      </c>
      <c r="W157" s="29">
        <f>IF($A157="","",IF(K157=0,"",T157/K157))</f>
        <v/>
      </c>
      <c r="X157" s="42">
        <f>IF($A157="","",IFERROR(O157/(H157+I157),""))</f>
        <v/>
      </c>
      <c r="Y157" s="43">
        <f>IF($A157="","",IF(_xlfn.MAXIFS(tProd[[Date]],tProd[[Batch ID]],$A157,tProd[[Measurement Type]],"Weighing")=0,"",IFERROR(AVERAGEIFS(tProd[[Average Weight kg]],tProd[[Batch ID]],$A157,tProd[[Measurement Type]],"Weighing",tProd[[Date]],_xlfn.MAXIFS(tProd[[Date]],tProd[[Batch ID]],$A157,tProd[[Measurement Type]],"Weighing")),"")))</f>
        <v/>
      </c>
    </row>
    <row r="158">
      <c r="A158" s="27">
        <f>IFERROR(INDEX(tBatches[[Batch ID]],154)&amp;"","")</f>
        <v/>
      </c>
      <c r="B158" s="36">
        <f>IF($A158="","",INDEX(tBatches[[Pen ID]],154)&amp;"")</f>
        <v/>
      </c>
      <c r="C158" s="36">
        <f>IF($A158="","",INDEX(tBatches[[Animal Type]],154)&amp;"")</f>
        <v/>
      </c>
      <c r="D158" s="31">
        <f>IF($A158="","",INDEX(tBatches[[Batch Start Date]],154))</f>
        <v/>
      </c>
      <c r="E158" s="36">
        <f>IF($A158="","",INDEX(tBatches[[Status]],154)&amp;"")</f>
        <v/>
      </c>
      <c r="F158" s="31">
        <f>IF($A158="","",IF(N(INDEX(tBatches[[Closing Date]],154))=0,"",INDEX(tBatches[[Closing Date]],154)))</f>
        <v/>
      </c>
      <c r="G158" s="39">
        <f>IF($A158="","",INDEX(tBatches[[Age (days)]],154))</f>
        <v/>
      </c>
      <c r="H158" s="39">
        <f>IF($A158="","",N(INDEX(tBatches[[Initial Quantity]],154)))</f>
        <v/>
      </c>
      <c r="I158" s="39">
        <f>IF($A158="","",INDEX(tBatches[[Transfers In / Added]],154))</f>
        <v/>
      </c>
      <c r="J158" s="39">
        <f>IF($A158="","",INDEX(tBatches[[Deaths]],154))</f>
        <v/>
      </c>
      <c r="K158" s="39">
        <f>IF($A158="","",INDEX(tBatches[[Heads Sold]],154))</f>
        <v/>
      </c>
      <c r="L158" s="39">
        <f>IF($A158="","",INDEX(tBatches[[Transfers Out]],154))</f>
        <v/>
      </c>
      <c r="M158" s="39">
        <f>IF($A158="","",INDEX(tBatches[[Current Quantity]],154))</f>
        <v/>
      </c>
      <c r="N158" s="40">
        <f>IF($A158="","",IFERROR(J158/(H158+I158),0))</f>
        <v/>
      </c>
      <c r="O158" s="28">
        <f>IF($A158="","",SUMIFS(tFeedIss[[Quantity Issued in kg]],tFeedIss[[Batch ID]],$A158))</f>
        <v/>
      </c>
      <c r="P158" s="29">
        <f>IF($A158="","",SUMIFS(tFeedIss[[Total Cost]],tFeedIss[[Batch ID]],$A158))</f>
        <v/>
      </c>
      <c r="Q158" s="29">
        <f>IF($A158="","",SUMIFS(tDrugUse[[Total Cost]],tDrugUse[[Batch ID]],$A158))</f>
        <v/>
      </c>
      <c r="R158" s="29">
        <f>IF($A158="","",SUMIFS(tExp[[Amount]],tExp[[Batch ID (if applicable)]],$A158))</f>
        <v/>
      </c>
      <c r="S158" s="41">
        <f>IF($A158="","",P158+Q158+R158)</f>
        <v/>
      </c>
      <c r="T158" s="41">
        <f>IF($A158="","",SUMIFS(tSales[[Total Revenue]],tSales[[Batch ID]],$A158))</f>
        <v/>
      </c>
      <c r="U158" s="41">
        <f>IF($A158="","",T158-S158)</f>
        <v/>
      </c>
      <c r="V158" s="29">
        <f>IF($A158="","",IFERROR(S158/(H158+I158),""))</f>
        <v/>
      </c>
      <c r="W158" s="29">
        <f>IF($A158="","",IF(K158=0,"",T158/K158))</f>
        <v/>
      </c>
      <c r="X158" s="42">
        <f>IF($A158="","",IFERROR(O158/(H158+I158),""))</f>
        <v/>
      </c>
      <c r="Y158" s="43">
        <f>IF($A158="","",IF(_xlfn.MAXIFS(tProd[[Date]],tProd[[Batch ID]],$A158,tProd[[Measurement Type]],"Weighing")=0,"",IFERROR(AVERAGEIFS(tProd[[Average Weight kg]],tProd[[Batch ID]],$A158,tProd[[Measurement Type]],"Weighing",tProd[[Date]],_xlfn.MAXIFS(tProd[[Date]],tProd[[Batch ID]],$A158,tProd[[Measurement Type]],"Weighing")),"")))</f>
        <v/>
      </c>
    </row>
    <row r="159">
      <c r="A159" s="27">
        <f>IFERROR(INDEX(tBatches[[Batch ID]],155)&amp;"","")</f>
        <v/>
      </c>
      <c r="B159" s="36">
        <f>IF($A159="","",INDEX(tBatches[[Pen ID]],155)&amp;"")</f>
        <v/>
      </c>
      <c r="C159" s="36">
        <f>IF($A159="","",INDEX(tBatches[[Animal Type]],155)&amp;"")</f>
        <v/>
      </c>
      <c r="D159" s="31">
        <f>IF($A159="","",INDEX(tBatches[[Batch Start Date]],155))</f>
        <v/>
      </c>
      <c r="E159" s="36">
        <f>IF($A159="","",INDEX(tBatches[[Status]],155)&amp;"")</f>
        <v/>
      </c>
      <c r="F159" s="31">
        <f>IF($A159="","",IF(N(INDEX(tBatches[[Closing Date]],155))=0,"",INDEX(tBatches[[Closing Date]],155)))</f>
        <v/>
      </c>
      <c r="G159" s="39">
        <f>IF($A159="","",INDEX(tBatches[[Age (days)]],155))</f>
        <v/>
      </c>
      <c r="H159" s="39">
        <f>IF($A159="","",N(INDEX(tBatches[[Initial Quantity]],155)))</f>
        <v/>
      </c>
      <c r="I159" s="39">
        <f>IF($A159="","",INDEX(tBatches[[Transfers In / Added]],155))</f>
        <v/>
      </c>
      <c r="J159" s="39">
        <f>IF($A159="","",INDEX(tBatches[[Deaths]],155))</f>
        <v/>
      </c>
      <c r="K159" s="39">
        <f>IF($A159="","",INDEX(tBatches[[Heads Sold]],155))</f>
        <v/>
      </c>
      <c r="L159" s="39">
        <f>IF($A159="","",INDEX(tBatches[[Transfers Out]],155))</f>
        <v/>
      </c>
      <c r="M159" s="39">
        <f>IF($A159="","",INDEX(tBatches[[Current Quantity]],155))</f>
        <v/>
      </c>
      <c r="N159" s="40">
        <f>IF($A159="","",IFERROR(J159/(H159+I159),0))</f>
        <v/>
      </c>
      <c r="O159" s="28">
        <f>IF($A159="","",SUMIFS(tFeedIss[[Quantity Issued in kg]],tFeedIss[[Batch ID]],$A159))</f>
        <v/>
      </c>
      <c r="P159" s="29">
        <f>IF($A159="","",SUMIFS(tFeedIss[[Total Cost]],tFeedIss[[Batch ID]],$A159))</f>
        <v/>
      </c>
      <c r="Q159" s="29">
        <f>IF($A159="","",SUMIFS(tDrugUse[[Total Cost]],tDrugUse[[Batch ID]],$A159))</f>
        <v/>
      </c>
      <c r="R159" s="29">
        <f>IF($A159="","",SUMIFS(tExp[[Amount]],tExp[[Batch ID (if applicable)]],$A159))</f>
        <v/>
      </c>
      <c r="S159" s="41">
        <f>IF($A159="","",P159+Q159+R159)</f>
        <v/>
      </c>
      <c r="T159" s="41">
        <f>IF($A159="","",SUMIFS(tSales[[Total Revenue]],tSales[[Batch ID]],$A159))</f>
        <v/>
      </c>
      <c r="U159" s="41">
        <f>IF($A159="","",T159-S159)</f>
        <v/>
      </c>
      <c r="V159" s="29">
        <f>IF($A159="","",IFERROR(S159/(H159+I159),""))</f>
        <v/>
      </c>
      <c r="W159" s="29">
        <f>IF($A159="","",IF(K159=0,"",T159/K159))</f>
        <v/>
      </c>
      <c r="X159" s="42">
        <f>IF($A159="","",IFERROR(O159/(H159+I159),""))</f>
        <v/>
      </c>
      <c r="Y159" s="43">
        <f>IF($A159="","",IF(_xlfn.MAXIFS(tProd[[Date]],tProd[[Batch ID]],$A159,tProd[[Measurement Type]],"Weighing")=0,"",IFERROR(AVERAGEIFS(tProd[[Average Weight kg]],tProd[[Batch ID]],$A159,tProd[[Measurement Type]],"Weighing",tProd[[Date]],_xlfn.MAXIFS(tProd[[Date]],tProd[[Batch ID]],$A159,tProd[[Measurement Type]],"Weighing")),"")))</f>
        <v/>
      </c>
    </row>
    <row r="160">
      <c r="A160" s="27">
        <f>IFERROR(INDEX(tBatches[[Batch ID]],156)&amp;"","")</f>
        <v/>
      </c>
      <c r="B160" s="36">
        <f>IF($A160="","",INDEX(tBatches[[Pen ID]],156)&amp;"")</f>
        <v/>
      </c>
      <c r="C160" s="36">
        <f>IF($A160="","",INDEX(tBatches[[Animal Type]],156)&amp;"")</f>
        <v/>
      </c>
      <c r="D160" s="31">
        <f>IF($A160="","",INDEX(tBatches[[Batch Start Date]],156))</f>
        <v/>
      </c>
      <c r="E160" s="36">
        <f>IF($A160="","",INDEX(tBatches[[Status]],156)&amp;"")</f>
        <v/>
      </c>
      <c r="F160" s="31">
        <f>IF($A160="","",IF(N(INDEX(tBatches[[Closing Date]],156))=0,"",INDEX(tBatches[[Closing Date]],156)))</f>
        <v/>
      </c>
      <c r="G160" s="39">
        <f>IF($A160="","",INDEX(tBatches[[Age (days)]],156))</f>
        <v/>
      </c>
      <c r="H160" s="39">
        <f>IF($A160="","",N(INDEX(tBatches[[Initial Quantity]],156)))</f>
        <v/>
      </c>
      <c r="I160" s="39">
        <f>IF($A160="","",INDEX(tBatches[[Transfers In / Added]],156))</f>
        <v/>
      </c>
      <c r="J160" s="39">
        <f>IF($A160="","",INDEX(tBatches[[Deaths]],156))</f>
        <v/>
      </c>
      <c r="K160" s="39">
        <f>IF($A160="","",INDEX(tBatches[[Heads Sold]],156))</f>
        <v/>
      </c>
      <c r="L160" s="39">
        <f>IF($A160="","",INDEX(tBatches[[Transfers Out]],156))</f>
        <v/>
      </c>
      <c r="M160" s="39">
        <f>IF($A160="","",INDEX(tBatches[[Current Quantity]],156))</f>
        <v/>
      </c>
      <c r="N160" s="40">
        <f>IF($A160="","",IFERROR(J160/(H160+I160),0))</f>
        <v/>
      </c>
      <c r="O160" s="28">
        <f>IF($A160="","",SUMIFS(tFeedIss[[Quantity Issued in kg]],tFeedIss[[Batch ID]],$A160))</f>
        <v/>
      </c>
      <c r="P160" s="29">
        <f>IF($A160="","",SUMIFS(tFeedIss[[Total Cost]],tFeedIss[[Batch ID]],$A160))</f>
        <v/>
      </c>
      <c r="Q160" s="29">
        <f>IF($A160="","",SUMIFS(tDrugUse[[Total Cost]],tDrugUse[[Batch ID]],$A160))</f>
        <v/>
      </c>
      <c r="R160" s="29">
        <f>IF($A160="","",SUMIFS(tExp[[Amount]],tExp[[Batch ID (if applicable)]],$A160))</f>
        <v/>
      </c>
      <c r="S160" s="41">
        <f>IF($A160="","",P160+Q160+R160)</f>
        <v/>
      </c>
      <c r="T160" s="41">
        <f>IF($A160="","",SUMIFS(tSales[[Total Revenue]],tSales[[Batch ID]],$A160))</f>
        <v/>
      </c>
      <c r="U160" s="41">
        <f>IF($A160="","",T160-S160)</f>
        <v/>
      </c>
      <c r="V160" s="29">
        <f>IF($A160="","",IFERROR(S160/(H160+I160),""))</f>
        <v/>
      </c>
      <c r="W160" s="29">
        <f>IF($A160="","",IF(K160=0,"",T160/K160))</f>
        <v/>
      </c>
      <c r="X160" s="42">
        <f>IF($A160="","",IFERROR(O160/(H160+I160),""))</f>
        <v/>
      </c>
      <c r="Y160" s="43">
        <f>IF($A160="","",IF(_xlfn.MAXIFS(tProd[[Date]],tProd[[Batch ID]],$A160,tProd[[Measurement Type]],"Weighing")=0,"",IFERROR(AVERAGEIFS(tProd[[Average Weight kg]],tProd[[Batch ID]],$A160,tProd[[Measurement Type]],"Weighing",tProd[[Date]],_xlfn.MAXIFS(tProd[[Date]],tProd[[Batch ID]],$A160,tProd[[Measurement Type]],"Weighing")),"")))</f>
        <v/>
      </c>
    </row>
    <row r="161">
      <c r="A161" s="27">
        <f>IFERROR(INDEX(tBatches[[Batch ID]],157)&amp;"","")</f>
        <v/>
      </c>
      <c r="B161" s="36">
        <f>IF($A161="","",INDEX(tBatches[[Pen ID]],157)&amp;"")</f>
        <v/>
      </c>
      <c r="C161" s="36">
        <f>IF($A161="","",INDEX(tBatches[[Animal Type]],157)&amp;"")</f>
        <v/>
      </c>
      <c r="D161" s="31">
        <f>IF($A161="","",INDEX(tBatches[[Batch Start Date]],157))</f>
        <v/>
      </c>
      <c r="E161" s="36">
        <f>IF($A161="","",INDEX(tBatches[[Status]],157)&amp;"")</f>
        <v/>
      </c>
      <c r="F161" s="31">
        <f>IF($A161="","",IF(N(INDEX(tBatches[[Closing Date]],157))=0,"",INDEX(tBatches[[Closing Date]],157)))</f>
        <v/>
      </c>
      <c r="G161" s="39">
        <f>IF($A161="","",INDEX(tBatches[[Age (days)]],157))</f>
        <v/>
      </c>
      <c r="H161" s="39">
        <f>IF($A161="","",N(INDEX(tBatches[[Initial Quantity]],157)))</f>
        <v/>
      </c>
      <c r="I161" s="39">
        <f>IF($A161="","",INDEX(tBatches[[Transfers In / Added]],157))</f>
        <v/>
      </c>
      <c r="J161" s="39">
        <f>IF($A161="","",INDEX(tBatches[[Deaths]],157))</f>
        <v/>
      </c>
      <c r="K161" s="39">
        <f>IF($A161="","",INDEX(tBatches[[Heads Sold]],157))</f>
        <v/>
      </c>
      <c r="L161" s="39">
        <f>IF($A161="","",INDEX(tBatches[[Transfers Out]],157))</f>
        <v/>
      </c>
      <c r="M161" s="39">
        <f>IF($A161="","",INDEX(tBatches[[Current Quantity]],157))</f>
        <v/>
      </c>
      <c r="N161" s="40">
        <f>IF($A161="","",IFERROR(J161/(H161+I161),0))</f>
        <v/>
      </c>
      <c r="O161" s="28">
        <f>IF($A161="","",SUMIFS(tFeedIss[[Quantity Issued in kg]],tFeedIss[[Batch ID]],$A161))</f>
        <v/>
      </c>
      <c r="P161" s="29">
        <f>IF($A161="","",SUMIFS(tFeedIss[[Total Cost]],tFeedIss[[Batch ID]],$A161))</f>
        <v/>
      </c>
      <c r="Q161" s="29">
        <f>IF($A161="","",SUMIFS(tDrugUse[[Total Cost]],tDrugUse[[Batch ID]],$A161))</f>
        <v/>
      </c>
      <c r="R161" s="29">
        <f>IF($A161="","",SUMIFS(tExp[[Amount]],tExp[[Batch ID (if applicable)]],$A161))</f>
        <v/>
      </c>
      <c r="S161" s="41">
        <f>IF($A161="","",P161+Q161+R161)</f>
        <v/>
      </c>
      <c r="T161" s="41">
        <f>IF($A161="","",SUMIFS(tSales[[Total Revenue]],tSales[[Batch ID]],$A161))</f>
        <v/>
      </c>
      <c r="U161" s="41">
        <f>IF($A161="","",T161-S161)</f>
        <v/>
      </c>
      <c r="V161" s="29">
        <f>IF($A161="","",IFERROR(S161/(H161+I161),""))</f>
        <v/>
      </c>
      <c r="W161" s="29">
        <f>IF($A161="","",IF(K161=0,"",T161/K161))</f>
        <v/>
      </c>
      <c r="X161" s="42">
        <f>IF($A161="","",IFERROR(O161/(H161+I161),""))</f>
        <v/>
      </c>
      <c r="Y161" s="43">
        <f>IF($A161="","",IF(_xlfn.MAXIFS(tProd[[Date]],tProd[[Batch ID]],$A161,tProd[[Measurement Type]],"Weighing")=0,"",IFERROR(AVERAGEIFS(tProd[[Average Weight kg]],tProd[[Batch ID]],$A161,tProd[[Measurement Type]],"Weighing",tProd[[Date]],_xlfn.MAXIFS(tProd[[Date]],tProd[[Batch ID]],$A161,tProd[[Measurement Type]],"Weighing")),"")))</f>
        <v/>
      </c>
    </row>
    <row r="162">
      <c r="A162" s="27">
        <f>IFERROR(INDEX(tBatches[[Batch ID]],158)&amp;"","")</f>
        <v/>
      </c>
      <c r="B162" s="36">
        <f>IF($A162="","",INDEX(tBatches[[Pen ID]],158)&amp;"")</f>
        <v/>
      </c>
      <c r="C162" s="36">
        <f>IF($A162="","",INDEX(tBatches[[Animal Type]],158)&amp;"")</f>
        <v/>
      </c>
      <c r="D162" s="31">
        <f>IF($A162="","",INDEX(tBatches[[Batch Start Date]],158))</f>
        <v/>
      </c>
      <c r="E162" s="36">
        <f>IF($A162="","",INDEX(tBatches[[Status]],158)&amp;"")</f>
        <v/>
      </c>
      <c r="F162" s="31">
        <f>IF($A162="","",IF(N(INDEX(tBatches[[Closing Date]],158))=0,"",INDEX(tBatches[[Closing Date]],158)))</f>
        <v/>
      </c>
      <c r="G162" s="39">
        <f>IF($A162="","",INDEX(tBatches[[Age (days)]],158))</f>
        <v/>
      </c>
      <c r="H162" s="39">
        <f>IF($A162="","",N(INDEX(tBatches[[Initial Quantity]],158)))</f>
        <v/>
      </c>
      <c r="I162" s="39">
        <f>IF($A162="","",INDEX(tBatches[[Transfers In / Added]],158))</f>
        <v/>
      </c>
      <c r="J162" s="39">
        <f>IF($A162="","",INDEX(tBatches[[Deaths]],158))</f>
        <v/>
      </c>
      <c r="K162" s="39">
        <f>IF($A162="","",INDEX(tBatches[[Heads Sold]],158))</f>
        <v/>
      </c>
      <c r="L162" s="39">
        <f>IF($A162="","",INDEX(tBatches[[Transfers Out]],158))</f>
        <v/>
      </c>
      <c r="M162" s="39">
        <f>IF($A162="","",INDEX(tBatches[[Current Quantity]],158))</f>
        <v/>
      </c>
      <c r="N162" s="40">
        <f>IF($A162="","",IFERROR(J162/(H162+I162),0))</f>
        <v/>
      </c>
      <c r="O162" s="28">
        <f>IF($A162="","",SUMIFS(tFeedIss[[Quantity Issued in kg]],tFeedIss[[Batch ID]],$A162))</f>
        <v/>
      </c>
      <c r="P162" s="29">
        <f>IF($A162="","",SUMIFS(tFeedIss[[Total Cost]],tFeedIss[[Batch ID]],$A162))</f>
        <v/>
      </c>
      <c r="Q162" s="29">
        <f>IF($A162="","",SUMIFS(tDrugUse[[Total Cost]],tDrugUse[[Batch ID]],$A162))</f>
        <v/>
      </c>
      <c r="R162" s="29">
        <f>IF($A162="","",SUMIFS(tExp[[Amount]],tExp[[Batch ID (if applicable)]],$A162))</f>
        <v/>
      </c>
      <c r="S162" s="41">
        <f>IF($A162="","",P162+Q162+R162)</f>
        <v/>
      </c>
      <c r="T162" s="41">
        <f>IF($A162="","",SUMIFS(tSales[[Total Revenue]],tSales[[Batch ID]],$A162))</f>
        <v/>
      </c>
      <c r="U162" s="41">
        <f>IF($A162="","",T162-S162)</f>
        <v/>
      </c>
      <c r="V162" s="29">
        <f>IF($A162="","",IFERROR(S162/(H162+I162),""))</f>
        <v/>
      </c>
      <c r="W162" s="29">
        <f>IF($A162="","",IF(K162=0,"",T162/K162))</f>
        <v/>
      </c>
      <c r="X162" s="42">
        <f>IF($A162="","",IFERROR(O162/(H162+I162),""))</f>
        <v/>
      </c>
      <c r="Y162" s="43">
        <f>IF($A162="","",IF(_xlfn.MAXIFS(tProd[[Date]],tProd[[Batch ID]],$A162,tProd[[Measurement Type]],"Weighing")=0,"",IFERROR(AVERAGEIFS(tProd[[Average Weight kg]],tProd[[Batch ID]],$A162,tProd[[Measurement Type]],"Weighing",tProd[[Date]],_xlfn.MAXIFS(tProd[[Date]],tProd[[Batch ID]],$A162,tProd[[Measurement Type]],"Weighing")),"")))</f>
        <v/>
      </c>
    </row>
    <row r="163">
      <c r="A163" s="27">
        <f>IFERROR(INDEX(tBatches[[Batch ID]],159)&amp;"","")</f>
        <v/>
      </c>
      <c r="B163" s="36">
        <f>IF($A163="","",INDEX(tBatches[[Pen ID]],159)&amp;"")</f>
        <v/>
      </c>
      <c r="C163" s="36">
        <f>IF($A163="","",INDEX(tBatches[[Animal Type]],159)&amp;"")</f>
        <v/>
      </c>
      <c r="D163" s="31">
        <f>IF($A163="","",INDEX(tBatches[[Batch Start Date]],159))</f>
        <v/>
      </c>
      <c r="E163" s="36">
        <f>IF($A163="","",INDEX(tBatches[[Status]],159)&amp;"")</f>
        <v/>
      </c>
      <c r="F163" s="31">
        <f>IF($A163="","",IF(N(INDEX(tBatches[[Closing Date]],159))=0,"",INDEX(tBatches[[Closing Date]],159)))</f>
        <v/>
      </c>
      <c r="G163" s="39">
        <f>IF($A163="","",INDEX(tBatches[[Age (days)]],159))</f>
        <v/>
      </c>
      <c r="H163" s="39">
        <f>IF($A163="","",N(INDEX(tBatches[[Initial Quantity]],159)))</f>
        <v/>
      </c>
      <c r="I163" s="39">
        <f>IF($A163="","",INDEX(tBatches[[Transfers In / Added]],159))</f>
        <v/>
      </c>
      <c r="J163" s="39">
        <f>IF($A163="","",INDEX(tBatches[[Deaths]],159))</f>
        <v/>
      </c>
      <c r="K163" s="39">
        <f>IF($A163="","",INDEX(tBatches[[Heads Sold]],159))</f>
        <v/>
      </c>
      <c r="L163" s="39">
        <f>IF($A163="","",INDEX(tBatches[[Transfers Out]],159))</f>
        <v/>
      </c>
      <c r="M163" s="39">
        <f>IF($A163="","",INDEX(tBatches[[Current Quantity]],159))</f>
        <v/>
      </c>
      <c r="N163" s="40">
        <f>IF($A163="","",IFERROR(J163/(H163+I163),0))</f>
        <v/>
      </c>
      <c r="O163" s="28">
        <f>IF($A163="","",SUMIFS(tFeedIss[[Quantity Issued in kg]],tFeedIss[[Batch ID]],$A163))</f>
        <v/>
      </c>
      <c r="P163" s="29">
        <f>IF($A163="","",SUMIFS(tFeedIss[[Total Cost]],tFeedIss[[Batch ID]],$A163))</f>
        <v/>
      </c>
      <c r="Q163" s="29">
        <f>IF($A163="","",SUMIFS(tDrugUse[[Total Cost]],tDrugUse[[Batch ID]],$A163))</f>
        <v/>
      </c>
      <c r="R163" s="29">
        <f>IF($A163="","",SUMIFS(tExp[[Amount]],tExp[[Batch ID (if applicable)]],$A163))</f>
        <v/>
      </c>
      <c r="S163" s="41">
        <f>IF($A163="","",P163+Q163+R163)</f>
        <v/>
      </c>
      <c r="T163" s="41">
        <f>IF($A163="","",SUMIFS(tSales[[Total Revenue]],tSales[[Batch ID]],$A163))</f>
        <v/>
      </c>
      <c r="U163" s="41">
        <f>IF($A163="","",T163-S163)</f>
        <v/>
      </c>
      <c r="V163" s="29">
        <f>IF($A163="","",IFERROR(S163/(H163+I163),""))</f>
        <v/>
      </c>
      <c r="W163" s="29">
        <f>IF($A163="","",IF(K163=0,"",T163/K163))</f>
        <v/>
      </c>
      <c r="X163" s="42">
        <f>IF($A163="","",IFERROR(O163/(H163+I163),""))</f>
        <v/>
      </c>
      <c r="Y163" s="43">
        <f>IF($A163="","",IF(_xlfn.MAXIFS(tProd[[Date]],tProd[[Batch ID]],$A163,tProd[[Measurement Type]],"Weighing")=0,"",IFERROR(AVERAGEIFS(tProd[[Average Weight kg]],tProd[[Batch ID]],$A163,tProd[[Measurement Type]],"Weighing",tProd[[Date]],_xlfn.MAXIFS(tProd[[Date]],tProd[[Batch ID]],$A163,tProd[[Measurement Type]],"Weighing")),"")))</f>
        <v/>
      </c>
    </row>
    <row r="164">
      <c r="A164" s="27">
        <f>IFERROR(INDEX(tBatches[[Batch ID]],160)&amp;"","")</f>
        <v/>
      </c>
      <c r="B164" s="36">
        <f>IF($A164="","",INDEX(tBatches[[Pen ID]],160)&amp;"")</f>
        <v/>
      </c>
      <c r="C164" s="36">
        <f>IF($A164="","",INDEX(tBatches[[Animal Type]],160)&amp;"")</f>
        <v/>
      </c>
      <c r="D164" s="31">
        <f>IF($A164="","",INDEX(tBatches[[Batch Start Date]],160))</f>
        <v/>
      </c>
      <c r="E164" s="36">
        <f>IF($A164="","",INDEX(tBatches[[Status]],160)&amp;"")</f>
        <v/>
      </c>
      <c r="F164" s="31">
        <f>IF($A164="","",IF(N(INDEX(tBatches[[Closing Date]],160))=0,"",INDEX(tBatches[[Closing Date]],160)))</f>
        <v/>
      </c>
      <c r="G164" s="39">
        <f>IF($A164="","",INDEX(tBatches[[Age (days)]],160))</f>
        <v/>
      </c>
      <c r="H164" s="39">
        <f>IF($A164="","",N(INDEX(tBatches[[Initial Quantity]],160)))</f>
        <v/>
      </c>
      <c r="I164" s="39">
        <f>IF($A164="","",INDEX(tBatches[[Transfers In / Added]],160))</f>
        <v/>
      </c>
      <c r="J164" s="39">
        <f>IF($A164="","",INDEX(tBatches[[Deaths]],160))</f>
        <v/>
      </c>
      <c r="K164" s="39">
        <f>IF($A164="","",INDEX(tBatches[[Heads Sold]],160))</f>
        <v/>
      </c>
      <c r="L164" s="39">
        <f>IF($A164="","",INDEX(tBatches[[Transfers Out]],160))</f>
        <v/>
      </c>
      <c r="M164" s="39">
        <f>IF($A164="","",INDEX(tBatches[[Current Quantity]],160))</f>
        <v/>
      </c>
      <c r="N164" s="40">
        <f>IF($A164="","",IFERROR(J164/(H164+I164),0))</f>
        <v/>
      </c>
      <c r="O164" s="28">
        <f>IF($A164="","",SUMIFS(tFeedIss[[Quantity Issued in kg]],tFeedIss[[Batch ID]],$A164))</f>
        <v/>
      </c>
      <c r="P164" s="29">
        <f>IF($A164="","",SUMIFS(tFeedIss[[Total Cost]],tFeedIss[[Batch ID]],$A164))</f>
        <v/>
      </c>
      <c r="Q164" s="29">
        <f>IF($A164="","",SUMIFS(tDrugUse[[Total Cost]],tDrugUse[[Batch ID]],$A164))</f>
        <v/>
      </c>
      <c r="R164" s="29">
        <f>IF($A164="","",SUMIFS(tExp[[Amount]],tExp[[Batch ID (if applicable)]],$A164))</f>
        <v/>
      </c>
      <c r="S164" s="41">
        <f>IF($A164="","",P164+Q164+R164)</f>
        <v/>
      </c>
      <c r="T164" s="41">
        <f>IF($A164="","",SUMIFS(tSales[[Total Revenue]],tSales[[Batch ID]],$A164))</f>
        <v/>
      </c>
      <c r="U164" s="41">
        <f>IF($A164="","",T164-S164)</f>
        <v/>
      </c>
      <c r="V164" s="29">
        <f>IF($A164="","",IFERROR(S164/(H164+I164),""))</f>
        <v/>
      </c>
      <c r="W164" s="29">
        <f>IF($A164="","",IF(K164=0,"",T164/K164))</f>
        <v/>
      </c>
      <c r="X164" s="42">
        <f>IF($A164="","",IFERROR(O164/(H164+I164),""))</f>
        <v/>
      </c>
      <c r="Y164" s="43">
        <f>IF($A164="","",IF(_xlfn.MAXIFS(tProd[[Date]],tProd[[Batch ID]],$A164,tProd[[Measurement Type]],"Weighing")=0,"",IFERROR(AVERAGEIFS(tProd[[Average Weight kg]],tProd[[Batch ID]],$A164,tProd[[Measurement Type]],"Weighing",tProd[[Date]],_xlfn.MAXIFS(tProd[[Date]],tProd[[Batch ID]],$A164,tProd[[Measurement Type]],"Weighing")),"")))</f>
        <v/>
      </c>
    </row>
    <row r="165">
      <c r="A165" s="27">
        <f>IFERROR(INDEX(tBatches[[Batch ID]],161)&amp;"","")</f>
        <v/>
      </c>
      <c r="B165" s="36">
        <f>IF($A165="","",INDEX(tBatches[[Pen ID]],161)&amp;"")</f>
        <v/>
      </c>
      <c r="C165" s="36">
        <f>IF($A165="","",INDEX(tBatches[[Animal Type]],161)&amp;"")</f>
        <v/>
      </c>
      <c r="D165" s="31">
        <f>IF($A165="","",INDEX(tBatches[[Batch Start Date]],161))</f>
        <v/>
      </c>
      <c r="E165" s="36">
        <f>IF($A165="","",INDEX(tBatches[[Status]],161)&amp;"")</f>
        <v/>
      </c>
      <c r="F165" s="31">
        <f>IF($A165="","",IF(N(INDEX(tBatches[[Closing Date]],161))=0,"",INDEX(tBatches[[Closing Date]],161)))</f>
        <v/>
      </c>
      <c r="G165" s="39">
        <f>IF($A165="","",INDEX(tBatches[[Age (days)]],161))</f>
        <v/>
      </c>
      <c r="H165" s="39">
        <f>IF($A165="","",N(INDEX(tBatches[[Initial Quantity]],161)))</f>
        <v/>
      </c>
      <c r="I165" s="39">
        <f>IF($A165="","",INDEX(tBatches[[Transfers In / Added]],161))</f>
        <v/>
      </c>
      <c r="J165" s="39">
        <f>IF($A165="","",INDEX(tBatches[[Deaths]],161))</f>
        <v/>
      </c>
      <c r="K165" s="39">
        <f>IF($A165="","",INDEX(tBatches[[Heads Sold]],161))</f>
        <v/>
      </c>
      <c r="L165" s="39">
        <f>IF($A165="","",INDEX(tBatches[[Transfers Out]],161))</f>
        <v/>
      </c>
      <c r="M165" s="39">
        <f>IF($A165="","",INDEX(tBatches[[Current Quantity]],161))</f>
        <v/>
      </c>
      <c r="N165" s="40">
        <f>IF($A165="","",IFERROR(J165/(H165+I165),0))</f>
        <v/>
      </c>
      <c r="O165" s="28">
        <f>IF($A165="","",SUMIFS(tFeedIss[[Quantity Issued in kg]],tFeedIss[[Batch ID]],$A165))</f>
        <v/>
      </c>
      <c r="P165" s="29">
        <f>IF($A165="","",SUMIFS(tFeedIss[[Total Cost]],tFeedIss[[Batch ID]],$A165))</f>
        <v/>
      </c>
      <c r="Q165" s="29">
        <f>IF($A165="","",SUMIFS(tDrugUse[[Total Cost]],tDrugUse[[Batch ID]],$A165))</f>
        <v/>
      </c>
      <c r="R165" s="29">
        <f>IF($A165="","",SUMIFS(tExp[[Amount]],tExp[[Batch ID (if applicable)]],$A165))</f>
        <v/>
      </c>
      <c r="S165" s="41">
        <f>IF($A165="","",P165+Q165+R165)</f>
        <v/>
      </c>
      <c r="T165" s="41">
        <f>IF($A165="","",SUMIFS(tSales[[Total Revenue]],tSales[[Batch ID]],$A165))</f>
        <v/>
      </c>
      <c r="U165" s="41">
        <f>IF($A165="","",T165-S165)</f>
        <v/>
      </c>
      <c r="V165" s="29">
        <f>IF($A165="","",IFERROR(S165/(H165+I165),""))</f>
        <v/>
      </c>
      <c r="W165" s="29">
        <f>IF($A165="","",IF(K165=0,"",T165/K165))</f>
        <v/>
      </c>
      <c r="X165" s="42">
        <f>IF($A165="","",IFERROR(O165/(H165+I165),""))</f>
        <v/>
      </c>
      <c r="Y165" s="43">
        <f>IF($A165="","",IF(_xlfn.MAXIFS(tProd[[Date]],tProd[[Batch ID]],$A165,tProd[[Measurement Type]],"Weighing")=0,"",IFERROR(AVERAGEIFS(tProd[[Average Weight kg]],tProd[[Batch ID]],$A165,tProd[[Measurement Type]],"Weighing",tProd[[Date]],_xlfn.MAXIFS(tProd[[Date]],tProd[[Batch ID]],$A165,tProd[[Measurement Type]],"Weighing")),"")))</f>
        <v/>
      </c>
    </row>
    <row r="166">
      <c r="A166" s="27">
        <f>IFERROR(INDEX(tBatches[[Batch ID]],162)&amp;"","")</f>
        <v/>
      </c>
      <c r="B166" s="36">
        <f>IF($A166="","",INDEX(tBatches[[Pen ID]],162)&amp;"")</f>
        <v/>
      </c>
      <c r="C166" s="36">
        <f>IF($A166="","",INDEX(tBatches[[Animal Type]],162)&amp;"")</f>
        <v/>
      </c>
      <c r="D166" s="31">
        <f>IF($A166="","",INDEX(tBatches[[Batch Start Date]],162))</f>
        <v/>
      </c>
      <c r="E166" s="36">
        <f>IF($A166="","",INDEX(tBatches[[Status]],162)&amp;"")</f>
        <v/>
      </c>
      <c r="F166" s="31">
        <f>IF($A166="","",IF(N(INDEX(tBatches[[Closing Date]],162))=0,"",INDEX(tBatches[[Closing Date]],162)))</f>
        <v/>
      </c>
      <c r="G166" s="39">
        <f>IF($A166="","",INDEX(tBatches[[Age (days)]],162))</f>
        <v/>
      </c>
      <c r="H166" s="39">
        <f>IF($A166="","",N(INDEX(tBatches[[Initial Quantity]],162)))</f>
        <v/>
      </c>
      <c r="I166" s="39">
        <f>IF($A166="","",INDEX(tBatches[[Transfers In / Added]],162))</f>
        <v/>
      </c>
      <c r="J166" s="39">
        <f>IF($A166="","",INDEX(tBatches[[Deaths]],162))</f>
        <v/>
      </c>
      <c r="K166" s="39">
        <f>IF($A166="","",INDEX(tBatches[[Heads Sold]],162))</f>
        <v/>
      </c>
      <c r="L166" s="39">
        <f>IF($A166="","",INDEX(tBatches[[Transfers Out]],162))</f>
        <v/>
      </c>
      <c r="M166" s="39">
        <f>IF($A166="","",INDEX(tBatches[[Current Quantity]],162))</f>
        <v/>
      </c>
      <c r="N166" s="40">
        <f>IF($A166="","",IFERROR(J166/(H166+I166),0))</f>
        <v/>
      </c>
      <c r="O166" s="28">
        <f>IF($A166="","",SUMIFS(tFeedIss[[Quantity Issued in kg]],tFeedIss[[Batch ID]],$A166))</f>
        <v/>
      </c>
      <c r="P166" s="29">
        <f>IF($A166="","",SUMIFS(tFeedIss[[Total Cost]],tFeedIss[[Batch ID]],$A166))</f>
        <v/>
      </c>
      <c r="Q166" s="29">
        <f>IF($A166="","",SUMIFS(tDrugUse[[Total Cost]],tDrugUse[[Batch ID]],$A166))</f>
        <v/>
      </c>
      <c r="R166" s="29">
        <f>IF($A166="","",SUMIFS(tExp[[Amount]],tExp[[Batch ID (if applicable)]],$A166))</f>
        <v/>
      </c>
      <c r="S166" s="41">
        <f>IF($A166="","",P166+Q166+R166)</f>
        <v/>
      </c>
      <c r="T166" s="41">
        <f>IF($A166="","",SUMIFS(tSales[[Total Revenue]],tSales[[Batch ID]],$A166))</f>
        <v/>
      </c>
      <c r="U166" s="41">
        <f>IF($A166="","",T166-S166)</f>
        <v/>
      </c>
      <c r="V166" s="29">
        <f>IF($A166="","",IFERROR(S166/(H166+I166),""))</f>
        <v/>
      </c>
      <c r="W166" s="29">
        <f>IF($A166="","",IF(K166=0,"",T166/K166))</f>
        <v/>
      </c>
      <c r="X166" s="42">
        <f>IF($A166="","",IFERROR(O166/(H166+I166),""))</f>
        <v/>
      </c>
      <c r="Y166" s="43">
        <f>IF($A166="","",IF(_xlfn.MAXIFS(tProd[[Date]],tProd[[Batch ID]],$A166,tProd[[Measurement Type]],"Weighing")=0,"",IFERROR(AVERAGEIFS(tProd[[Average Weight kg]],tProd[[Batch ID]],$A166,tProd[[Measurement Type]],"Weighing",tProd[[Date]],_xlfn.MAXIFS(tProd[[Date]],tProd[[Batch ID]],$A166,tProd[[Measurement Type]],"Weighing")),"")))</f>
        <v/>
      </c>
    </row>
    <row r="167">
      <c r="A167" s="27">
        <f>IFERROR(INDEX(tBatches[[Batch ID]],163)&amp;"","")</f>
        <v/>
      </c>
      <c r="B167" s="36">
        <f>IF($A167="","",INDEX(tBatches[[Pen ID]],163)&amp;"")</f>
        <v/>
      </c>
      <c r="C167" s="36">
        <f>IF($A167="","",INDEX(tBatches[[Animal Type]],163)&amp;"")</f>
        <v/>
      </c>
      <c r="D167" s="31">
        <f>IF($A167="","",INDEX(tBatches[[Batch Start Date]],163))</f>
        <v/>
      </c>
      <c r="E167" s="36">
        <f>IF($A167="","",INDEX(tBatches[[Status]],163)&amp;"")</f>
        <v/>
      </c>
      <c r="F167" s="31">
        <f>IF($A167="","",IF(N(INDEX(tBatches[[Closing Date]],163))=0,"",INDEX(tBatches[[Closing Date]],163)))</f>
        <v/>
      </c>
      <c r="G167" s="39">
        <f>IF($A167="","",INDEX(tBatches[[Age (days)]],163))</f>
        <v/>
      </c>
      <c r="H167" s="39">
        <f>IF($A167="","",N(INDEX(tBatches[[Initial Quantity]],163)))</f>
        <v/>
      </c>
      <c r="I167" s="39">
        <f>IF($A167="","",INDEX(tBatches[[Transfers In / Added]],163))</f>
        <v/>
      </c>
      <c r="J167" s="39">
        <f>IF($A167="","",INDEX(tBatches[[Deaths]],163))</f>
        <v/>
      </c>
      <c r="K167" s="39">
        <f>IF($A167="","",INDEX(tBatches[[Heads Sold]],163))</f>
        <v/>
      </c>
      <c r="L167" s="39">
        <f>IF($A167="","",INDEX(tBatches[[Transfers Out]],163))</f>
        <v/>
      </c>
      <c r="M167" s="39">
        <f>IF($A167="","",INDEX(tBatches[[Current Quantity]],163))</f>
        <v/>
      </c>
      <c r="N167" s="40">
        <f>IF($A167="","",IFERROR(J167/(H167+I167),0))</f>
        <v/>
      </c>
      <c r="O167" s="28">
        <f>IF($A167="","",SUMIFS(tFeedIss[[Quantity Issued in kg]],tFeedIss[[Batch ID]],$A167))</f>
        <v/>
      </c>
      <c r="P167" s="29">
        <f>IF($A167="","",SUMIFS(tFeedIss[[Total Cost]],tFeedIss[[Batch ID]],$A167))</f>
        <v/>
      </c>
      <c r="Q167" s="29">
        <f>IF($A167="","",SUMIFS(tDrugUse[[Total Cost]],tDrugUse[[Batch ID]],$A167))</f>
        <v/>
      </c>
      <c r="R167" s="29">
        <f>IF($A167="","",SUMIFS(tExp[[Amount]],tExp[[Batch ID (if applicable)]],$A167))</f>
        <v/>
      </c>
      <c r="S167" s="41">
        <f>IF($A167="","",P167+Q167+R167)</f>
        <v/>
      </c>
      <c r="T167" s="41">
        <f>IF($A167="","",SUMIFS(tSales[[Total Revenue]],tSales[[Batch ID]],$A167))</f>
        <v/>
      </c>
      <c r="U167" s="41">
        <f>IF($A167="","",T167-S167)</f>
        <v/>
      </c>
      <c r="V167" s="29">
        <f>IF($A167="","",IFERROR(S167/(H167+I167),""))</f>
        <v/>
      </c>
      <c r="W167" s="29">
        <f>IF($A167="","",IF(K167=0,"",T167/K167))</f>
        <v/>
      </c>
      <c r="X167" s="42">
        <f>IF($A167="","",IFERROR(O167/(H167+I167),""))</f>
        <v/>
      </c>
      <c r="Y167" s="43">
        <f>IF($A167="","",IF(_xlfn.MAXIFS(tProd[[Date]],tProd[[Batch ID]],$A167,tProd[[Measurement Type]],"Weighing")=0,"",IFERROR(AVERAGEIFS(tProd[[Average Weight kg]],tProd[[Batch ID]],$A167,tProd[[Measurement Type]],"Weighing",tProd[[Date]],_xlfn.MAXIFS(tProd[[Date]],tProd[[Batch ID]],$A167,tProd[[Measurement Type]],"Weighing")),"")))</f>
        <v/>
      </c>
    </row>
    <row r="168">
      <c r="A168" s="27">
        <f>IFERROR(INDEX(tBatches[[Batch ID]],164)&amp;"","")</f>
        <v/>
      </c>
      <c r="B168" s="36">
        <f>IF($A168="","",INDEX(tBatches[[Pen ID]],164)&amp;"")</f>
        <v/>
      </c>
      <c r="C168" s="36">
        <f>IF($A168="","",INDEX(tBatches[[Animal Type]],164)&amp;"")</f>
        <v/>
      </c>
      <c r="D168" s="31">
        <f>IF($A168="","",INDEX(tBatches[[Batch Start Date]],164))</f>
        <v/>
      </c>
      <c r="E168" s="36">
        <f>IF($A168="","",INDEX(tBatches[[Status]],164)&amp;"")</f>
        <v/>
      </c>
      <c r="F168" s="31">
        <f>IF($A168="","",IF(N(INDEX(tBatches[[Closing Date]],164))=0,"",INDEX(tBatches[[Closing Date]],164)))</f>
        <v/>
      </c>
      <c r="G168" s="39">
        <f>IF($A168="","",INDEX(tBatches[[Age (days)]],164))</f>
        <v/>
      </c>
      <c r="H168" s="39">
        <f>IF($A168="","",N(INDEX(tBatches[[Initial Quantity]],164)))</f>
        <v/>
      </c>
      <c r="I168" s="39">
        <f>IF($A168="","",INDEX(tBatches[[Transfers In / Added]],164))</f>
        <v/>
      </c>
      <c r="J168" s="39">
        <f>IF($A168="","",INDEX(tBatches[[Deaths]],164))</f>
        <v/>
      </c>
      <c r="K168" s="39">
        <f>IF($A168="","",INDEX(tBatches[[Heads Sold]],164))</f>
        <v/>
      </c>
      <c r="L168" s="39">
        <f>IF($A168="","",INDEX(tBatches[[Transfers Out]],164))</f>
        <v/>
      </c>
      <c r="M168" s="39">
        <f>IF($A168="","",INDEX(tBatches[[Current Quantity]],164))</f>
        <v/>
      </c>
      <c r="N168" s="40">
        <f>IF($A168="","",IFERROR(J168/(H168+I168),0))</f>
        <v/>
      </c>
      <c r="O168" s="28">
        <f>IF($A168="","",SUMIFS(tFeedIss[[Quantity Issued in kg]],tFeedIss[[Batch ID]],$A168))</f>
        <v/>
      </c>
      <c r="P168" s="29">
        <f>IF($A168="","",SUMIFS(tFeedIss[[Total Cost]],tFeedIss[[Batch ID]],$A168))</f>
        <v/>
      </c>
      <c r="Q168" s="29">
        <f>IF($A168="","",SUMIFS(tDrugUse[[Total Cost]],tDrugUse[[Batch ID]],$A168))</f>
        <v/>
      </c>
      <c r="R168" s="29">
        <f>IF($A168="","",SUMIFS(tExp[[Amount]],tExp[[Batch ID (if applicable)]],$A168))</f>
        <v/>
      </c>
      <c r="S168" s="41">
        <f>IF($A168="","",P168+Q168+R168)</f>
        <v/>
      </c>
      <c r="T168" s="41">
        <f>IF($A168="","",SUMIFS(tSales[[Total Revenue]],tSales[[Batch ID]],$A168))</f>
        <v/>
      </c>
      <c r="U168" s="41">
        <f>IF($A168="","",T168-S168)</f>
        <v/>
      </c>
      <c r="V168" s="29">
        <f>IF($A168="","",IFERROR(S168/(H168+I168),""))</f>
        <v/>
      </c>
      <c r="W168" s="29">
        <f>IF($A168="","",IF(K168=0,"",T168/K168))</f>
        <v/>
      </c>
      <c r="X168" s="42">
        <f>IF($A168="","",IFERROR(O168/(H168+I168),""))</f>
        <v/>
      </c>
      <c r="Y168" s="43">
        <f>IF($A168="","",IF(_xlfn.MAXIFS(tProd[[Date]],tProd[[Batch ID]],$A168,tProd[[Measurement Type]],"Weighing")=0,"",IFERROR(AVERAGEIFS(tProd[[Average Weight kg]],tProd[[Batch ID]],$A168,tProd[[Measurement Type]],"Weighing",tProd[[Date]],_xlfn.MAXIFS(tProd[[Date]],tProd[[Batch ID]],$A168,tProd[[Measurement Type]],"Weighing")),"")))</f>
        <v/>
      </c>
    </row>
    <row r="169">
      <c r="A169" s="27">
        <f>IFERROR(INDEX(tBatches[[Batch ID]],165)&amp;"","")</f>
        <v/>
      </c>
      <c r="B169" s="36">
        <f>IF($A169="","",INDEX(tBatches[[Pen ID]],165)&amp;"")</f>
        <v/>
      </c>
      <c r="C169" s="36">
        <f>IF($A169="","",INDEX(tBatches[[Animal Type]],165)&amp;"")</f>
        <v/>
      </c>
      <c r="D169" s="31">
        <f>IF($A169="","",INDEX(tBatches[[Batch Start Date]],165))</f>
        <v/>
      </c>
      <c r="E169" s="36">
        <f>IF($A169="","",INDEX(tBatches[[Status]],165)&amp;"")</f>
        <v/>
      </c>
      <c r="F169" s="31">
        <f>IF($A169="","",IF(N(INDEX(tBatches[[Closing Date]],165))=0,"",INDEX(tBatches[[Closing Date]],165)))</f>
        <v/>
      </c>
      <c r="G169" s="39">
        <f>IF($A169="","",INDEX(tBatches[[Age (days)]],165))</f>
        <v/>
      </c>
      <c r="H169" s="39">
        <f>IF($A169="","",N(INDEX(tBatches[[Initial Quantity]],165)))</f>
        <v/>
      </c>
      <c r="I169" s="39">
        <f>IF($A169="","",INDEX(tBatches[[Transfers In / Added]],165))</f>
        <v/>
      </c>
      <c r="J169" s="39">
        <f>IF($A169="","",INDEX(tBatches[[Deaths]],165))</f>
        <v/>
      </c>
      <c r="K169" s="39">
        <f>IF($A169="","",INDEX(tBatches[[Heads Sold]],165))</f>
        <v/>
      </c>
      <c r="L169" s="39">
        <f>IF($A169="","",INDEX(tBatches[[Transfers Out]],165))</f>
        <v/>
      </c>
      <c r="M169" s="39">
        <f>IF($A169="","",INDEX(tBatches[[Current Quantity]],165))</f>
        <v/>
      </c>
      <c r="N169" s="40">
        <f>IF($A169="","",IFERROR(J169/(H169+I169),0))</f>
        <v/>
      </c>
      <c r="O169" s="28">
        <f>IF($A169="","",SUMIFS(tFeedIss[[Quantity Issued in kg]],tFeedIss[[Batch ID]],$A169))</f>
        <v/>
      </c>
      <c r="P169" s="29">
        <f>IF($A169="","",SUMIFS(tFeedIss[[Total Cost]],tFeedIss[[Batch ID]],$A169))</f>
        <v/>
      </c>
      <c r="Q169" s="29">
        <f>IF($A169="","",SUMIFS(tDrugUse[[Total Cost]],tDrugUse[[Batch ID]],$A169))</f>
        <v/>
      </c>
      <c r="R169" s="29">
        <f>IF($A169="","",SUMIFS(tExp[[Amount]],tExp[[Batch ID (if applicable)]],$A169))</f>
        <v/>
      </c>
      <c r="S169" s="41">
        <f>IF($A169="","",P169+Q169+R169)</f>
        <v/>
      </c>
      <c r="T169" s="41">
        <f>IF($A169="","",SUMIFS(tSales[[Total Revenue]],tSales[[Batch ID]],$A169))</f>
        <v/>
      </c>
      <c r="U169" s="41">
        <f>IF($A169="","",T169-S169)</f>
        <v/>
      </c>
      <c r="V169" s="29">
        <f>IF($A169="","",IFERROR(S169/(H169+I169),""))</f>
        <v/>
      </c>
      <c r="W169" s="29">
        <f>IF($A169="","",IF(K169=0,"",T169/K169))</f>
        <v/>
      </c>
      <c r="X169" s="42">
        <f>IF($A169="","",IFERROR(O169/(H169+I169),""))</f>
        <v/>
      </c>
      <c r="Y169" s="43">
        <f>IF($A169="","",IF(_xlfn.MAXIFS(tProd[[Date]],tProd[[Batch ID]],$A169,tProd[[Measurement Type]],"Weighing")=0,"",IFERROR(AVERAGEIFS(tProd[[Average Weight kg]],tProd[[Batch ID]],$A169,tProd[[Measurement Type]],"Weighing",tProd[[Date]],_xlfn.MAXIFS(tProd[[Date]],tProd[[Batch ID]],$A169,tProd[[Measurement Type]],"Weighing")),"")))</f>
        <v/>
      </c>
    </row>
    <row r="170">
      <c r="A170" s="27">
        <f>IFERROR(INDEX(tBatches[[Batch ID]],166)&amp;"","")</f>
        <v/>
      </c>
      <c r="B170" s="36">
        <f>IF($A170="","",INDEX(tBatches[[Pen ID]],166)&amp;"")</f>
        <v/>
      </c>
      <c r="C170" s="36">
        <f>IF($A170="","",INDEX(tBatches[[Animal Type]],166)&amp;"")</f>
        <v/>
      </c>
      <c r="D170" s="31">
        <f>IF($A170="","",INDEX(tBatches[[Batch Start Date]],166))</f>
        <v/>
      </c>
      <c r="E170" s="36">
        <f>IF($A170="","",INDEX(tBatches[[Status]],166)&amp;"")</f>
        <v/>
      </c>
      <c r="F170" s="31">
        <f>IF($A170="","",IF(N(INDEX(tBatches[[Closing Date]],166))=0,"",INDEX(tBatches[[Closing Date]],166)))</f>
        <v/>
      </c>
      <c r="G170" s="39">
        <f>IF($A170="","",INDEX(tBatches[[Age (days)]],166))</f>
        <v/>
      </c>
      <c r="H170" s="39">
        <f>IF($A170="","",N(INDEX(tBatches[[Initial Quantity]],166)))</f>
        <v/>
      </c>
      <c r="I170" s="39">
        <f>IF($A170="","",INDEX(tBatches[[Transfers In / Added]],166))</f>
        <v/>
      </c>
      <c r="J170" s="39">
        <f>IF($A170="","",INDEX(tBatches[[Deaths]],166))</f>
        <v/>
      </c>
      <c r="K170" s="39">
        <f>IF($A170="","",INDEX(tBatches[[Heads Sold]],166))</f>
        <v/>
      </c>
      <c r="L170" s="39">
        <f>IF($A170="","",INDEX(tBatches[[Transfers Out]],166))</f>
        <v/>
      </c>
      <c r="M170" s="39">
        <f>IF($A170="","",INDEX(tBatches[[Current Quantity]],166))</f>
        <v/>
      </c>
      <c r="N170" s="40">
        <f>IF($A170="","",IFERROR(J170/(H170+I170),0))</f>
        <v/>
      </c>
      <c r="O170" s="28">
        <f>IF($A170="","",SUMIFS(tFeedIss[[Quantity Issued in kg]],tFeedIss[[Batch ID]],$A170))</f>
        <v/>
      </c>
      <c r="P170" s="29">
        <f>IF($A170="","",SUMIFS(tFeedIss[[Total Cost]],tFeedIss[[Batch ID]],$A170))</f>
        <v/>
      </c>
      <c r="Q170" s="29">
        <f>IF($A170="","",SUMIFS(tDrugUse[[Total Cost]],tDrugUse[[Batch ID]],$A170))</f>
        <v/>
      </c>
      <c r="R170" s="29">
        <f>IF($A170="","",SUMIFS(tExp[[Amount]],tExp[[Batch ID (if applicable)]],$A170))</f>
        <v/>
      </c>
      <c r="S170" s="41">
        <f>IF($A170="","",P170+Q170+R170)</f>
        <v/>
      </c>
      <c r="T170" s="41">
        <f>IF($A170="","",SUMIFS(tSales[[Total Revenue]],tSales[[Batch ID]],$A170))</f>
        <v/>
      </c>
      <c r="U170" s="41">
        <f>IF($A170="","",T170-S170)</f>
        <v/>
      </c>
      <c r="V170" s="29">
        <f>IF($A170="","",IFERROR(S170/(H170+I170),""))</f>
        <v/>
      </c>
      <c r="W170" s="29">
        <f>IF($A170="","",IF(K170=0,"",T170/K170))</f>
        <v/>
      </c>
      <c r="X170" s="42">
        <f>IF($A170="","",IFERROR(O170/(H170+I170),""))</f>
        <v/>
      </c>
      <c r="Y170" s="43">
        <f>IF($A170="","",IF(_xlfn.MAXIFS(tProd[[Date]],tProd[[Batch ID]],$A170,tProd[[Measurement Type]],"Weighing")=0,"",IFERROR(AVERAGEIFS(tProd[[Average Weight kg]],tProd[[Batch ID]],$A170,tProd[[Measurement Type]],"Weighing",tProd[[Date]],_xlfn.MAXIFS(tProd[[Date]],tProd[[Batch ID]],$A170,tProd[[Measurement Type]],"Weighing")),"")))</f>
        <v/>
      </c>
    </row>
    <row r="171">
      <c r="A171" s="27">
        <f>IFERROR(INDEX(tBatches[[Batch ID]],167)&amp;"","")</f>
        <v/>
      </c>
      <c r="B171" s="36">
        <f>IF($A171="","",INDEX(tBatches[[Pen ID]],167)&amp;"")</f>
        <v/>
      </c>
      <c r="C171" s="36">
        <f>IF($A171="","",INDEX(tBatches[[Animal Type]],167)&amp;"")</f>
        <v/>
      </c>
      <c r="D171" s="31">
        <f>IF($A171="","",INDEX(tBatches[[Batch Start Date]],167))</f>
        <v/>
      </c>
      <c r="E171" s="36">
        <f>IF($A171="","",INDEX(tBatches[[Status]],167)&amp;"")</f>
        <v/>
      </c>
      <c r="F171" s="31">
        <f>IF($A171="","",IF(N(INDEX(tBatches[[Closing Date]],167))=0,"",INDEX(tBatches[[Closing Date]],167)))</f>
        <v/>
      </c>
      <c r="G171" s="39">
        <f>IF($A171="","",INDEX(tBatches[[Age (days)]],167))</f>
        <v/>
      </c>
      <c r="H171" s="39">
        <f>IF($A171="","",N(INDEX(tBatches[[Initial Quantity]],167)))</f>
        <v/>
      </c>
      <c r="I171" s="39">
        <f>IF($A171="","",INDEX(tBatches[[Transfers In / Added]],167))</f>
        <v/>
      </c>
      <c r="J171" s="39">
        <f>IF($A171="","",INDEX(tBatches[[Deaths]],167))</f>
        <v/>
      </c>
      <c r="K171" s="39">
        <f>IF($A171="","",INDEX(tBatches[[Heads Sold]],167))</f>
        <v/>
      </c>
      <c r="L171" s="39">
        <f>IF($A171="","",INDEX(tBatches[[Transfers Out]],167))</f>
        <v/>
      </c>
      <c r="M171" s="39">
        <f>IF($A171="","",INDEX(tBatches[[Current Quantity]],167))</f>
        <v/>
      </c>
      <c r="N171" s="40">
        <f>IF($A171="","",IFERROR(J171/(H171+I171),0))</f>
        <v/>
      </c>
      <c r="O171" s="28">
        <f>IF($A171="","",SUMIFS(tFeedIss[[Quantity Issued in kg]],tFeedIss[[Batch ID]],$A171))</f>
        <v/>
      </c>
      <c r="P171" s="29">
        <f>IF($A171="","",SUMIFS(tFeedIss[[Total Cost]],tFeedIss[[Batch ID]],$A171))</f>
        <v/>
      </c>
      <c r="Q171" s="29">
        <f>IF($A171="","",SUMIFS(tDrugUse[[Total Cost]],tDrugUse[[Batch ID]],$A171))</f>
        <v/>
      </c>
      <c r="R171" s="29">
        <f>IF($A171="","",SUMIFS(tExp[[Amount]],tExp[[Batch ID (if applicable)]],$A171))</f>
        <v/>
      </c>
      <c r="S171" s="41">
        <f>IF($A171="","",P171+Q171+R171)</f>
        <v/>
      </c>
      <c r="T171" s="41">
        <f>IF($A171="","",SUMIFS(tSales[[Total Revenue]],tSales[[Batch ID]],$A171))</f>
        <v/>
      </c>
      <c r="U171" s="41">
        <f>IF($A171="","",T171-S171)</f>
        <v/>
      </c>
      <c r="V171" s="29">
        <f>IF($A171="","",IFERROR(S171/(H171+I171),""))</f>
        <v/>
      </c>
      <c r="W171" s="29">
        <f>IF($A171="","",IF(K171=0,"",T171/K171))</f>
        <v/>
      </c>
      <c r="X171" s="42">
        <f>IF($A171="","",IFERROR(O171/(H171+I171),""))</f>
        <v/>
      </c>
      <c r="Y171" s="43">
        <f>IF($A171="","",IF(_xlfn.MAXIFS(tProd[[Date]],tProd[[Batch ID]],$A171,tProd[[Measurement Type]],"Weighing")=0,"",IFERROR(AVERAGEIFS(tProd[[Average Weight kg]],tProd[[Batch ID]],$A171,tProd[[Measurement Type]],"Weighing",tProd[[Date]],_xlfn.MAXIFS(tProd[[Date]],tProd[[Batch ID]],$A171,tProd[[Measurement Type]],"Weighing")),"")))</f>
        <v/>
      </c>
    </row>
    <row r="172">
      <c r="A172" s="27">
        <f>IFERROR(INDEX(tBatches[[Batch ID]],168)&amp;"","")</f>
        <v/>
      </c>
      <c r="B172" s="36">
        <f>IF($A172="","",INDEX(tBatches[[Pen ID]],168)&amp;"")</f>
        <v/>
      </c>
      <c r="C172" s="36">
        <f>IF($A172="","",INDEX(tBatches[[Animal Type]],168)&amp;"")</f>
        <v/>
      </c>
      <c r="D172" s="31">
        <f>IF($A172="","",INDEX(tBatches[[Batch Start Date]],168))</f>
        <v/>
      </c>
      <c r="E172" s="36">
        <f>IF($A172="","",INDEX(tBatches[[Status]],168)&amp;"")</f>
        <v/>
      </c>
      <c r="F172" s="31">
        <f>IF($A172="","",IF(N(INDEX(tBatches[[Closing Date]],168))=0,"",INDEX(tBatches[[Closing Date]],168)))</f>
        <v/>
      </c>
      <c r="G172" s="39">
        <f>IF($A172="","",INDEX(tBatches[[Age (days)]],168))</f>
        <v/>
      </c>
      <c r="H172" s="39">
        <f>IF($A172="","",N(INDEX(tBatches[[Initial Quantity]],168)))</f>
        <v/>
      </c>
      <c r="I172" s="39">
        <f>IF($A172="","",INDEX(tBatches[[Transfers In / Added]],168))</f>
        <v/>
      </c>
      <c r="J172" s="39">
        <f>IF($A172="","",INDEX(tBatches[[Deaths]],168))</f>
        <v/>
      </c>
      <c r="K172" s="39">
        <f>IF($A172="","",INDEX(tBatches[[Heads Sold]],168))</f>
        <v/>
      </c>
      <c r="L172" s="39">
        <f>IF($A172="","",INDEX(tBatches[[Transfers Out]],168))</f>
        <v/>
      </c>
      <c r="M172" s="39">
        <f>IF($A172="","",INDEX(tBatches[[Current Quantity]],168))</f>
        <v/>
      </c>
      <c r="N172" s="40">
        <f>IF($A172="","",IFERROR(J172/(H172+I172),0))</f>
        <v/>
      </c>
      <c r="O172" s="28">
        <f>IF($A172="","",SUMIFS(tFeedIss[[Quantity Issued in kg]],tFeedIss[[Batch ID]],$A172))</f>
        <v/>
      </c>
      <c r="P172" s="29">
        <f>IF($A172="","",SUMIFS(tFeedIss[[Total Cost]],tFeedIss[[Batch ID]],$A172))</f>
        <v/>
      </c>
      <c r="Q172" s="29">
        <f>IF($A172="","",SUMIFS(tDrugUse[[Total Cost]],tDrugUse[[Batch ID]],$A172))</f>
        <v/>
      </c>
      <c r="R172" s="29">
        <f>IF($A172="","",SUMIFS(tExp[[Amount]],tExp[[Batch ID (if applicable)]],$A172))</f>
        <v/>
      </c>
      <c r="S172" s="41">
        <f>IF($A172="","",P172+Q172+R172)</f>
        <v/>
      </c>
      <c r="T172" s="41">
        <f>IF($A172="","",SUMIFS(tSales[[Total Revenue]],tSales[[Batch ID]],$A172))</f>
        <v/>
      </c>
      <c r="U172" s="41">
        <f>IF($A172="","",T172-S172)</f>
        <v/>
      </c>
      <c r="V172" s="29">
        <f>IF($A172="","",IFERROR(S172/(H172+I172),""))</f>
        <v/>
      </c>
      <c r="W172" s="29">
        <f>IF($A172="","",IF(K172=0,"",T172/K172))</f>
        <v/>
      </c>
      <c r="X172" s="42">
        <f>IF($A172="","",IFERROR(O172/(H172+I172),""))</f>
        <v/>
      </c>
      <c r="Y172" s="43">
        <f>IF($A172="","",IF(_xlfn.MAXIFS(tProd[[Date]],tProd[[Batch ID]],$A172,tProd[[Measurement Type]],"Weighing")=0,"",IFERROR(AVERAGEIFS(tProd[[Average Weight kg]],tProd[[Batch ID]],$A172,tProd[[Measurement Type]],"Weighing",tProd[[Date]],_xlfn.MAXIFS(tProd[[Date]],tProd[[Batch ID]],$A172,tProd[[Measurement Type]],"Weighing")),"")))</f>
        <v/>
      </c>
    </row>
    <row r="173">
      <c r="A173" s="27">
        <f>IFERROR(INDEX(tBatches[[Batch ID]],169)&amp;"","")</f>
        <v/>
      </c>
      <c r="B173" s="36">
        <f>IF($A173="","",INDEX(tBatches[[Pen ID]],169)&amp;"")</f>
        <v/>
      </c>
      <c r="C173" s="36">
        <f>IF($A173="","",INDEX(tBatches[[Animal Type]],169)&amp;"")</f>
        <v/>
      </c>
      <c r="D173" s="31">
        <f>IF($A173="","",INDEX(tBatches[[Batch Start Date]],169))</f>
        <v/>
      </c>
      <c r="E173" s="36">
        <f>IF($A173="","",INDEX(tBatches[[Status]],169)&amp;"")</f>
        <v/>
      </c>
      <c r="F173" s="31">
        <f>IF($A173="","",IF(N(INDEX(tBatches[[Closing Date]],169))=0,"",INDEX(tBatches[[Closing Date]],169)))</f>
        <v/>
      </c>
      <c r="G173" s="39">
        <f>IF($A173="","",INDEX(tBatches[[Age (days)]],169))</f>
        <v/>
      </c>
      <c r="H173" s="39">
        <f>IF($A173="","",N(INDEX(tBatches[[Initial Quantity]],169)))</f>
        <v/>
      </c>
      <c r="I173" s="39">
        <f>IF($A173="","",INDEX(tBatches[[Transfers In / Added]],169))</f>
        <v/>
      </c>
      <c r="J173" s="39">
        <f>IF($A173="","",INDEX(tBatches[[Deaths]],169))</f>
        <v/>
      </c>
      <c r="K173" s="39">
        <f>IF($A173="","",INDEX(tBatches[[Heads Sold]],169))</f>
        <v/>
      </c>
      <c r="L173" s="39">
        <f>IF($A173="","",INDEX(tBatches[[Transfers Out]],169))</f>
        <v/>
      </c>
      <c r="M173" s="39">
        <f>IF($A173="","",INDEX(tBatches[[Current Quantity]],169))</f>
        <v/>
      </c>
      <c r="N173" s="40">
        <f>IF($A173="","",IFERROR(J173/(H173+I173),0))</f>
        <v/>
      </c>
      <c r="O173" s="28">
        <f>IF($A173="","",SUMIFS(tFeedIss[[Quantity Issued in kg]],tFeedIss[[Batch ID]],$A173))</f>
        <v/>
      </c>
      <c r="P173" s="29">
        <f>IF($A173="","",SUMIFS(tFeedIss[[Total Cost]],tFeedIss[[Batch ID]],$A173))</f>
        <v/>
      </c>
      <c r="Q173" s="29">
        <f>IF($A173="","",SUMIFS(tDrugUse[[Total Cost]],tDrugUse[[Batch ID]],$A173))</f>
        <v/>
      </c>
      <c r="R173" s="29">
        <f>IF($A173="","",SUMIFS(tExp[[Amount]],tExp[[Batch ID (if applicable)]],$A173))</f>
        <v/>
      </c>
      <c r="S173" s="41">
        <f>IF($A173="","",P173+Q173+R173)</f>
        <v/>
      </c>
      <c r="T173" s="41">
        <f>IF($A173="","",SUMIFS(tSales[[Total Revenue]],tSales[[Batch ID]],$A173))</f>
        <v/>
      </c>
      <c r="U173" s="41">
        <f>IF($A173="","",T173-S173)</f>
        <v/>
      </c>
      <c r="V173" s="29">
        <f>IF($A173="","",IFERROR(S173/(H173+I173),""))</f>
        <v/>
      </c>
      <c r="W173" s="29">
        <f>IF($A173="","",IF(K173=0,"",T173/K173))</f>
        <v/>
      </c>
      <c r="X173" s="42">
        <f>IF($A173="","",IFERROR(O173/(H173+I173),""))</f>
        <v/>
      </c>
      <c r="Y173" s="43">
        <f>IF($A173="","",IF(_xlfn.MAXIFS(tProd[[Date]],tProd[[Batch ID]],$A173,tProd[[Measurement Type]],"Weighing")=0,"",IFERROR(AVERAGEIFS(tProd[[Average Weight kg]],tProd[[Batch ID]],$A173,tProd[[Measurement Type]],"Weighing",tProd[[Date]],_xlfn.MAXIFS(tProd[[Date]],tProd[[Batch ID]],$A173,tProd[[Measurement Type]],"Weighing")),"")))</f>
        <v/>
      </c>
    </row>
    <row r="174">
      <c r="A174" s="27">
        <f>IFERROR(INDEX(tBatches[[Batch ID]],170)&amp;"","")</f>
        <v/>
      </c>
      <c r="B174" s="36">
        <f>IF($A174="","",INDEX(tBatches[[Pen ID]],170)&amp;"")</f>
        <v/>
      </c>
      <c r="C174" s="36">
        <f>IF($A174="","",INDEX(tBatches[[Animal Type]],170)&amp;"")</f>
        <v/>
      </c>
      <c r="D174" s="31">
        <f>IF($A174="","",INDEX(tBatches[[Batch Start Date]],170))</f>
        <v/>
      </c>
      <c r="E174" s="36">
        <f>IF($A174="","",INDEX(tBatches[[Status]],170)&amp;"")</f>
        <v/>
      </c>
      <c r="F174" s="31">
        <f>IF($A174="","",IF(N(INDEX(tBatches[[Closing Date]],170))=0,"",INDEX(tBatches[[Closing Date]],170)))</f>
        <v/>
      </c>
      <c r="G174" s="39">
        <f>IF($A174="","",INDEX(tBatches[[Age (days)]],170))</f>
        <v/>
      </c>
      <c r="H174" s="39">
        <f>IF($A174="","",N(INDEX(tBatches[[Initial Quantity]],170)))</f>
        <v/>
      </c>
      <c r="I174" s="39">
        <f>IF($A174="","",INDEX(tBatches[[Transfers In / Added]],170))</f>
        <v/>
      </c>
      <c r="J174" s="39">
        <f>IF($A174="","",INDEX(tBatches[[Deaths]],170))</f>
        <v/>
      </c>
      <c r="K174" s="39">
        <f>IF($A174="","",INDEX(tBatches[[Heads Sold]],170))</f>
        <v/>
      </c>
      <c r="L174" s="39">
        <f>IF($A174="","",INDEX(tBatches[[Transfers Out]],170))</f>
        <v/>
      </c>
      <c r="M174" s="39">
        <f>IF($A174="","",INDEX(tBatches[[Current Quantity]],170))</f>
        <v/>
      </c>
      <c r="N174" s="40">
        <f>IF($A174="","",IFERROR(J174/(H174+I174),0))</f>
        <v/>
      </c>
      <c r="O174" s="28">
        <f>IF($A174="","",SUMIFS(tFeedIss[[Quantity Issued in kg]],tFeedIss[[Batch ID]],$A174))</f>
        <v/>
      </c>
      <c r="P174" s="29">
        <f>IF($A174="","",SUMIFS(tFeedIss[[Total Cost]],tFeedIss[[Batch ID]],$A174))</f>
        <v/>
      </c>
      <c r="Q174" s="29">
        <f>IF($A174="","",SUMIFS(tDrugUse[[Total Cost]],tDrugUse[[Batch ID]],$A174))</f>
        <v/>
      </c>
      <c r="R174" s="29">
        <f>IF($A174="","",SUMIFS(tExp[[Amount]],tExp[[Batch ID (if applicable)]],$A174))</f>
        <v/>
      </c>
      <c r="S174" s="41">
        <f>IF($A174="","",P174+Q174+R174)</f>
        <v/>
      </c>
      <c r="T174" s="41">
        <f>IF($A174="","",SUMIFS(tSales[[Total Revenue]],tSales[[Batch ID]],$A174))</f>
        <v/>
      </c>
      <c r="U174" s="41">
        <f>IF($A174="","",T174-S174)</f>
        <v/>
      </c>
      <c r="V174" s="29">
        <f>IF($A174="","",IFERROR(S174/(H174+I174),""))</f>
        <v/>
      </c>
      <c r="W174" s="29">
        <f>IF($A174="","",IF(K174=0,"",T174/K174))</f>
        <v/>
      </c>
      <c r="X174" s="42">
        <f>IF($A174="","",IFERROR(O174/(H174+I174),""))</f>
        <v/>
      </c>
      <c r="Y174" s="43">
        <f>IF($A174="","",IF(_xlfn.MAXIFS(tProd[[Date]],tProd[[Batch ID]],$A174,tProd[[Measurement Type]],"Weighing")=0,"",IFERROR(AVERAGEIFS(tProd[[Average Weight kg]],tProd[[Batch ID]],$A174,tProd[[Measurement Type]],"Weighing",tProd[[Date]],_xlfn.MAXIFS(tProd[[Date]],tProd[[Batch ID]],$A174,tProd[[Measurement Type]],"Weighing")),"")))</f>
        <v/>
      </c>
    </row>
    <row r="175">
      <c r="A175" s="27">
        <f>IFERROR(INDEX(tBatches[[Batch ID]],171)&amp;"","")</f>
        <v/>
      </c>
      <c r="B175" s="36">
        <f>IF($A175="","",INDEX(tBatches[[Pen ID]],171)&amp;"")</f>
        <v/>
      </c>
      <c r="C175" s="36">
        <f>IF($A175="","",INDEX(tBatches[[Animal Type]],171)&amp;"")</f>
        <v/>
      </c>
      <c r="D175" s="31">
        <f>IF($A175="","",INDEX(tBatches[[Batch Start Date]],171))</f>
        <v/>
      </c>
      <c r="E175" s="36">
        <f>IF($A175="","",INDEX(tBatches[[Status]],171)&amp;"")</f>
        <v/>
      </c>
      <c r="F175" s="31">
        <f>IF($A175="","",IF(N(INDEX(tBatches[[Closing Date]],171))=0,"",INDEX(tBatches[[Closing Date]],171)))</f>
        <v/>
      </c>
      <c r="G175" s="39">
        <f>IF($A175="","",INDEX(tBatches[[Age (days)]],171))</f>
        <v/>
      </c>
      <c r="H175" s="39">
        <f>IF($A175="","",N(INDEX(tBatches[[Initial Quantity]],171)))</f>
        <v/>
      </c>
      <c r="I175" s="39">
        <f>IF($A175="","",INDEX(tBatches[[Transfers In / Added]],171))</f>
        <v/>
      </c>
      <c r="J175" s="39">
        <f>IF($A175="","",INDEX(tBatches[[Deaths]],171))</f>
        <v/>
      </c>
      <c r="K175" s="39">
        <f>IF($A175="","",INDEX(tBatches[[Heads Sold]],171))</f>
        <v/>
      </c>
      <c r="L175" s="39">
        <f>IF($A175="","",INDEX(tBatches[[Transfers Out]],171))</f>
        <v/>
      </c>
      <c r="M175" s="39">
        <f>IF($A175="","",INDEX(tBatches[[Current Quantity]],171))</f>
        <v/>
      </c>
      <c r="N175" s="40">
        <f>IF($A175="","",IFERROR(J175/(H175+I175),0))</f>
        <v/>
      </c>
      <c r="O175" s="28">
        <f>IF($A175="","",SUMIFS(tFeedIss[[Quantity Issued in kg]],tFeedIss[[Batch ID]],$A175))</f>
        <v/>
      </c>
      <c r="P175" s="29">
        <f>IF($A175="","",SUMIFS(tFeedIss[[Total Cost]],tFeedIss[[Batch ID]],$A175))</f>
        <v/>
      </c>
      <c r="Q175" s="29">
        <f>IF($A175="","",SUMIFS(tDrugUse[[Total Cost]],tDrugUse[[Batch ID]],$A175))</f>
        <v/>
      </c>
      <c r="R175" s="29">
        <f>IF($A175="","",SUMIFS(tExp[[Amount]],tExp[[Batch ID (if applicable)]],$A175))</f>
        <v/>
      </c>
      <c r="S175" s="41">
        <f>IF($A175="","",P175+Q175+R175)</f>
        <v/>
      </c>
      <c r="T175" s="41">
        <f>IF($A175="","",SUMIFS(tSales[[Total Revenue]],tSales[[Batch ID]],$A175))</f>
        <v/>
      </c>
      <c r="U175" s="41">
        <f>IF($A175="","",T175-S175)</f>
        <v/>
      </c>
      <c r="V175" s="29">
        <f>IF($A175="","",IFERROR(S175/(H175+I175),""))</f>
        <v/>
      </c>
      <c r="W175" s="29">
        <f>IF($A175="","",IF(K175=0,"",T175/K175))</f>
        <v/>
      </c>
      <c r="X175" s="42">
        <f>IF($A175="","",IFERROR(O175/(H175+I175),""))</f>
        <v/>
      </c>
      <c r="Y175" s="43">
        <f>IF($A175="","",IF(_xlfn.MAXIFS(tProd[[Date]],tProd[[Batch ID]],$A175,tProd[[Measurement Type]],"Weighing")=0,"",IFERROR(AVERAGEIFS(tProd[[Average Weight kg]],tProd[[Batch ID]],$A175,tProd[[Measurement Type]],"Weighing",tProd[[Date]],_xlfn.MAXIFS(tProd[[Date]],tProd[[Batch ID]],$A175,tProd[[Measurement Type]],"Weighing")),"")))</f>
        <v/>
      </c>
    </row>
    <row r="176">
      <c r="A176" s="27">
        <f>IFERROR(INDEX(tBatches[[Batch ID]],172)&amp;"","")</f>
        <v/>
      </c>
      <c r="B176" s="36">
        <f>IF($A176="","",INDEX(tBatches[[Pen ID]],172)&amp;"")</f>
        <v/>
      </c>
      <c r="C176" s="36">
        <f>IF($A176="","",INDEX(tBatches[[Animal Type]],172)&amp;"")</f>
        <v/>
      </c>
      <c r="D176" s="31">
        <f>IF($A176="","",INDEX(tBatches[[Batch Start Date]],172))</f>
        <v/>
      </c>
      <c r="E176" s="36">
        <f>IF($A176="","",INDEX(tBatches[[Status]],172)&amp;"")</f>
        <v/>
      </c>
      <c r="F176" s="31">
        <f>IF($A176="","",IF(N(INDEX(tBatches[[Closing Date]],172))=0,"",INDEX(tBatches[[Closing Date]],172)))</f>
        <v/>
      </c>
      <c r="G176" s="39">
        <f>IF($A176="","",INDEX(tBatches[[Age (days)]],172))</f>
        <v/>
      </c>
      <c r="H176" s="39">
        <f>IF($A176="","",N(INDEX(tBatches[[Initial Quantity]],172)))</f>
        <v/>
      </c>
      <c r="I176" s="39">
        <f>IF($A176="","",INDEX(tBatches[[Transfers In / Added]],172))</f>
        <v/>
      </c>
      <c r="J176" s="39">
        <f>IF($A176="","",INDEX(tBatches[[Deaths]],172))</f>
        <v/>
      </c>
      <c r="K176" s="39">
        <f>IF($A176="","",INDEX(tBatches[[Heads Sold]],172))</f>
        <v/>
      </c>
      <c r="L176" s="39">
        <f>IF($A176="","",INDEX(tBatches[[Transfers Out]],172))</f>
        <v/>
      </c>
      <c r="M176" s="39">
        <f>IF($A176="","",INDEX(tBatches[[Current Quantity]],172))</f>
        <v/>
      </c>
      <c r="N176" s="40">
        <f>IF($A176="","",IFERROR(J176/(H176+I176),0))</f>
        <v/>
      </c>
      <c r="O176" s="28">
        <f>IF($A176="","",SUMIFS(tFeedIss[[Quantity Issued in kg]],tFeedIss[[Batch ID]],$A176))</f>
        <v/>
      </c>
      <c r="P176" s="29">
        <f>IF($A176="","",SUMIFS(tFeedIss[[Total Cost]],tFeedIss[[Batch ID]],$A176))</f>
        <v/>
      </c>
      <c r="Q176" s="29">
        <f>IF($A176="","",SUMIFS(tDrugUse[[Total Cost]],tDrugUse[[Batch ID]],$A176))</f>
        <v/>
      </c>
      <c r="R176" s="29">
        <f>IF($A176="","",SUMIFS(tExp[[Amount]],tExp[[Batch ID (if applicable)]],$A176))</f>
        <v/>
      </c>
      <c r="S176" s="41">
        <f>IF($A176="","",P176+Q176+R176)</f>
        <v/>
      </c>
      <c r="T176" s="41">
        <f>IF($A176="","",SUMIFS(tSales[[Total Revenue]],tSales[[Batch ID]],$A176))</f>
        <v/>
      </c>
      <c r="U176" s="41">
        <f>IF($A176="","",T176-S176)</f>
        <v/>
      </c>
      <c r="V176" s="29">
        <f>IF($A176="","",IFERROR(S176/(H176+I176),""))</f>
        <v/>
      </c>
      <c r="W176" s="29">
        <f>IF($A176="","",IF(K176=0,"",T176/K176))</f>
        <v/>
      </c>
      <c r="X176" s="42">
        <f>IF($A176="","",IFERROR(O176/(H176+I176),""))</f>
        <v/>
      </c>
      <c r="Y176" s="43">
        <f>IF($A176="","",IF(_xlfn.MAXIFS(tProd[[Date]],tProd[[Batch ID]],$A176,tProd[[Measurement Type]],"Weighing")=0,"",IFERROR(AVERAGEIFS(tProd[[Average Weight kg]],tProd[[Batch ID]],$A176,tProd[[Measurement Type]],"Weighing",tProd[[Date]],_xlfn.MAXIFS(tProd[[Date]],tProd[[Batch ID]],$A176,tProd[[Measurement Type]],"Weighing")),"")))</f>
        <v/>
      </c>
    </row>
    <row r="177">
      <c r="A177" s="27">
        <f>IFERROR(INDEX(tBatches[[Batch ID]],173)&amp;"","")</f>
        <v/>
      </c>
      <c r="B177" s="36">
        <f>IF($A177="","",INDEX(tBatches[[Pen ID]],173)&amp;"")</f>
        <v/>
      </c>
      <c r="C177" s="36">
        <f>IF($A177="","",INDEX(tBatches[[Animal Type]],173)&amp;"")</f>
        <v/>
      </c>
      <c r="D177" s="31">
        <f>IF($A177="","",INDEX(tBatches[[Batch Start Date]],173))</f>
        <v/>
      </c>
      <c r="E177" s="36">
        <f>IF($A177="","",INDEX(tBatches[[Status]],173)&amp;"")</f>
        <v/>
      </c>
      <c r="F177" s="31">
        <f>IF($A177="","",IF(N(INDEX(tBatches[[Closing Date]],173))=0,"",INDEX(tBatches[[Closing Date]],173)))</f>
        <v/>
      </c>
      <c r="G177" s="39">
        <f>IF($A177="","",INDEX(tBatches[[Age (days)]],173))</f>
        <v/>
      </c>
      <c r="H177" s="39">
        <f>IF($A177="","",N(INDEX(tBatches[[Initial Quantity]],173)))</f>
        <v/>
      </c>
      <c r="I177" s="39">
        <f>IF($A177="","",INDEX(tBatches[[Transfers In / Added]],173))</f>
        <v/>
      </c>
      <c r="J177" s="39">
        <f>IF($A177="","",INDEX(tBatches[[Deaths]],173))</f>
        <v/>
      </c>
      <c r="K177" s="39">
        <f>IF($A177="","",INDEX(tBatches[[Heads Sold]],173))</f>
        <v/>
      </c>
      <c r="L177" s="39">
        <f>IF($A177="","",INDEX(tBatches[[Transfers Out]],173))</f>
        <v/>
      </c>
      <c r="M177" s="39">
        <f>IF($A177="","",INDEX(tBatches[[Current Quantity]],173))</f>
        <v/>
      </c>
      <c r="N177" s="40">
        <f>IF($A177="","",IFERROR(J177/(H177+I177),0))</f>
        <v/>
      </c>
      <c r="O177" s="28">
        <f>IF($A177="","",SUMIFS(tFeedIss[[Quantity Issued in kg]],tFeedIss[[Batch ID]],$A177))</f>
        <v/>
      </c>
      <c r="P177" s="29">
        <f>IF($A177="","",SUMIFS(tFeedIss[[Total Cost]],tFeedIss[[Batch ID]],$A177))</f>
        <v/>
      </c>
      <c r="Q177" s="29">
        <f>IF($A177="","",SUMIFS(tDrugUse[[Total Cost]],tDrugUse[[Batch ID]],$A177))</f>
        <v/>
      </c>
      <c r="R177" s="29">
        <f>IF($A177="","",SUMIFS(tExp[[Amount]],tExp[[Batch ID (if applicable)]],$A177))</f>
        <v/>
      </c>
      <c r="S177" s="41">
        <f>IF($A177="","",P177+Q177+R177)</f>
        <v/>
      </c>
      <c r="T177" s="41">
        <f>IF($A177="","",SUMIFS(tSales[[Total Revenue]],tSales[[Batch ID]],$A177))</f>
        <v/>
      </c>
      <c r="U177" s="41">
        <f>IF($A177="","",T177-S177)</f>
        <v/>
      </c>
      <c r="V177" s="29">
        <f>IF($A177="","",IFERROR(S177/(H177+I177),""))</f>
        <v/>
      </c>
      <c r="W177" s="29">
        <f>IF($A177="","",IF(K177=0,"",T177/K177))</f>
        <v/>
      </c>
      <c r="X177" s="42">
        <f>IF($A177="","",IFERROR(O177/(H177+I177),""))</f>
        <v/>
      </c>
      <c r="Y177" s="43">
        <f>IF($A177="","",IF(_xlfn.MAXIFS(tProd[[Date]],tProd[[Batch ID]],$A177,tProd[[Measurement Type]],"Weighing")=0,"",IFERROR(AVERAGEIFS(tProd[[Average Weight kg]],tProd[[Batch ID]],$A177,tProd[[Measurement Type]],"Weighing",tProd[[Date]],_xlfn.MAXIFS(tProd[[Date]],tProd[[Batch ID]],$A177,tProd[[Measurement Type]],"Weighing")),"")))</f>
        <v/>
      </c>
    </row>
    <row r="178">
      <c r="A178" s="27">
        <f>IFERROR(INDEX(tBatches[[Batch ID]],174)&amp;"","")</f>
        <v/>
      </c>
      <c r="B178" s="36">
        <f>IF($A178="","",INDEX(tBatches[[Pen ID]],174)&amp;"")</f>
        <v/>
      </c>
      <c r="C178" s="36">
        <f>IF($A178="","",INDEX(tBatches[[Animal Type]],174)&amp;"")</f>
        <v/>
      </c>
      <c r="D178" s="31">
        <f>IF($A178="","",INDEX(tBatches[[Batch Start Date]],174))</f>
        <v/>
      </c>
      <c r="E178" s="36">
        <f>IF($A178="","",INDEX(tBatches[[Status]],174)&amp;"")</f>
        <v/>
      </c>
      <c r="F178" s="31">
        <f>IF($A178="","",IF(N(INDEX(tBatches[[Closing Date]],174))=0,"",INDEX(tBatches[[Closing Date]],174)))</f>
        <v/>
      </c>
      <c r="G178" s="39">
        <f>IF($A178="","",INDEX(tBatches[[Age (days)]],174))</f>
        <v/>
      </c>
      <c r="H178" s="39">
        <f>IF($A178="","",N(INDEX(tBatches[[Initial Quantity]],174)))</f>
        <v/>
      </c>
      <c r="I178" s="39">
        <f>IF($A178="","",INDEX(tBatches[[Transfers In / Added]],174))</f>
        <v/>
      </c>
      <c r="J178" s="39">
        <f>IF($A178="","",INDEX(tBatches[[Deaths]],174))</f>
        <v/>
      </c>
      <c r="K178" s="39">
        <f>IF($A178="","",INDEX(tBatches[[Heads Sold]],174))</f>
        <v/>
      </c>
      <c r="L178" s="39">
        <f>IF($A178="","",INDEX(tBatches[[Transfers Out]],174))</f>
        <v/>
      </c>
      <c r="M178" s="39">
        <f>IF($A178="","",INDEX(tBatches[[Current Quantity]],174))</f>
        <v/>
      </c>
      <c r="N178" s="40">
        <f>IF($A178="","",IFERROR(J178/(H178+I178),0))</f>
        <v/>
      </c>
      <c r="O178" s="28">
        <f>IF($A178="","",SUMIFS(tFeedIss[[Quantity Issued in kg]],tFeedIss[[Batch ID]],$A178))</f>
        <v/>
      </c>
      <c r="P178" s="29">
        <f>IF($A178="","",SUMIFS(tFeedIss[[Total Cost]],tFeedIss[[Batch ID]],$A178))</f>
        <v/>
      </c>
      <c r="Q178" s="29">
        <f>IF($A178="","",SUMIFS(tDrugUse[[Total Cost]],tDrugUse[[Batch ID]],$A178))</f>
        <v/>
      </c>
      <c r="R178" s="29">
        <f>IF($A178="","",SUMIFS(tExp[[Amount]],tExp[[Batch ID (if applicable)]],$A178))</f>
        <v/>
      </c>
      <c r="S178" s="41">
        <f>IF($A178="","",P178+Q178+R178)</f>
        <v/>
      </c>
      <c r="T178" s="41">
        <f>IF($A178="","",SUMIFS(tSales[[Total Revenue]],tSales[[Batch ID]],$A178))</f>
        <v/>
      </c>
      <c r="U178" s="41">
        <f>IF($A178="","",T178-S178)</f>
        <v/>
      </c>
      <c r="V178" s="29">
        <f>IF($A178="","",IFERROR(S178/(H178+I178),""))</f>
        <v/>
      </c>
      <c r="W178" s="29">
        <f>IF($A178="","",IF(K178=0,"",T178/K178))</f>
        <v/>
      </c>
      <c r="X178" s="42">
        <f>IF($A178="","",IFERROR(O178/(H178+I178),""))</f>
        <v/>
      </c>
      <c r="Y178" s="43">
        <f>IF($A178="","",IF(_xlfn.MAXIFS(tProd[[Date]],tProd[[Batch ID]],$A178,tProd[[Measurement Type]],"Weighing")=0,"",IFERROR(AVERAGEIFS(tProd[[Average Weight kg]],tProd[[Batch ID]],$A178,tProd[[Measurement Type]],"Weighing",tProd[[Date]],_xlfn.MAXIFS(tProd[[Date]],tProd[[Batch ID]],$A178,tProd[[Measurement Type]],"Weighing")),"")))</f>
        <v/>
      </c>
    </row>
    <row r="179">
      <c r="A179" s="27">
        <f>IFERROR(INDEX(tBatches[[Batch ID]],175)&amp;"","")</f>
        <v/>
      </c>
      <c r="B179" s="36">
        <f>IF($A179="","",INDEX(tBatches[[Pen ID]],175)&amp;"")</f>
        <v/>
      </c>
      <c r="C179" s="36">
        <f>IF($A179="","",INDEX(tBatches[[Animal Type]],175)&amp;"")</f>
        <v/>
      </c>
      <c r="D179" s="31">
        <f>IF($A179="","",INDEX(tBatches[[Batch Start Date]],175))</f>
        <v/>
      </c>
      <c r="E179" s="36">
        <f>IF($A179="","",INDEX(tBatches[[Status]],175)&amp;"")</f>
        <v/>
      </c>
      <c r="F179" s="31">
        <f>IF($A179="","",IF(N(INDEX(tBatches[[Closing Date]],175))=0,"",INDEX(tBatches[[Closing Date]],175)))</f>
        <v/>
      </c>
      <c r="G179" s="39">
        <f>IF($A179="","",INDEX(tBatches[[Age (days)]],175))</f>
        <v/>
      </c>
      <c r="H179" s="39">
        <f>IF($A179="","",N(INDEX(tBatches[[Initial Quantity]],175)))</f>
        <v/>
      </c>
      <c r="I179" s="39">
        <f>IF($A179="","",INDEX(tBatches[[Transfers In / Added]],175))</f>
        <v/>
      </c>
      <c r="J179" s="39">
        <f>IF($A179="","",INDEX(tBatches[[Deaths]],175))</f>
        <v/>
      </c>
      <c r="K179" s="39">
        <f>IF($A179="","",INDEX(tBatches[[Heads Sold]],175))</f>
        <v/>
      </c>
      <c r="L179" s="39">
        <f>IF($A179="","",INDEX(tBatches[[Transfers Out]],175))</f>
        <v/>
      </c>
      <c r="M179" s="39">
        <f>IF($A179="","",INDEX(tBatches[[Current Quantity]],175))</f>
        <v/>
      </c>
      <c r="N179" s="40">
        <f>IF($A179="","",IFERROR(J179/(H179+I179),0))</f>
        <v/>
      </c>
      <c r="O179" s="28">
        <f>IF($A179="","",SUMIFS(tFeedIss[[Quantity Issued in kg]],tFeedIss[[Batch ID]],$A179))</f>
        <v/>
      </c>
      <c r="P179" s="29">
        <f>IF($A179="","",SUMIFS(tFeedIss[[Total Cost]],tFeedIss[[Batch ID]],$A179))</f>
        <v/>
      </c>
      <c r="Q179" s="29">
        <f>IF($A179="","",SUMIFS(tDrugUse[[Total Cost]],tDrugUse[[Batch ID]],$A179))</f>
        <v/>
      </c>
      <c r="R179" s="29">
        <f>IF($A179="","",SUMIFS(tExp[[Amount]],tExp[[Batch ID (if applicable)]],$A179))</f>
        <v/>
      </c>
      <c r="S179" s="41">
        <f>IF($A179="","",P179+Q179+R179)</f>
        <v/>
      </c>
      <c r="T179" s="41">
        <f>IF($A179="","",SUMIFS(tSales[[Total Revenue]],tSales[[Batch ID]],$A179))</f>
        <v/>
      </c>
      <c r="U179" s="41">
        <f>IF($A179="","",T179-S179)</f>
        <v/>
      </c>
      <c r="V179" s="29">
        <f>IF($A179="","",IFERROR(S179/(H179+I179),""))</f>
        <v/>
      </c>
      <c r="W179" s="29">
        <f>IF($A179="","",IF(K179=0,"",T179/K179))</f>
        <v/>
      </c>
      <c r="X179" s="42">
        <f>IF($A179="","",IFERROR(O179/(H179+I179),""))</f>
        <v/>
      </c>
      <c r="Y179" s="43">
        <f>IF($A179="","",IF(_xlfn.MAXIFS(tProd[[Date]],tProd[[Batch ID]],$A179,tProd[[Measurement Type]],"Weighing")=0,"",IFERROR(AVERAGEIFS(tProd[[Average Weight kg]],tProd[[Batch ID]],$A179,tProd[[Measurement Type]],"Weighing",tProd[[Date]],_xlfn.MAXIFS(tProd[[Date]],tProd[[Batch ID]],$A179,tProd[[Measurement Type]],"Weighing")),"")))</f>
        <v/>
      </c>
    </row>
    <row r="180">
      <c r="A180" s="27">
        <f>IFERROR(INDEX(tBatches[[Batch ID]],176)&amp;"","")</f>
        <v/>
      </c>
      <c r="B180" s="36">
        <f>IF($A180="","",INDEX(tBatches[[Pen ID]],176)&amp;"")</f>
        <v/>
      </c>
      <c r="C180" s="36">
        <f>IF($A180="","",INDEX(tBatches[[Animal Type]],176)&amp;"")</f>
        <v/>
      </c>
      <c r="D180" s="31">
        <f>IF($A180="","",INDEX(tBatches[[Batch Start Date]],176))</f>
        <v/>
      </c>
      <c r="E180" s="36">
        <f>IF($A180="","",INDEX(tBatches[[Status]],176)&amp;"")</f>
        <v/>
      </c>
      <c r="F180" s="31">
        <f>IF($A180="","",IF(N(INDEX(tBatches[[Closing Date]],176))=0,"",INDEX(tBatches[[Closing Date]],176)))</f>
        <v/>
      </c>
      <c r="G180" s="39">
        <f>IF($A180="","",INDEX(tBatches[[Age (days)]],176))</f>
        <v/>
      </c>
      <c r="H180" s="39">
        <f>IF($A180="","",N(INDEX(tBatches[[Initial Quantity]],176)))</f>
        <v/>
      </c>
      <c r="I180" s="39">
        <f>IF($A180="","",INDEX(tBatches[[Transfers In / Added]],176))</f>
        <v/>
      </c>
      <c r="J180" s="39">
        <f>IF($A180="","",INDEX(tBatches[[Deaths]],176))</f>
        <v/>
      </c>
      <c r="K180" s="39">
        <f>IF($A180="","",INDEX(tBatches[[Heads Sold]],176))</f>
        <v/>
      </c>
      <c r="L180" s="39">
        <f>IF($A180="","",INDEX(tBatches[[Transfers Out]],176))</f>
        <v/>
      </c>
      <c r="M180" s="39">
        <f>IF($A180="","",INDEX(tBatches[[Current Quantity]],176))</f>
        <v/>
      </c>
      <c r="N180" s="40">
        <f>IF($A180="","",IFERROR(J180/(H180+I180),0))</f>
        <v/>
      </c>
      <c r="O180" s="28">
        <f>IF($A180="","",SUMIFS(tFeedIss[[Quantity Issued in kg]],tFeedIss[[Batch ID]],$A180))</f>
        <v/>
      </c>
      <c r="P180" s="29">
        <f>IF($A180="","",SUMIFS(tFeedIss[[Total Cost]],tFeedIss[[Batch ID]],$A180))</f>
        <v/>
      </c>
      <c r="Q180" s="29">
        <f>IF($A180="","",SUMIFS(tDrugUse[[Total Cost]],tDrugUse[[Batch ID]],$A180))</f>
        <v/>
      </c>
      <c r="R180" s="29">
        <f>IF($A180="","",SUMIFS(tExp[[Amount]],tExp[[Batch ID (if applicable)]],$A180))</f>
        <v/>
      </c>
      <c r="S180" s="41">
        <f>IF($A180="","",P180+Q180+R180)</f>
        <v/>
      </c>
      <c r="T180" s="41">
        <f>IF($A180="","",SUMIFS(tSales[[Total Revenue]],tSales[[Batch ID]],$A180))</f>
        <v/>
      </c>
      <c r="U180" s="41">
        <f>IF($A180="","",T180-S180)</f>
        <v/>
      </c>
      <c r="V180" s="29">
        <f>IF($A180="","",IFERROR(S180/(H180+I180),""))</f>
        <v/>
      </c>
      <c r="W180" s="29">
        <f>IF($A180="","",IF(K180=0,"",T180/K180))</f>
        <v/>
      </c>
      <c r="X180" s="42">
        <f>IF($A180="","",IFERROR(O180/(H180+I180),""))</f>
        <v/>
      </c>
      <c r="Y180" s="43">
        <f>IF($A180="","",IF(_xlfn.MAXIFS(tProd[[Date]],tProd[[Batch ID]],$A180,tProd[[Measurement Type]],"Weighing")=0,"",IFERROR(AVERAGEIFS(tProd[[Average Weight kg]],tProd[[Batch ID]],$A180,tProd[[Measurement Type]],"Weighing",tProd[[Date]],_xlfn.MAXIFS(tProd[[Date]],tProd[[Batch ID]],$A180,tProd[[Measurement Type]],"Weighing")),"")))</f>
        <v/>
      </c>
    </row>
    <row r="181">
      <c r="A181" s="27">
        <f>IFERROR(INDEX(tBatches[[Batch ID]],177)&amp;"","")</f>
        <v/>
      </c>
      <c r="B181" s="36">
        <f>IF($A181="","",INDEX(tBatches[[Pen ID]],177)&amp;"")</f>
        <v/>
      </c>
      <c r="C181" s="36">
        <f>IF($A181="","",INDEX(tBatches[[Animal Type]],177)&amp;"")</f>
        <v/>
      </c>
      <c r="D181" s="31">
        <f>IF($A181="","",INDEX(tBatches[[Batch Start Date]],177))</f>
        <v/>
      </c>
      <c r="E181" s="36">
        <f>IF($A181="","",INDEX(tBatches[[Status]],177)&amp;"")</f>
        <v/>
      </c>
      <c r="F181" s="31">
        <f>IF($A181="","",IF(N(INDEX(tBatches[[Closing Date]],177))=0,"",INDEX(tBatches[[Closing Date]],177)))</f>
        <v/>
      </c>
      <c r="G181" s="39">
        <f>IF($A181="","",INDEX(tBatches[[Age (days)]],177))</f>
        <v/>
      </c>
      <c r="H181" s="39">
        <f>IF($A181="","",N(INDEX(tBatches[[Initial Quantity]],177)))</f>
        <v/>
      </c>
      <c r="I181" s="39">
        <f>IF($A181="","",INDEX(tBatches[[Transfers In / Added]],177))</f>
        <v/>
      </c>
      <c r="J181" s="39">
        <f>IF($A181="","",INDEX(tBatches[[Deaths]],177))</f>
        <v/>
      </c>
      <c r="K181" s="39">
        <f>IF($A181="","",INDEX(tBatches[[Heads Sold]],177))</f>
        <v/>
      </c>
      <c r="L181" s="39">
        <f>IF($A181="","",INDEX(tBatches[[Transfers Out]],177))</f>
        <v/>
      </c>
      <c r="M181" s="39">
        <f>IF($A181="","",INDEX(tBatches[[Current Quantity]],177))</f>
        <v/>
      </c>
      <c r="N181" s="40">
        <f>IF($A181="","",IFERROR(J181/(H181+I181),0))</f>
        <v/>
      </c>
      <c r="O181" s="28">
        <f>IF($A181="","",SUMIFS(tFeedIss[[Quantity Issued in kg]],tFeedIss[[Batch ID]],$A181))</f>
        <v/>
      </c>
      <c r="P181" s="29">
        <f>IF($A181="","",SUMIFS(tFeedIss[[Total Cost]],tFeedIss[[Batch ID]],$A181))</f>
        <v/>
      </c>
      <c r="Q181" s="29">
        <f>IF($A181="","",SUMIFS(tDrugUse[[Total Cost]],tDrugUse[[Batch ID]],$A181))</f>
        <v/>
      </c>
      <c r="R181" s="29">
        <f>IF($A181="","",SUMIFS(tExp[[Amount]],tExp[[Batch ID (if applicable)]],$A181))</f>
        <v/>
      </c>
      <c r="S181" s="41">
        <f>IF($A181="","",P181+Q181+R181)</f>
        <v/>
      </c>
      <c r="T181" s="41">
        <f>IF($A181="","",SUMIFS(tSales[[Total Revenue]],tSales[[Batch ID]],$A181))</f>
        <v/>
      </c>
      <c r="U181" s="41">
        <f>IF($A181="","",T181-S181)</f>
        <v/>
      </c>
      <c r="V181" s="29">
        <f>IF($A181="","",IFERROR(S181/(H181+I181),""))</f>
        <v/>
      </c>
      <c r="W181" s="29">
        <f>IF($A181="","",IF(K181=0,"",T181/K181))</f>
        <v/>
      </c>
      <c r="X181" s="42">
        <f>IF($A181="","",IFERROR(O181/(H181+I181),""))</f>
        <v/>
      </c>
      <c r="Y181" s="43">
        <f>IF($A181="","",IF(_xlfn.MAXIFS(tProd[[Date]],tProd[[Batch ID]],$A181,tProd[[Measurement Type]],"Weighing")=0,"",IFERROR(AVERAGEIFS(tProd[[Average Weight kg]],tProd[[Batch ID]],$A181,tProd[[Measurement Type]],"Weighing",tProd[[Date]],_xlfn.MAXIFS(tProd[[Date]],tProd[[Batch ID]],$A181,tProd[[Measurement Type]],"Weighing")),"")))</f>
        <v/>
      </c>
    </row>
    <row r="182">
      <c r="A182" s="27">
        <f>IFERROR(INDEX(tBatches[[Batch ID]],178)&amp;"","")</f>
        <v/>
      </c>
      <c r="B182" s="36">
        <f>IF($A182="","",INDEX(tBatches[[Pen ID]],178)&amp;"")</f>
        <v/>
      </c>
      <c r="C182" s="36">
        <f>IF($A182="","",INDEX(tBatches[[Animal Type]],178)&amp;"")</f>
        <v/>
      </c>
      <c r="D182" s="31">
        <f>IF($A182="","",INDEX(tBatches[[Batch Start Date]],178))</f>
        <v/>
      </c>
      <c r="E182" s="36">
        <f>IF($A182="","",INDEX(tBatches[[Status]],178)&amp;"")</f>
        <v/>
      </c>
      <c r="F182" s="31">
        <f>IF($A182="","",IF(N(INDEX(tBatches[[Closing Date]],178))=0,"",INDEX(tBatches[[Closing Date]],178)))</f>
        <v/>
      </c>
      <c r="G182" s="39">
        <f>IF($A182="","",INDEX(tBatches[[Age (days)]],178))</f>
        <v/>
      </c>
      <c r="H182" s="39">
        <f>IF($A182="","",N(INDEX(tBatches[[Initial Quantity]],178)))</f>
        <v/>
      </c>
      <c r="I182" s="39">
        <f>IF($A182="","",INDEX(tBatches[[Transfers In / Added]],178))</f>
        <v/>
      </c>
      <c r="J182" s="39">
        <f>IF($A182="","",INDEX(tBatches[[Deaths]],178))</f>
        <v/>
      </c>
      <c r="K182" s="39">
        <f>IF($A182="","",INDEX(tBatches[[Heads Sold]],178))</f>
        <v/>
      </c>
      <c r="L182" s="39">
        <f>IF($A182="","",INDEX(tBatches[[Transfers Out]],178))</f>
        <v/>
      </c>
      <c r="M182" s="39">
        <f>IF($A182="","",INDEX(tBatches[[Current Quantity]],178))</f>
        <v/>
      </c>
      <c r="N182" s="40">
        <f>IF($A182="","",IFERROR(J182/(H182+I182),0))</f>
        <v/>
      </c>
      <c r="O182" s="28">
        <f>IF($A182="","",SUMIFS(tFeedIss[[Quantity Issued in kg]],tFeedIss[[Batch ID]],$A182))</f>
        <v/>
      </c>
      <c r="P182" s="29">
        <f>IF($A182="","",SUMIFS(tFeedIss[[Total Cost]],tFeedIss[[Batch ID]],$A182))</f>
        <v/>
      </c>
      <c r="Q182" s="29">
        <f>IF($A182="","",SUMIFS(tDrugUse[[Total Cost]],tDrugUse[[Batch ID]],$A182))</f>
        <v/>
      </c>
      <c r="R182" s="29">
        <f>IF($A182="","",SUMIFS(tExp[[Amount]],tExp[[Batch ID (if applicable)]],$A182))</f>
        <v/>
      </c>
      <c r="S182" s="41">
        <f>IF($A182="","",P182+Q182+R182)</f>
        <v/>
      </c>
      <c r="T182" s="41">
        <f>IF($A182="","",SUMIFS(tSales[[Total Revenue]],tSales[[Batch ID]],$A182))</f>
        <v/>
      </c>
      <c r="U182" s="41">
        <f>IF($A182="","",T182-S182)</f>
        <v/>
      </c>
      <c r="V182" s="29">
        <f>IF($A182="","",IFERROR(S182/(H182+I182),""))</f>
        <v/>
      </c>
      <c r="W182" s="29">
        <f>IF($A182="","",IF(K182=0,"",T182/K182))</f>
        <v/>
      </c>
      <c r="X182" s="42">
        <f>IF($A182="","",IFERROR(O182/(H182+I182),""))</f>
        <v/>
      </c>
      <c r="Y182" s="43">
        <f>IF($A182="","",IF(_xlfn.MAXIFS(tProd[[Date]],tProd[[Batch ID]],$A182,tProd[[Measurement Type]],"Weighing")=0,"",IFERROR(AVERAGEIFS(tProd[[Average Weight kg]],tProd[[Batch ID]],$A182,tProd[[Measurement Type]],"Weighing",tProd[[Date]],_xlfn.MAXIFS(tProd[[Date]],tProd[[Batch ID]],$A182,tProd[[Measurement Type]],"Weighing")),"")))</f>
        <v/>
      </c>
    </row>
    <row r="183">
      <c r="A183" s="27">
        <f>IFERROR(INDEX(tBatches[[Batch ID]],179)&amp;"","")</f>
        <v/>
      </c>
      <c r="B183" s="36">
        <f>IF($A183="","",INDEX(tBatches[[Pen ID]],179)&amp;"")</f>
        <v/>
      </c>
      <c r="C183" s="36">
        <f>IF($A183="","",INDEX(tBatches[[Animal Type]],179)&amp;"")</f>
        <v/>
      </c>
      <c r="D183" s="31">
        <f>IF($A183="","",INDEX(tBatches[[Batch Start Date]],179))</f>
        <v/>
      </c>
      <c r="E183" s="36">
        <f>IF($A183="","",INDEX(tBatches[[Status]],179)&amp;"")</f>
        <v/>
      </c>
      <c r="F183" s="31">
        <f>IF($A183="","",IF(N(INDEX(tBatches[[Closing Date]],179))=0,"",INDEX(tBatches[[Closing Date]],179)))</f>
        <v/>
      </c>
      <c r="G183" s="39">
        <f>IF($A183="","",INDEX(tBatches[[Age (days)]],179))</f>
        <v/>
      </c>
      <c r="H183" s="39">
        <f>IF($A183="","",N(INDEX(tBatches[[Initial Quantity]],179)))</f>
        <v/>
      </c>
      <c r="I183" s="39">
        <f>IF($A183="","",INDEX(tBatches[[Transfers In / Added]],179))</f>
        <v/>
      </c>
      <c r="J183" s="39">
        <f>IF($A183="","",INDEX(tBatches[[Deaths]],179))</f>
        <v/>
      </c>
      <c r="K183" s="39">
        <f>IF($A183="","",INDEX(tBatches[[Heads Sold]],179))</f>
        <v/>
      </c>
      <c r="L183" s="39">
        <f>IF($A183="","",INDEX(tBatches[[Transfers Out]],179))</f>
        <v/>
      </c>
      <c r="M183" s="39">
        <f>IF($A183="","",INDEX(tBatches[[Current Quantity]],179))</f>
        <v/>
      </c>
      <c r="N183" s="40">
        <f>IF($A183="","",IFERROR(J183/(H183+I183),0))</f>
        <v/>
      </c>
      <c r="O183" s="28">
        <f>IF($A183="","",SUMIFS(tFeedIss[[Quantity Issued in kg]],tFeedIss[[Batch ID]],$A183))</f>
        <v/>
      </c>
      <c r="P183" s="29">
        <f>IF($A183="","",SUMIFS(tFeedIss[[Total Cost]],tFeedIss[[Batch ID]],$A183))</f>
        <v/>
      </c>
      <c r="Q183" s="29">
        <f>IF($A183="","",SUMIFS(tDrugUse[[Total Cost]],tDrugUse[[Batch ID]],$A183))</f>
        <v/>
      </c>
      <c r="R183" s="29">
        <f>IF($A183="","",SUMIFS(tExp[[Amount]],tExp[[Batch ID (if applicable)]],$A183))</f>
        <v/>
      </c>
      <c r="S183" s="41">
        <f>IF($A183="","",P183+Q183+R183)</f>
        <v/>
      </c>
      <c r="T183" s="41">
        <f>IF($A183="","",SUMIFS(tSales[[Total Revenue]],tSales[[Batch ID]],$A183))</f>
        <v/>
      </c>
      <c r="U183" s="41">
        <f>IF($A183="","",T183-S183)</f>
        <v/>
      </c>
      <c r="V183" s="29">
        <f>IF($A183="","",IFERROR(S183/(H183+I183),""))</f>
        <v/>
      </c>
      <c r="W183" s="29">
        <f>IF($A183="","",IF(K183=0,"",T183/K183))</f>
        <v/>
      </c>
      <c r="X183" s="42">
        <f>IF($A183="","",IFERROR(O183/(H183+I183),""))</f>
        <v/>
      </c>
      <c r="Y183" s="43">
        <f>IF($A183="","",IF(_xlfn.MAXIFS(tProd[[Date]],tProd[[Batch ID]],$A183,tProd[[Measurement Type]],"Weighing")=0,"",IFERROR(AVERAGEIFS(tProd[[Average Weight kg]],tProd[[Batch ID]],$A183,tProd[[Measurement Type]],"Weighing",tProd[[Date]],_xlfn.MAXIFS(tProd[[Date]],tProd[[Batch ID]],$A183,tProd[[Measurement Type]],"Weighing")),"")))</f>
        <v/>
      </c>
    </row>
    <row r="184">
      <c r="A184" s="27">
        <f>IFERROR(INDEX(tBatches[[Batch ID]],180)&amp;"","")</f>
        <v/>
      </c>
      <c r="B184" s="36">
        <f>IF($A184="","",INDEX(tBatches[[Pen ID]],180)&amp;"")</f>
        <v/>
      </c>
      <c r="C184" s="36">
        <f>IF($A184="","",INDEX(tBatches[[Animal Type]],180)&amp;"")</f>
        <v/>
      </c>
      <c r="D184" s="31">
        <f>IF($A184="","",INDEX(tBatches[[Batch Start Date]],180))</f>
        <v/>
      </c>
      <c r="E184" s="36">
        <f>IF($A184="","",INDEX(tBatches[[Status]],180)&amp;"")</f>
        <v/>
      </c>
      <c r="F184" s="31">
        <f>IF($A184="","",IF(N(INDEX(tBatches[[Closing Date]],180))=0,"",INDEX(tBatches[[Closing Date]],180)))</f>
        <v/>
      </c>
      <c r="G184" s="39">
        <f>IF($A184="","",INDEX(tBatches[[Age (days)]],180))</f>
        <v/>
      </c>
      <c r="H184" s="39">
        <f>IF($A184="","",N(INDEX(tBatches[[Initial Quantity]],180)))</f>
        <v/>
      </c>
      <c r="I184" s="39">
        <f>IF($A184="","",INDEX(tBatches[[Transfers In / Added]],180))</f>
        <v/>
      </c>
      <c r="J184" s="39">
        <f>IF($A184="","",INDEX(tBatches[[Deaths]],180))</f>
        <v/>
      </c>
      <c r="K184" s="39">
        <f>IF($A184="","",INDEX(tBatches[[Heads Sold]],180))</f>
        <v/>
      </c>
      <c r="L184" s="39">
        <f>IF($A184="","",INDEX(tBatches[[Transfers Out]],180))</f>
        <v/>
      </c>
      <c r="M184" s="39">
        <f>IF($A184="","",INDEX(tBatches[[Current Quantity]],180))</f>
        <v/>
      </c>
      <c r="N184" s="40">
        <f>IF($A184="","",IFERROR(J184/(H184+I184),0))</f>
        <v/>
      </c>
      <c r="O184" s="28">
        <f>IF($A184="","",SUMIFS(tFeedIss[[Quantity Issued in kg]],tFeedIss[[Batch ID]],$A184))</f>
        <v/>
      </c>
      <c r="P184" s="29">
        <f>IF($A184="","",SUMIFS(tFeedIss[[Total Cost]],tFeedIss[[Batch ID]],$A184))</f>
        <v/>
      </c>
      <c r="Q184" s="29">
        <f>IF($A184="","",SUMIFS(tDrugUse[[Total Cost]],tDrugUse[[Batch ID]],$A184))</f>
        <v/>
      </c>
      <c r="R184" s="29">
        <f>IF($A184="","",SUMIFS(tExp[[Amount]],tExp[[Batch ID (if applicable)]],$A184))</f>
        <v/>
      </c>
      <c r="S184" s="41">
        <f>IF($A184="","",P184+Q184+R184)</f>
        <v/>
      </c>
      <c r="T184" s="41">
        <f>IF($A184="","",SUMIFS(tSales[[Total Revenue]],tSales[[Batch ID]],$A184))</f>
        <v/>
      </c>
      <c r="U184" s="41">
        <f>IF($A184="","",T184-S184)</f>
        <v/>
      </c>
      <c r="V184" s="29">
        <f>IF($A184="","",IFERROR(S184/(H184+I184),""))</f>
        <v/>
      </c>
      <c r="W184" s="29">
        <f>IF($A184="","",IF(K184=0,"",T184/K184))</f>
        <v/>
      </c>
      <c r="X184" s="42">
        <f>IF($A184="","",IFERROR(O184/(H184+I184),""))</f>
        <v/>
      </c>
      <c r="Y184" s="43">
        <f>IF($A184="","",IF(_xlfn.MAXIFS(tProd[[Date]],tProd[[Batch ID]],$A184,tProd[[Measurement Type]],"Weighing")=0,"",IFERROR(AVERAGEIFS(tProd[[Average Weight kg]],tProd[[Batch ID]],$A184,tProd[[Measurement Type]],"Weighing",tProd[[Date]],_xlfn.MAXIFS(tProd[[Date]],tProd[[Batch ID]],$A184,tProd[[Measurement Type]],"Weighing")),"")))</f>
        <v/>
      </c>
    </row>
    <row r="185">
      <c r="A185" s="27">
        <f>IFERROR(INDEX(tBatches[[Batch ID]],181)&amp;"","")</f>
        <v/>
      </c>
      <c r="B185" s="36">
        <f>IF($A185="","",INDEX(tBatches[[Pen ID]],181)&amp;"")</f>
        <v/>
      </c>
      <c r="C185" s="36">
        <f>IF($A185="","",INDEX(tBatches[[Animal Type]],181)&amp;"")</f>
        <v/>
      </c>
      <c r="D185" s="31">
        <f>IF($A185="","",INDEX(tBatches[[Batch Start Date]],181))</f>
        <v/>
      </c>
      <c r="E185" s="36">
        <f>IF($A185="","",INDEX(tBatches[[Status]],181)&amp;"")</f>
        <v/>
      </c>
      <c r="F185" s="31">
        <f>IF($A185="","",IF(N(INDEX(tBatches[[Closing Date]],181))=0,"",INDEX(tBatches[[Closing Date]],181)))</f>
        <v/>
      </c>
      <c r="G185" s="39">
        <f>IF($A185="","",INDEX(tBatches[[Age (days)]],181))</f>
        <v/>
      </c>
      <c r="H185" s="39">
        <f>IF($A185="","",N(INDEX(tBatches[[Initial Quantity]],181)))</f>
        <v/>
      </c>
      <c r="I185" s="39">
        <f>IF($A185="","",INDEX(tBatches[[Transfers In / Added]],181))</f>
        <v/>
      </c>
      <c r="J185" s="39">
        <f>IF($A185="","",INDEX(tBatches[[Deaths]],181))</f>
        <v/>
      </c>
      <c r="K185" s="39">
        <f>IF($A185="","",INDEX(tBatches[[Heads Sold]],181))</f>
        <v/>
      </c>
      <c r="L185" s="39">
        <f>IF($A185="","",INDEX(tBatches[[Transfers Out]],181))</f>
        <v/>
      </c>
      <c r="M185" s="39">
        <f>IF($A185="","",INDEX(tBatches[[Current Quantity]],181))</f>
        <v/>
      </c>
      <c r="N185" s="40">
        <f>IF($A185="","",IFERROR(J185/(H185+I185),0))</f>
        <v/>
      </c>
      <c r="O185" s="28">
        <f>IF($A185="","",SUMIFS(tFeedIss[[Quantity Issued in kg]],tFeedIss[[Batch ID]],$A185))</f>
        <v/>
      </c>
      <c r="P185" s="29">
        <f>IF($A185="","",SUMIFS(tFeedIss[[Total Cost]],tFeedIss[[Batch ID]],$A185))</f>
        <v/>
      </c>
      <c r="Q185" s="29">
        <f>IF($A185="","",SUMIFS(tDrugUse[[Total Cost]],tDrugUse[[Batch ID]],$A185))</f>
        <v/>
      </c>
      <c r="R185" s="29">
        <f>IF($A185="","",SUMIFS(tExp[[Amount]],tExp[[Batch ID (if applicable)]],$A185))</f>
        <v/>
      </c>
      <c r="S185" s="41">
        <f>IF($A185="","",P185+Q185+R185)</f>
        <v/>
      </c>
      <c r="T185" s="41">
        <f>IF($A185="","",SUMIFS(tSales[[Total Revenue]],tSales[[Batch ID]],$A185))</f>
        <v/>
      </c>
      <c r="U185" s="41">
        <f>IF($A185="","",T185-S185)</f>
        <v/>
      </c>
      <c r="V185" s="29">
        <f>IF($A185="","",IFERROR(S185/(H185+I185),""))</f>
        <v/>
      </c>
      <c r="W185" s="29">
        <f>IF($A185="","",IF(K185=0,"",T185/K185))</f>
        <v/>
      </c>
      <c r="X185" s="42">
        <f>IF($A185="","",IFERROR(O185/(H185+I185),""))</f>
        <v/>
      </c>
      <c r="Y185" s="43">
        <f>IF($A185="","",IF(_xlfn.MAXIFS(tProd[[Date]],tProd[[Batch ID]],$A185,tProd[[Measurement Type]],"Weighing")=0,"",IFERROR(AVERAGEIFS(tProd[[Average Weight kg]],tProd[[Batch ID]],$A185,tProd[[Measurement Type]],"Weighing",tProd[[Date]],_xlfn.MAXIFS(tProd[[Date]],tProd[[Batch ID]],$A185,tProd[[Measurement Type]],"Weighing")),"")))</f>
        <v/>
      </c>
    </row>
    <row r="186">
      <c r="A186" s="27">
        <f>IFERROR(INDEX(tBatches[[Batch ID]],182)&amp;"","")</f>
        <v/>
      </c>
      <c r="B186" s="36">
        <f>IF($A186="","",INDEX(tBatches[[Pen ID]],182)&amp;"")</f>
        <v/>
      </c>
      <c r="C186" s="36">
        <f>IF($A186="","",INDEX(tBatches[[Animal Type]],182)&amp;"")</f>
        <v/>
      </c>
      <c r="D186" s="31">
        <f>IF($A186="","",INDEX(tBatches[[Batch Start Date]],182))</f>
        <v/>
      </c>
      <c r="E186" s="36">
        <f>IF($A186="","",INDEX(tBatches[[Status]],182)&amp;"")</f>
        <v/>
      </c>
      <c r="F186" s="31">
        <f>IF($A186="","",IF(N(INDEX(tBatches[[Closing Date]],182))=0,"",INDEX(tBatches[[Closing Date]],182)))</f>
        <v/>
      </c>
      <c r="G186" s="39">
        <f>IF($A186="","",INDEX(tBatches[[Age (days)]],182))</f>
        <v/>
      </c>
      <c r="H186" s="39">
        <f>IF($A186="","",N(INDEX(tBatches[[Initial Quantity]],182)))</f>
        <v/>
      </c>
      <c r="I186" s="39">
        <f>IF($A186="","",INDEX(tBatches[[Transfers In / Added]],182))</f>
        <v/>
      </c>
      <c r="J186" s="39">
        <f>IF($A186="","",INDEX(tBatches[[Deaths]],182))</f>
        <v/>
      </c>
      <c r="K186" s="39">
        <f>IF($A186="","",INDEX(tBatches[[Heads Sold]],182))</f>
        <v/>
      </c>
      <c r="L186" s="39">
        <f>IF($A186="","",INDEX(tBatches[[Transfers Out]],182))</f>
        <v/>
      </c>
      <c r="M186" s="39">
        <f>IF($A186="","",INDEX(tBatches[[Current Quantity]],182))</f>
        <v/>
      </c>
      <c r="N186" s="40">
        <f>IF($A186="","",IFERROR(J186/(H186+I186),0))</f>
        <v/>
      </c>
      <c r="O186" s="28">
        <f>IF($A186="","",SUMIFS(tFeedIss[[Quantity Issued in kg]],tFeedIss[[Batch ID]],$A186))</f>
        <v/>
      </c>
      <c r="P186" s="29">
        <f>IF($A186="","",SUMIFS(tFeedIss[[Total Cost]],tFeedIss[[Batch ID]],$A186))</f>
        <v/>
      </c>
      <c r="Q186" s="29">
        <f>IF($A186="","",SUMIFS(tDrugUse[[Total Cost]],tDrugUse[[Batch ID]],$A186))</f>
        <v/>
      </c>
      <c r="R186" s="29">
        <f>IF($A186="","",SUMIFS(tExp[[Amount]],tExp[[Batch ID (if applicable)]],$A186))</f>
        <v/>
      </c>
      <c r="S186" s="41">
        <f>IF($A186="","",P186+Q186+R186)</f>
        <v/>
      </c>
      <c r="T186" s="41">
        <f>IF($A186="","",SUMIFS(tSales[[Total Revenue]],tSales[[Batch ID]],$A186))</f>
        <v/>
      </c>
      <c r="U186" s="41">
        <f>IF($A186="","",T186-S186)</f>
        <v/>
      </c>
      <c r="V186" s="29">
        <f>IF($A186="","",IFERROR(S186/(H186+I186),""))</f>
        <v/>
      </c>
      <c r="W186" s="29">
        <f>IF($A186="","",IF(K186=0,"",T186/K186))</f>
        <v/>
      </c>
      <c r="X186" s="42">
        <f>IF($A186="","",IFERROR(O186/(H186+I186),""))</f>
        <v/>
      </c>
      <c r="Y186" s="43">
        <f>IF($A186="","",IF(_xlfn.MAXIFS(tProd[[Date]],tProd[[Batch ID]],$A186,tProd[[Measurement Type]],"Weighing")=0,"",IFERROR(AVERAGEIFS(tProd[[Average Weight kg]],tProd[[Batch ID]],$A186,tProd[[Measurement Type]],"Weighing",tProd[[Date]],_xlfn.MAXIFS(tProd[[Date]],tProd[[Batch ID]],$A186,tProd[[Measurement Type]],"Weighing")),"")))</f>
        <v/>
      </c>
    </row>
    <row r="187">
      <c r="A187" s="27">
        <f>IFERROR(INDEX(tBatches[[Batch ID]],183)&amp;"","")</f>
        <v/>
      </c>
      <c r="B187" s="36">
        <f>IF($A187="","",INDEX(tBatches[[Pen ID]],183)&amp;"")</f>
        <v/>
      </c>
      <c r="C187" s="36">
        <f>IF($A187="","",INDEX(tBatches[[Animal Type]],183)&amp;"")</f>
        <v/>
      </c>
      <c r="D187" s="31">
        <f>IF($A187="","",INDEX(tBatches[[Batch Start Date]],183))</f>
        <v/>
      </c>
      <c r="E187" s="36">
        <f>IF($A187="","",INDEX(tBatches[[Status]],183)&amp;"")</f>
        <v/>
      </c>
      <c r="F187" s="31">
        <f>IF($A187="","",IF(N(INDEX(tBatches[[Closing Date]],183))=0,"",INDEX(tBatches[[Closing Date]],183)))</f>
        <v/>
      </c>
      <c r="G187" s="39">
        <f>IF($A187="","",INDEX(tBatches[[Age (days)]],183))</f>
        <v/>
      </c>
      <c r="H187" s="39">
        <f>IF($A187="","",N(INDEX(tBatches[[Initial Quantity]],183)))</f>
        <v/>
      </c>
      <c r="I187" s="39">
        <f>IF($A187="","",INDEX(tBatches[[Transfers In / Added]],183))</f>
        <v/>
      </c>
      <c r="J187" s="39">
        <f>IF($A187="","",INDEX(tBatches[[Deaths]],183))</f>
        <v/>
      </c>
      <c r="K187" s="39">
        <f>IF($A187="","",INDEX(tBatches[[Heads Sold]],183))</f>
        <v/>
      </c>
      <c r="L187" s="39">
        <f>IF($A187="","",INDEX(tBatches[[Transfers Out]],183))</f>
        <v/>
      </c>
      <c r="M187" s="39">
        <f>IF($A187="","",INDEX(tBatches[[Current Quantity]],183))</f>
        <v/>
      </c>
      <c r="N187" s="40">
        <f>IF($A187="","",IFERROR(J187/(H187+I187),0))</f>
        <v/>
      </c>
      <c r="O187" s="28">
        <f>IF($A187="","",SUMIFS(tFeedIss[[Quantity Issued in kg]],tFeedIss[[Batch ID]],$A187))</f>
        <v/>
      </c>
      <c r="P187" s="29">
        <f>IF($A187="","",SUMIFS(tFeedIss[[Total Cost]],tFeedIss[[Batch ID]],$A187))</f>
        <v/>
      </c>
      <c r="Q187" s="29">
        <f>IF($A187="","",SUMIFS(tDrugUse[[Total Cost]],tDrugUse[[Batch ID]],$A187))</f>
        <v/>
      </c>
      <c r="R187" s="29">
        <f>IF($A187="","",SUMIFS(tExp[[Amount]],tExp[[Batch ID (if applicable)]],$A187))</f>
        <v/>
      </c>
      <c r="S187" s="41">
        <f>IF($A187="","",P187+Q187+R187)</f>
        <v/>
      </c>
      <c r="T187" s="41">
        <f>IF($A187="","",SUMIFS(tSales[[Total Revenue]],tSales[[Batch ID]],$A187))</f>
        <v/>
      </c>
      <c r="U187" s="41">
        <f>IF($A187="","",T187-S187)</f>
        <v/>
      </c>
      <c r="V187" s="29">
        <f>IF($A187="","",IFERROR(S187/(H187+I187),""))</f>
        <v/>
      </c>
      <c r="W187" s="29">
        <f>IF($A187="","",IF(K187=0,"",T187/K187))</f>
        <v/>
      </c>
      <c r="X187" s="42">
        <f>IF($A187="","",IFERROR(O187/(H187+I187),""))</f>
        <v/>
      </c>
      <c r="Y187" s="43">
        <f>IF($A187="","",IF(_xlfn.MAXIFS(tProd[[Date]],tProd[[Batch ID]],$A187,tProd[[Measurement Type]],"Weighing")=0,"",IFERROR(AVERAGEIFS(tProd[[Average Weight kg]],tProd[[Batch ID]],$A187,tProd[[Measurement Type]],"Weighing",tProd[[Date]],_xlfn.MAXIFS(tProd[[Date]],tProd[[Batch ID]],$A187,tProd[[Measurement Type]],"Weighing")),"")))</f>
        <v/>
      </c>
    </row>
    <row r="188">
      <c r="A188" s="27">
        <f>IFERROR(INDEX(tBatches[[Batch ID]],184)&amp;"","")</f>
        <v/>
      </c>
      <c r="B188" s="36">
        <f>IF($A188="","",INDEX(tBatches[[Pen ID]],184)&amp;"")</f>
        <v/>
      </c>
      <c r="C188" s="36">
        <f>IF($A188="","",INDEX(tBatches[[Animal Type]],184)&amp;"")</f>
        <v/>
      </c>
      <c r="D188" s="31">
        <f>IF($A188="","",INDEX(tBatches[[Batch Start Date]],184))</f>
        <v/>
      </c>
      <c r="E188" s="36">
        <f>IF($A188="","",INDEX(tBatches[[Status]],184)&amp;"")</f>
        <v/>
      </c>
      <c r="F188" s="31">
        <f>IF($A188="","",IF(N(INDEX(tBatches[[Closing Date]],184))=0,"",INDEX(tBatches[[Closing Date]],184)))</f>
        <v/>
      </c>
      <c r="G188" s="39">
        <f>IF($A188="","",INDEX(tBatches[[Age (days)]],184))</f>
        <v/>
      </c>
      <c r="H188" s="39">
        <f>IF($A188="","",N(INDEX(tBatches[[Initial Quantity]],184)))</f>
        <v/>
      </c>
      <c r="I188" s="39">
        <f>IF($A188="","",INDEX(tBatches[[Transfers In / Added]],184))</f>
        <v/>
      </c>
      <c r="J188" s="39">
        <f>IF($A188="","",INDEX(tBatches[[Deaths]],184))</f>
        <v/>
      </c>
      <c r="K188" s="39">
        <f>IF($A188="","",INDEX(tBatches[[Heads Sold]],184))</f>
        <v/>
      </c>
      <c r="L188" s="39">
        <f>IF($A188="","",INDEX(tBatches[[Transfers Out]],184))</f>
        <v/>
      </c>
      <c r="M188" s="39">
        <f>IF($A188="","",INDEX(tBatches[[Current Quantity]],184))</f>
        <v/>
      </c>
      <c r="N188" s="40">
        <f>IF($A188="","",IFERROR(J188/(H188+I188),0))</f>
        <v/>
      </c>
      <c r="O188" s="28">
        <f>IF($A188="","",SUMIFS(tFeedIss[[Quantity Issued in kg]],tFeedIss[[Batch ID]],$A188))</f>
        <v/>
      </c>
      <c r="P188" s="29">
        <f>IF($A188="","",SUMIFS(tFeedIss[[Total Cost]],tFeedIss[[Batch ID]],$A188))</f>
        <v/>
      </c>
      <c r="Q188" s="29">
        <f>IF($A188="","",SUMIFS(tDrugUse[[Total Cost]],tDrugUse[[Batch ID]],$A188))</f>
        <v/>
      </c>
      <c r="R188" s="29">
        <f>IF($A188="","",SUMIFS(tExp[[Amount]],tExp[[Batch ID (if applicable)]],$A188))</f>
        <v/>
      </c>
      <c r="S188" s="41">
        <f>IF($A188="","",P188+Q188+R188)</f>
        <v/>
      </c>
      <c r="T188" s="41">
        <f>IF($A188="","",SUMIFS(tSales[[Total Revenue]],tSales[[Batch ID]],$A188))</f>
        <v/>
      </c>
      <c r="U188" s="41">
        <f>IF($A188="","",T188-S188)</f>
        <v/>
      </c>
      <c r="V188" s="29">
        <f>IF($A188="","",IFERROR(S188/(H188+I188),""))</f>
        <v/>
      </c>
      <c r="W188" s="29">
        <f>IF($A188="","",IF(K188=0,"",T188/K188))</f>
        <v/>
      </c>
      <c r="X188" s="42">
        <f>IF($A188="","",IFERROR(O188/(H188+I188),""))</f>
        <v/>
      </c>
      <c r="Y188" s="43">
        <f>IF($A188="","",IF(_xlfn.MAXIFS(tProd[[Date]],tProd[[Batch ID]],$A188,tProd[[Measurement Type]],"Weighing")=0,"",IFERROR(AVERAGEIFS(tProd[[Average Weight kg]],tProd[[Batch ID]],$A188,tProd[[Measurement Type]],"Weighing",tProd[[Date]],_xlfn.MAXIFS(tProd[[Date]],tProd[[Batch ID]],$A188,tProd[[Measurement Type]],"Weighing")),"")))</f>
        <v/>
      </c>
    </row>
    <row r="189">
      <c r="A189" s="27">
        <f>IFERROR(INDEX(tBatches[[Batch ID]],185)&amp;"","")</f>
        <v/>
      </c>
      <c r="B189" s="36">
        <f>IF($A189="","",INDEX(tBatches[[Pen ID]],185)&amp;"")</f>
        <v/>
      </c>
      <c r="C189" s="36">
        <f>IF($A189="","",INDEX(tBatches[[Animal Type]],185)&amp;"")</f>
        <v/>
      </c>
      <c r="D189" s="31">
        <f>IF($A189="","",INDEX(tBatches[[Batch Start Date]],185))</f>
        <v/>
      </c>
      <c r="E189" s="36">
        <f>IF($A189="","",INDEX(tBatches[[Status]],185)&amp;"")</f>
        <v/>
      </c>
      <c r="F189" s="31">
        <f>IF($A189="","",IF(N(INDEX(tBatches[[Closing Date]],185))=0,"",INDEX(tBatches[[Closing Date]],185)))</f>
        <v/>
      </c>
      <c r="G189" s="39">
        <f>IF($A189="","",INDEX(tBatches[[Age (days)]],185))</f>
        <v/>
      </c>
      <c r="H189" s="39">
        <f>IF($A189="","",N(INDEX(tBatches[[Initial Quantity]],185)))</f>
        <v/>
      </c>
      <c r="I189" s="39">
        <f>IF($A189="","",INDEX(tBatches[[Transfers In / Added]],185))</f>
        <v/>
      </c>
      <c r="J189" s="39">
        <f>IF($A189="","",INDEX(tBatches[[Deaths]],185))</f>
        <v/>
      </c>
      <c r="K189" s="39">
        <f>IF($A189="","",INDEX(tBatches[[Heads Sold]],185))</f>
        <v/>
      </c>
      <c r="L189" s="39">
        <f>IF($A189="","",INDEX(tBatches[[Transfers Out]],185))</f>
        <v/>
      </c>
      <c r="M189" s="39">
        <f>IF($A189="","",INDEX(tBatches[[Current Quantity]],185))</f>
        <v/>
      </c>
      <c r="N189" s="40">
        <f>IF($A189="","",IFERROR(J189/(H189+I189),0))</f>
        <v/>
      </c>
      <c r="O189" s="28">
        <f>IF($A189="","",SUMIFS(tFeedIss[[Quantity Issued in kg]],tFeedIss[[Batch ID]],$A189))</f>
        <v/>
      </c>
      <c r="P189" s="29">
        <f>IF($A189="","",SUMIFS(tFeedIss[[Total Cost]],tFeedIss[[Batch ID]],$A189))</f>
        <v/>
      </c>
      <c r="Q189" s="29">
        <f>IF($A189="","",SUMIFS(tDrugUse[[Total Cost]],tDrugUse[[Batch ID]],$A189))</f>
        <v/>
      </c>
      <c r="R189" s="29">
        <f>IF($A189="","",SUMIFS(tExp[[Amount]],tExp[[Batch ID (if applicable)]],$A189))</f>
        <v/>
      </c>
      <c r="S189" s="41">
        <f>IF($A189="","",P189+Q189+R189)</f>
        <v/>
      </c>
      <c r="T189" s="41">
        <f>IF($A189="","",SUMIFS(tSales[[Total Revenue]],tSales[[Batch ID]],$A189))</f>
        <v/>
      </c>
      <c r="U189" s="41">
        <f>IF($A189="","",T189-S189)</f>
        <v/>
      </c>
      <c r="V189" s="29">
        <f>IF($A189="","",IFERROR(S189/(H189+I189),""))</f>
        <v/>
      </c>
      <c r="W189" s="29">
        <f>IF($A189="","",IF(K189=0,"",T189/K189))</f>
        <v/>
      </c>
      <c r="X189" s="42">
        <f>IF($A189="","",IFERROR(O189/(H189+I189),""))</f>
        <v/>
      </c>
      <c r="Y189" s="43">
        <f>IF($A189="","",IF(_xlfn.MAXIFS(tProd[[Date]],tProd[[Batch ID]],$A189,tProd[[Measurement Type]],"Weighing")=0,"",IFERROR(AVERAGEIFS(tProd[[Average Weight kg]],tProd[[Batch ID]],$A189,tProd[[Measurement Type]],"Weighing",tProd[[Date]],_xlfn.MAXIFS(tProd[[Date]],tProd[[Batch ID]],$A189,tProd[[Measurement Type]],"Weighing")),"")))</f>
        <v/>
      </c>
    </row>
    <row r="190">
      <c r="A190" s="27">
        <f>IFERROR(INDEX(tBatches[[Batch ID]],186)&amp;"","")</f>
        <v/>
      </c>
      <c r="B190" s="36">
        <f>IF($A190="","",INDEX(tBatches[[Pen ID]],186)&amp;"")</f>
        <v/>
      </c>
      <c r="C190" s="36">
        <f>IF($A190="","",INDEX(tBatches[[Animal Type]],186)&amp;"")</f>
        <v/>
      </c>
      <c r="D190" s="31">
        <f>IF($A190="","",INDEX(tBatches[[Batch Start Date]],186))</f>
        <v/>
      </c>
      <c r="E190" s="36">
        <f>IF($A190="","",INDEX(tBatches[[Status]],186)&amp;"")</f>
        <v/>
      </c>
      <c r="F190" s="31">
        <f>IF($A190="","",IF(N(INDEX(tBatches[[Closing Date]],186))=0,"",INDEX(tBatches[[Closing Date]],186)))</f>
        <v/>
      </c>
      <c r="G190" s="39">
        <f>IF($A190="","",INDEX(tBatches[[Age (days)]],186))</f>
        <v/>
      </c>
      <c r="H190" s="39">
        <f>IF($A190="","",N(INDEX(tBatches[[Initial Quantity]],186)))</f>
        <v/>
      </c>
      <c r="I190" s="39">
        <f>IF($A190="","",INDEX(tBatches[[Transfers In / Added]],186))</f>
        <v/>
      </c>
      <c r="J190" s="39">
        <f>IF($A190="","",INDEX(tBatches[[Deaths]],186))</f>
        <v/>
      </c>
      <c r="K190" s="39">
        <f>IF($A190="","",INDEX(tBatches[[Heads Sold]],186))</f>
        <v/>
      </c>
      <c r="L190" s="39">
        <f>IF($A190="","",INDEX(tBatches[[Transfers Out]],186))</f>
        <v/>
      </c>
      <c r="M190" s="39">
        <f>IF($A190="","",INDEX(tBatches[[Current Quantity]],186))</f>
        <v/>
      </c>
      <c r="N190" s="40">
        <f>IF($A190="","",IFERROR(J190/(H190+I190),0))</f>
        <v/>
      </c>
      <c r="O190" s="28">
        <f>IF($A190="","",SUMIFS(tFeedIss[[Quantity Issued in kg]],tFeedIss[[Batch ID]],$A190))</f>
        <v/>
      </c>
      <c r="P190" s="29">
        <f>IF($A190="","",SUMIFS(tFeedIss[[Total Cost]],tFeedIss[[Batch ID]],$A190))</f>
        <v/>
      </c>
      <c r="Q190" s="29">
        <f>IF($A190="","",SUMIFS(tDrugUse[[Total Cost]],tDrugUse[[Batch ID]],$A190))</f>
        <v/>
      </c>
      <c r="R190" s="29">
        <f>IF($A190="","",SUMIFS(tExp[[Amount]],tExp[[Batch ID (if applicable)]],$A190))</f>
        <v/>
      </c>
      <c r="S190" s="41">
        <f>IF($A190="","",P190+Q190+R190)</f>
        <v/>
      </c>
      <c r="T190" s="41">
        <f>IF($A190="","",SUMIFS(tSales[[Total Revenue]],tSales[[Batch ID]],$A190))</f>
        <v/>
      </c>
      <c r="U190" s="41">
        <f>IF($A190="","",T190-S190)</f>
        <v/>
      </c>
      <c r="V190" s="29">
        <f>IF($A190="","",IFERROR(S190/(H190+I190),""))</f>
        <v/>
      </c>
      <c r="W190" s="29">
        <f>IF($A190="","",IF(K190=0,"",T190/K190))</f>
        <v/>
      </c>
      <c r="X190" s="42">
        <f>IF($A190="","",IFERROR(O190/(H190+I190),""))</f>
        <v/>
      </c>
      <c r="Y190" s="43">
        <f>IF($A190="","",IF(_xlfn.MAXIFS(tProd[[Date]],tProd[[Batch ID]],$A190,tProd[[Measurement Type]],"Weighing")=0,"",IFERROR(AVERAGEIFS(tProd[[Average Weight kg]],tProd[[Batch ID]],$A190,tProd[[Measurement Type]],"Weighing",tProd[[Date]],_xlfn.MAXIFS(tProd[[Date]],tProd[[Batch ID]],$A190,tProd[[Measurement Type]],"Weighing")),"")))</f>
        <v/>
      </c>
    </row>
    <row r="191">
      <c r="A191" s="27">
        <f>IFERROR(INDEX(tBatches[[Batch ID]],187)&amp;"","")</f>
        <v/>
      </c>
      <c r="B191" s="36">
        <f>IF($A191="","",INDEX(tBatches[[Pen ID]],187)&amp;"")</f>
        <v/>
      </c>
      <c r="C191" s="36">
        <f>IF($A191="","",INDEX(tBatches[[Animal Type]],187)&amp;"")</f>
        <v/>
      </c>
      <c r="D191" s="31">
        <f>IF($A191="","",INDEX(tBatches[[Batch Start Date]],187))</f>
        <v/>
      </c>
      <c r="E191" s="36">
        <f>IF($A191="","",INDEX(tBatches[[Status]],187)&amp;"")</f>
        <v/>
      </c>
      <c r="F191" s="31">
        <f>IF($A191="","",IF(N(INDEX(tBatches[[Closing Date]],187))=0,"",INDEX(tBatches[[Closing Date]],187)))</f>
        <v/>
      </c>
      <c r="G191" s="39">
        <f>IF($A191="","",INDEX(tBatches[[Age (days)]],187))</f>
        <v/>
      </c>
      <c r="H191" s="39">
        <f>IF($A191="","",N(INDEX(tBatches[[Initial Quantity]],187)))</f>
        <v/>
      </c>
      <c r="I191" s="39">
        <f>IF($A191="","",INDEX(tBatches[[Transfers In / Added]],187))</f>
        <v/>
      </c>
      <c r="J191" s="39">
        <f>IF($A191="","",INDEX(tBatches[[Deaths]],187))</f>
        <v/>
      </c>
      <c r="K191" s="39">
        <f>IF($A191="","",INDEX(tBatches[[Heads Sold]],187))</f>
        <v/>
      </c>
      <c r="L191" s="39">
        <f>IF($A191="","",INDEX(tBatches[[Transfers Out]],187))</f>
        <v/>
      </c>
      <c r="M191" s="39">
        <f>IF($A191="","",INDEX(tBatches[[Current Quantity]],187))</f>
        <v/>
      </c>
      <c r="N191" s="40">
        <f>IF($A191="","",IFERROR(J191/(H191+I191),0))</f>
        <v/>
      </c>
      <c r="O191" s="28">
        <f>IF($A191="","",SUMIFS(tFeedIss[[Quantity Issued in kg]],tFeedIss[[Batch ID]],$A191))</f>
        <v/>
      </c>
      <c r="P191" s="29">
        <f>IF($A191="","",SUMIFS(tFeedIss[[Total Cost]],tFeedIss[[Batch ID]],$A191))</f>
        <v/>
      </c>
      <c r="Q191" s="29">
        <f>IF($A191="","",SUMIFS(tDrugUse[[Total Cost]],tDrugUse[[Batch ID]],$A191))</f>
        <v/>
      </c>
      <c r="R191" s="29">
        <f>IF($A191="","",SUMIFS(tExp[[Amount]],tExp[[Batch ID (if applicable)]],$A191))</f>
        <v/>
      </c>
      <c r="S191" s="41">
        <f>IF($A191="","",P191+Q191+R191)</f>
        <v/>
      </c>
      <c r="T191" s="41">
        <f>IF($A191="","",SUMIFS(tSales[[Total Revenue]],tSales[[Batch ID]],$A191))</f>
        <v/>
      </c>
      <c r="U191" s="41">
        <f>IF($A191="","",T191-S191)</f>
        <v/>
      </c>
      <c r="V191" s="29">
        <f>IF($A191="","",IFERROR(S191/(H191+I191),""))</f>
        <v/>
      </c>
      <c r="W191" s="29">
        <f>IF($A191="","",IF(K191=0,"",T191/K191))</f>
        <v/>
      </c>
      <c r="X191" s="42">
        <f>IF($A191="","",IFERROR(O191/(H191+I191),""))</f>
        <v/>
      </c>
      <c r="Y191" s="43">
        <f>IF($A191="","",IF(_xlfn.MAXIFS(tProd[[Date]],tProd[[Batch ID]],$A191,tProd[[Measurement Type]],"Weighing")=0,"",IFERROR(AVERAGEIFS(tProd[[Average Weight kg]],tProd[[Batch ID]],$A191,tProd[[Measurement Type]],"Weighing",tProd[[Date]],_xlfn.MAXIFS(tProd[[Date]],tProd[[Batch ID]],$A191,tProd[[Measurement Type]],"Weighing")),"")))</f>
        <v/>
      </c>
    </row>
    <row r="192">
      <c r="A192" s="27">
        <f>IFERROR(INDEX(tBatches[[Batch ID]],188)&amp;"","")</f>
        <v/>
      </c>
      <c r="B192" s="36">
        <f>IF($A192="","",INDEX(tBatches[[Pen ID]],188)&amp;"")</f>
        <v/>
      </c>
      <c r="C192" s="36">
        <f>IF($A192="","",INDEX(tBatches[[Animal Type]],188)&amp;"")</f>
        <v/>
      </c>
      <c r="D192" s="31">
        <f>IF($A192="","",INDEX(tBatches[[Batch Start Date]],188))</f>
        <v/>
      </c>
      <c r="E192" s="36">
        <f>IF($A192="","",INDEX(tBatches[[Status]],188)&amp;"")</f>
        <v/>
      </c>
      <c r="F192" s="31">
        <f>IF($A192="","",IF(N(INDEX(tBatches[[Closing Date]],188))=0,"",INDEX(tBatches[[Closing Date]],188)))</f>
        <v/>
      </c>
      <c r="G192" s="39">
        <f>IF($A192="","",INDEX(tBatches[[Age (days)]],188))</f>
        <v/>
      </c>
      <c r="H192" s="39">
        <f>IF($A192="","",N(INDEX(tBatches[[Initial Quantity]],188)))</f>
        <v/>
      </c>
      <c r="I192" s="39">
        <f>IF($A192="","",INDEX(tBatches[[Transfers In / Added]],188))</f>
        <v/>
      </c>
      <c r="J192" s="39">
        <f>IF($A192="","",INDEX(tBatches[[Deaths]],188))</f>
        <v/>
      </c>
      <c r="K192" s="39">
        <f>IF($A192="","",INDEX(tBatches[[Heads Sold]],188))</f>
        <v/>
      </c>
      <c r="L192" s="39">
        <f>IF($A192="","",INDEX(tBatches[[Transfers Out]],188))</f>
        <v/>
      </c>
      <c r="M192" s="39">
        <f>IF($A192="","",INDEX(tBatches[[Current Quantity]],188))</f>
        <v/>
      </c>
      <c r="N192" s="40">
        <f>IF($A192="","",IFERROR(J192/(H192+I192),0))</f>
        <v/>
      </c>
      <c r="O192" s="28">
        <f>IF($A192="","",SUMIFS(tFeedIss[[Quantity Issued in kg]],tFeedIss[[Batch ID]],$A192))</f>
        <v/>
      </c>
      <c r="P192" s="29">
        <f>IF($A192="","",SUMIFS(tFeedIss[[Total Cost]],tFeedIss[[Batch ID]],$A192))</f>
        <v/>
      </c>
      <c r="Q192" s="29">
        <f>IF($A192="","",SUMIFS(tDrugUse[[Total Cost]],tDrugUse[[Batch ID]],$A192))</f>
        <v/>
      </c>
      <c r="R192" s="29">
        <f>IF($A192="","",SUMIFS(tExp[[Amount]],tExp[[Batch ID (if applicable)]],$A192))</f>
        <v/>
      </c>
      <c r="S192" s="41">
        <f>IF($A192="","",P192+Q192+R192)</f>
        <v/>
      </c>
      <c r="T192" s="41">
        <f>IF($A192="","",SUMIFS(tSales[[Total Revenue]],tSales[[Batch ID]],$A192))</f>
        <v/>
      </c>
      <c r="U192" s="41">
        <f>IF($A192="","",T192-S192)</f>
        <v/>
      </c>
      <c r="V192" s="29">
        <f>IF($A192="","",IFERROR(S192/(H192+I192),""))</f>
        <v/>
      </c>
      <c r="W192" s="29">
        <f>IF($A192="","",IF(K192=0,"",T192/K192))</f>
        <v/>
      </c>
      <c r="X192" s="42">
        <f>IF($A192="","",IFERROR(O192/(H192+I192),""))</f>
        <v/>
      </c>
      <c r="Y192" s="43">
        <f>IF($A192="","",IF(_xlfn.MAXIFS(tProd[[Date]],tProd[[Batch ID]],$A192,tProd[[Measurement Type]],"Weighing")=0,"",IFERROR(AVERAGEIFS(tProd[[Average Weight kg]],tProd[[Batch ID]],$A192,tProd[[Measurement Type]],"Weighing",tProd[[Date]],_xlfn.MAXIFS(tProd[[Date]],tProd[[Batch ID]],$A192,tProd[[Measurement Type]],"Weighing")),"")))</f>
        <v/>
      </c>
    </row>
    <row r="193">
      <c r="A193" s="27">
        <f>IFERROR(INDEX(tBatches[[Batch ID]],189)&amp;"","")</f>
        <v/>
      </c>
      <c r="B193" s="36">
        <f>IF($A193="","",INDEX(tBatches[[Pen ID]],189)&amp;"")</f>
        <v/>
      </c>
      <c r="C193" s="36">
        <f>IF($A193="","",INDEX(tBatches[[Animal Type]],189)&amp;"")</f>
        <v/>
      </c>
      <c r="D193" s="31">
        <f>IF($A193="","",INDEX(tBatches[[Batch Start Date]],189))</f>
        <v/>
      </c>
      <c r="E193" s="36">
        <f>IF($A193="","",INDEX(tBatches[[Status]],189)&amp;"")</f>
        <v/>
      </c>
      <c r="F193" s="31">
        <f>IF($A193="","",IF(N(INDEX(tBatches[[Closing Date]],189))=0,"",INDEX(tBatches[[Closing Date]],189)))</f>
        <v/>
      </c>
      <c r="G193" s="39">
        <f>IF($A193="","",INDEX(tBatches[[Age (days)]],189))</f>
        <v/>
      </c>
      <c r="H193" s="39">
        <f>IF($A193="","",N(INDEX(tBatches[[Initial Quantity]],189)))</f>
        <v/>
      </c>
      <c r="I193" s="39">
        <f>IF($A193="","",INDEX(tBatches[[Transfers In / Added]],189))</f>
        <v/>
      </c>
      <c r="J193" s="39">
        <f>IF($A193="","",INDEX(tBatches[[Deaths]],189))</f>
        <v/>
      </c>
      <c r="K193" s="39">
        <f>IF($A193="","",INDEX(tBatches[[Heads Sold]],189))</f>
        <v/>
      </c>
      <c r="L193" s="39">
        <f>IF($A193="","",INDEX(tBatches[[Transfers Out]],189))</f>
        <v/>
      </c>
      <c r="M193" s="39">
        <f>IF($A193="","",INDEX(tBatches[[Current Quantity]],189))</f>
        <v/>
      </c>
      <c r="N193" s="40">
        <f>IF($A193="","",IFERROR(J193/(H193+I193),0))</f>
        <v/>
      </c>
      <c r="O193" s="28">
        <f>IF($A193="","",SUMIFS(tFeedIss[[Quantity Issued in kg]],tFeedIss[[Batch ID]],$A193))</f>
        <v/>
      </c>
      <c r="P193" s="29">
        <f>IF($A193="","",SUMIFS(tFeedIss[[Total Cost]],tFeedIss[[Batch ID]],$A193))</f>
        <v/>
      </c>
      <c r="Q193" s="29">
        <f>IF($A193="","",SUMIFS(tDrugUse[[Total Cost]],tDrugUse[[Batch ID]],$A193))</f>
        <v/>
      </c>
      <c r="R193" s="29">
        <f>IF($A193="","",SUMIFS(tExp[[Amount]],tExp[[Batch ID (if applicable)]],$A193))</f>
        <v/>
      </c>
      <c r="S193" s="41">
        <f>IF($A193="","",P193+Q193+R193)</f>
        <v/>
      </c>
      <c r="T193" s="41">
        <f>IF($A193="","",SUMIFS(tSales[[Total Revenue]],tSales[[Batch ID]],$A193))</f>
        <v/>
      </c>
      <c r="U193" s="41">
        <f>IF($A193="","",T193-S193)</f>
        <v/>
      </c>
      <c r="V193" s="29">
        <f>IF($A193="","",IFERROR(S193/(H193+I193),""))</f>
        <v/>
      </c>
      <c r="W193" s="29">
        <f>IF($A193="","",IF(K193=0,"",T193/K193))</f>
        <v/>
      </c>
      <c r="X193" s="42">
        <f>IF($A193="","",IFERROR(O193/(H193+I193),""))</f>
        <v/>
      </c>
      <c r="Y193" s="43">
        <f>IF($A193="","",IF(_xlfn.MAXIFS(tProd[[Date]],tProd[[Batch ID]],$A193,tProd[[Measurement Type]],"Weighing")=0,"",IFERROR(AVERAGEIFS(tProd[[Average Weight kg]],tProd[[Batch ID]],$A193,tProd[[Measurement Type]],"Weighing",tProd[[Date]],_xlfn.MAXIFS(tProd[[Date]],tProd[[Batch ID]],$A193,tProd[[Measurement Type]],"Weighing")),"")))</f>
        <v/>
      </c>
    </row>
    <row r="194">
      <c r="A194" s="27">
        <f>IFERROR(INDEX(tBatches[[Batch ID]],190)&amp;"","")</f>
        <v/>
      </c>
      <c r="B194" s="36">
        <f>IF($A194="","",INDEX(tBatches[[Pen ID]],190)&amp;"")</f>
        <v/>
      </c>
      <c r="C194" s="36">
        <f>IF($A194="","",INDEX(tBatches[[Animal Type]],190)&amp;"")</f>
        <v/>
      </c>
      <c r="D194" s="31">
        <f>IF($A194="","",INDEX(tBatches[[Batch Start Date]],190))</f>
        <v/>
      </c>
      <c r="E194" s="36">
        <f>IF($A194="","",INDEX(tBatches[[Status]],190)&amp;"")</f>
        <v/>
      </c>
      <c r="F194" s="31">
        <f>IF($A194="","",IF(N(INDEX(tBatches[[Closing Date]],190))=0,"",INDEX(tBatches[[Closing Date]],190)))</f>
        <v/>
      </c>
      <c r="G194" s="39">
        <f>IF($A194="","",INDEX(tBatches[[Age (days)]],190))</f>
        <v/>
      </c>
      <c r="H194" s="39">
        <f>IF($A194="","",N(INDEX(tBatches[[Initial Quantity]],190)))</f>
        <v/>
      </c>
      <c r="I194" s="39">
        <f>IF($A194="","",INDEX(tBatches[[Transfers In / Added]],190))</f>
        <v/>
      </c>
      <c r="J194" s="39">
        <f>IF($A194="","",INDEX(tBatches[[Deaths]],190))</f>
        <v/>
      </c>
      <c r="K194" s="39">
        <f>IF($A194="","",INDEX(tBatches[[Heads Sold]],190))</f>
        <v/>
      </c>
      <c r="L194" s="39">
        <f>IF($A194="","",INDEX(tBatches[[Transfers Out]],190))</f>
        <v/>
      </c>
      <c r="M194" s="39">
        <f>IF($A194="","",INDEX(tBatches[[Current Quantity]],190))</f>
        <v/>
      </c>
      <c r="N194" s="40">
        <f>IF($A194="","",IFERROR(J194/(H194+I194),0))</f>
        <v/>
      </c>
      <c r="O194" s="28">
        <f>IF($A194="","",SUMIFS(tFeedIss[[Quantity Issued in kg]],tFeedIss[[Batch ID]],$A194))</f>
        <v/>
      </c>
      <c r="P194" s="29">
        <f>IF($A194="","",SUMIFS(tFeedIss[[Total Cost]],tFeedIss[[Batch ID]],$A194))</f>
        <v/>
      </c>
      <c r="Q194" s="29">
        <f>IF($A194="","",SUMIFS(tDrugUse[[Total Cost]],tDrugUse[[Batch ID]],$A194))</f>
        <v/>
      </c>
      <c r="R194" s="29">
        <f>IF($A194="","",SUMIFS(tExp[[Amount]],tExp[[Batch ID (if applicable)]],$A194))</f>
        <v/>
      </c>
      <c r="S194" s="41">
        <f>IF($A194="","",P194+Q194+R194)</f>
        <v/>
      </c>
      <c r="T194" s="41">
        <f>IF($A194="","",SUMIFS(tSales[[Total Revenue]],tSales[[Batch ID]],$A194))</f>
        <v/>
      </c>
      <c r="U194" s="41">
        <f>IF($A194="","",T194-S194)</f>
        <v/>
      </c>
      <c r="V194" s="29">
        <f>IF($A194="","",IFERROR(S194/(H194+I194),""))</f>
        <v/>
      </c>
      <c r="W194" s="29">
        <f>IF($A194="","",IF(K194=0,"",T194/K194))</f>
        <v/>
      </c>
      <c r="X194" s="42">
        <f>IF($A194="","",IFERROR(O194/(H194+I194),""))</f>
        <v/>
      </c>
      <c r="Y194" s="43">
        <f>IF($A194="","",IF(_xlfn.MAXIFS(tProd[[Date]],tProd[[Batch ID]],$A194,tProd[[Measurement Type]],"Weighing")=0,"",IFERROR(AVERAGEIFS(tProd[[Average Weight kg]],tProd[[Batch ID]],$A194,tProd[[Measurement Type]],"Weighing",tProd[[Date]],_xlfn.MAXIFS(tProd[[Date]],tProd[[Batch ID]],$A194,tProd[[Measurement Type]],"Weighing")),"")))</f>
        <v/>
      </c>
    </row>
    <row r="195">
      <c r="A195" s="27">
        <f>IFERROR(INDEX(tBatches[[Batch ID]],191)&amp;"","")</f>
        <v/>
      </c>
      <c r="B195" s="36">
        <f>IF($A195="","",INDEX(tBatches[[Pen ID]],191)&amp;"")</f>
        <v/>
      </c>
      <c r="C195" s="36">
        <f>IF($A195="","",INDEX(tBatches[[Animal Type]],191)&amp;"")</f>
        <v/>
      </c>
      <c r="D195" s="31">
        <f>IF($A195="","",INDEX(tBatches[[Batch Start Date]],191))</f>
        <v/>
      </c>
      <c r="E195" s="36">
        <f>IF($A195="","",INDEX(tBatches[[Status]],191)&amp;"")</f>
        <v/>
      </c>
      <c r="F195" s="31">
        <f>IF($A195="","",IF(N(INDEX(tBatches[[Closing Date]],191))=0,"",INDEX(tBatches[[Closing Date]],191)))</f>
        <v/>
      </c>
      <c r="G195" s="39">
        <f>IF($A195="","",INDEX(tBatches[[Age (days)]],191))</f>
        <v/>
      </c>
      <c r="H195" s="39">
        <f>IF($A195="","",N(INDEX(tBatches[[Initial Quantity]],191)))</f>
        <v/>
      </c>
      <c r="I195" s="39">
        <f>IF($A195="","",INDEX(tBatches[[Transfers In / Added]],191))</f>
        <v/>
      </c>
      <c r="J195" s="39">
        <f>IF($A195="","",INDEX(tBatches[[Deaths]],191))</f>
        <v/>
      </c>
      <c r="K195" s="39">
        <f>IF($A195="","",INDEX(tBatches[[Heads Sold]],191))</f>
        <v/>
      </c>
      <c r="L195" s="39">
        <f>IF($A195="","",INDEX(tBatches[[Transfers Out]],191))</f>
        <v/>
      </c>
      <c r="M195" s="39">
        <f>IF($A195="","",INDEX(tBatches[[Current Quantity]],191))</f>
        <v/>
      </c>
      <c r="N195" s="40">
        <f>IF($A195="","",IFERROR(J195/(H195+I195),0))</f>
        <v/>
      </c>
      <c r="O195" s="28">
        <f>IF($A195="","",SUMIFS(tFeedIss[[Quantity Issued in kg]],tFeedIss[[Batch ID]],$A195))</f>
        <v/>
      </c>
      <c r="P195" s="29">
        <f>IF($A195="","",SUMIFS(tFeedIss[[Total Cost]],tFeedIss[[Batch ID]],$A195))</f>
        <v/>
      </c>
      <c r="Q195" s="29">
        <f>IF($A195="","",SUMIFS(tDrugUse[[Total Cost]],tDrugUse[[Batch ID]],$A195))</f>
        <v/>
      </c>
      <c r="R195" s="29">
        <f>IF($A195="","",SUMIFS(tExp[[Amount]],tExp[[Batch ID (if applicable)]],$A195))</f>
        <v/>
      </c>
      <c r="S195" s="41">
        <f>IF($A195="","",P195+Q195+R195)</f>
        <v/>
      </c>
      <c r="T195" s="41">
        <f>IF($A195="","",SUMIFS(tSales[[Total Revenue]],tSales[[Batch ID]],$A195))</f>
        <v/>
      </c>
      <c r="U195" s="41">
        <f>IF($A195="","",T195-S195)</f>
        <v/>
      </c>
      <c r="V195" s="29">
        <f>IF($A195="","",IFERROR(S195/(H195+I195),""))</f>
        <v/>
      </c>
      <c r="W195" s="29">
        <f>IF($A195="","",IF(K195=0,"",T195/K195))</f>
        <v/>
      </c>
      <c r="X195" s="42">
        <f>IF($A195="","",IFERROR(O195/(H195+I195),""))</f>
        <v/>
      </c>
      <c r="Y195" s="43">
        <f>IF($A195="","",IF(_xlfn.MAXIFS(tProd[[Date]],tProd[[Batch ID]],$A195,tProd[[Measurement Type]],"Weighing")=0,"",IFERROR(AVERAGEIFS(tProd[[Average Weight kg]],tProd[[Batch ID]],$A195,tProd[[Measurement Type]],"Weighing",tProd[[Date]],_xlfn.MAXIFS(tProd[[Date]],tProd[[Batch ID]],$A195,tProd[[Measurement Type]],"Weighing")),"")))</f>
        <v/>
      </c>
    </row>
    <row r="196">
      <c r="A196" s="27">
        <f>IFERROR(INDEX(tBatches[[Batch ID]],192)&amp;"","")</f>
        <v/>
      </c>
      <c r="B196" s="36">
        <f>IF($A196="","",INDEX(tBatches[[Pen ID]],192)&amp;"")</f>
        <v/>
      </c>
      <c r="C196" s="36">
        <f>IF($A196="","",INDEX(tBatches[[Animal Type]],192)&amp;"")</f>
        <v/>
      </c>
      <c r="D196" s="31">
        <f>IF($A196="","",INDEX(tBatches[[Batch Start Date]],192))</f>
        <v/>
      </c>
      <c r="E196" s="36">
        <f>IF($A196="","",INDEX(tBatches[[Status]],192)&amp;"")</f>
        <v/>
      </c>
      <c r="F196" s="31">
        <f>IF($A196="","",IF(N(INDEX(tBatches[[Closing Date]],192))=0,"",INDEX(tBatches[[Closing Date]],192)))</f>
        <v/>
      </c>
      <c r="G196" s="39">
        <f>IF($A196="","",INDEX(tBatches[[Age (days)]],192))</f>
        <v/>
      </c>
      <c r="H196" s="39">
        <f>IF($A196="","",N(INDEX(tBatches[[Initial Quantity]],192)))</f>
        <v/>
      </c>
      <c r="I196" s="39">
        <f>IF($A196="","",INDEX(tBatches[[Transfers In / Added]],192))</f>
        <v/>
      </c>
      <c r="J196" s="39">
        <f>IF($A196="","",INDEX(tBatches[[Deaths]],192))</f>
        <v/>
      </c>
      <c r="K196" s="39">
        <f>IF($A196="","",INDEX(tBatches[[Heads Sold]],192))</f>
        <v/>
      </c>
      <c r="L196" s="39">
        <f>IF($A196="","",INDEX(tBatches[[Transfers Out]],192))</f>
        <v/>
      </c>
      <c r="M196" s="39">
        <f>IF($A196="","",INDEX(tBatches[[Current Quantity]],192))</f>
        <v/>
      </c>
      <c r="N196" s="40">
        <f>IF($A196="","",IFERROR(J196/(H196+I196),0))</f>
        <v/>
      </c>
      <c r="O196" s="28">
        <f>IF($A196="","",SUMIFS(tFeedIss[[Quantity Issued in kg]],tFeedIss[[Batch ID]],$A196))</f>
        <v/>
      </c>
      <c r="P196" s="29">
        <f>IF($A196="","",SUMIFS(tFeedIss[[Total Cost]],tFeedIss[[Batch ID]],$A196))</f>
        <v/>
      </c>
      <c r="Q196" s="29">
        <f>IF($A196="","",SUMIFS(tDrugUse[[Total Cost]],tDrugUse[[Batch ID]],$A196))</f>
        <v/>
      </c>
      <c r="R196" s="29">
        <f>IF($A196="","",SUMIFS(tExp[[Amount]],tExp[[Batch ID (if applicable)]],$A196))</f>
        <v/>
      </c>
      <c r="S196" s="41">
        <f>IF($A196="","",P196+Q196+R196)</f>
        <v/>
      </c>
      <c r="T196" s="41">
        <f>IF($A196="","",SUMIFS(tSales[[Total Revenue]],tSales[[Batch ID]],$A196))</f>
        <v/>
      </c>
      <c r="U196" s="41">
        <f>IF($A196="","",T196-S196)</f>
        <v/>
      </c>
      <c r="V196" s="29">
        <f>IF($A196="","",IFERROR(S196/(H196+I196),""))</f>
        <v/>
      </c>
      <c r="W196" s="29">
        <f>IF($A196="","",IF(K196=0,"",T196/K196))</f>
        <v/>
      </c>
      <c r="X196" s="42">
        <f>IF($A196="","",IFERROR(O196/(H196+I196),""))</f>
        <v/>
      </c>
      <c r="Y196" s="43">
        <f>IF($A196="","",IF(_xlfn.MAXIFS(tProd[[Date]],tProd[[Batch ID]],$A196,tProd[[Measurement Type]],"Weighing")=0,"",IFERROR(AVERAGEIFS(tProd[[Average Weight kg]],tProd[[Batch ID]],$A196,tProd[[Measurement Type]],"Weighing",tProd[[Date]],_xlfn.MAXIFS(tProd[[Date]],tProd[[Batch ID]],$A196,tProd[[Measurement Type]],"Weighing")),"")))</f>
        <v/>
      </c>
    </row>
    <row r="197">
      <c r="A197" s="27">
        <f>IFERROR(INDEX(tBatches[[Batch ID]],193)&amp;"","")</f>
        <v/>
      </c>
      <c r="B197" s="36">
        <f>IF($A197="","",INDEX(tBatches[[Pen ID]],193)&amp;"")</f>
        <v/>
      </c>
      <c r="C197" s="36">
        <f>IF($A197="","",INDEX(tBatches[[Animal Type]],193)&amp;"")</f>
        <v/>
      </c>
      <c r="D197" s="31">
        <f>IF($A197="","",INDEX(tBatches[[Batch Start Date]],193))</f>
        <v/>
      </c>
      <c r="E197" s="36">
        <f>IF($A197="","",INDEX(tBatches[[Status]],193)&amp;"")</f>
        <v/>
      </c>
      <c r="F197" s="31">
        <f>IF($A197="","",IF(N(INDEX(tBatches[[Closing Date]],193))=0,"",INDEX(tBatches[[Closing Date]],193)))</f>
        <v/>
      </c>
      <c r="G197" s="39">
        <f>IF($A197="","",INDEX(tBatches[[Age (days)]],193))</f>
        <v/>
      </c>
      <c r="H197" s="39">
        <f>IF($A197="","",N(INDEX(tBatches[[Initial Quantity]],193)))</f>
        <v/>
      </c>
      <c r="I197" s="39">
        <f>IF($A197="","",INDEX(tBatches[[Transfers In / Added]],193))</f>
        <v/>
      </c>
      <c r="J197" s="39">
        <f>IF($A197="","",INDEX(tBatches[[Deaths]],193))</f>
        <v/>
      </c>
      <c r="K197" s="39">
        <f>IF($A197="","",INDEX(tBatches[[Heads Sold]],193))</f>
        <v/>
      </c>
      <c r="L197" s="39">
        <f>IF($A197="","",INDEX(tBatches[[Transfers Out]],193))</f>
        <v/>
      </c>
      <c r="M197" s="39">
        <f>IF($A197="","",INDEX(tBatches[[Current Quantity]],193))</f>
        <v/>
      </c>
      <c r="N197" s="40">
        <f>IF($A197="","",IFERROR(J197/(H197+I197),0))</f>
        <v/>
      </c>
      <c r="O197" s="28">
        <f>IF($A197="","",SUMIFS(tFeedIss[[Quantity Issued in kg]],tFeedIss[[Batch ID]],$A197))</f>
        <v/>
      </c>
      <c r="P197" s="29">
        <f>IF($A197="","",SUMIFS(tFeedIss[[Total Cost]],tFeedIss[[Batch ID]],$A197))</f>
        <v/>
      </c>
      <c r="Q197" s="29">
        <f>IF($A197="","",SUMIFS(tDrugUse[[Total Cost]],tDrugUse[[Batch ID]],$A197))</f>
        <v/>
      </c>
      <c r="R197" s="29">
        <f>IF($A197="","",SUMIFS(tExp[[Amount]],tExp[[Batch ID (if applicable)]],$A197))</f>
        <v/>
      </c>
      <c r="S197" s="41">
        <f>IF($A197="","",P197+Q197+R197)</f>
        <v/>
      </c>
      <c r="T197" s="41">
        <f>IF($A197="","",SUMIFS(tSales[[Total Revenue]],tSales[[Batch ID]],$A197))</f>
        <v/>
      </c>
      <c r="U197" s="41">
        <f>IF($A197="","",T197-S197)</f>
        <v/>
      </c>
      <c r="V197" s="29">
        <f>IF($A197="","",IFERROR(S197/(H197+I197),""))</f>
        <v/>
      </c>
      <c r="W197" s="29">
        <f>IF($A197="","",IF(K197=0,"",T197/K197))</f>
        <v/>
      </c>
      <c r="X197" s="42">
        <f>IF($A197="","",IFERROR(O197/(H197+I197),""))</f>
        <v/>
      </c>
      <c r="Y197" s="43">
        <f>IF($A197="","",IF(_xlfn.MAXIFS(tProd[[Date]],tProd[[Batch ID]],$A197,tProd[[Measurement Type]],"Weighing")=0,"",IFERROR(AVERAGEIFS(tProd[[Average Weight kg]],tProd[[Batch ID]],$A197,tProd[[Measurement Type]],"Weighing",tProd[[Date]],_xlfn.MAXIFS(tProd[[Date]],tProd[[Batch ID]],$A197,tProd[[Measurement Type]],"Weighing")),"")))</f>
        <v/>
      </c>
    </row>
    <row r="198">
      <c r="A198" s="27">
        <f>IFERROR(INDEX(tBatches[[Batch ID]],194)&amp;"","")</f>
        <v/>
      </c>
      <c r="B198" s="36">
        <f>IF($A198="","",INDEX(tBatches[[Pen ID]],194)&amp;"")</f>
        <v/>
      </c>
      <c r="C198" s="36">
        <f>IF($A198="","",INDEX(tBatches[[Animal Type]],194)&amp;"")</f>
        <v/>
      </c>
      <c r="D198" s="31">
        <f>IF($A198="","",INDEX(tBatches[[Batch Start Date]],194))</f>
        <v/>
      </c>
      <c r="E198" s="36">
        <f>IF($A198="","",INDEX(tBatches[[Status]],194)&amp;"")</f>
        <v/>
      </c>
      <c r="F198" s="31">
        <f>IF($A198="","",IF(N(INDEX(tBatches[[Closing Date]],194))=0,"",INDEX(tBatches[[Closing Date]],194)))</f>
        <v/>
      </c>
      <c r="G198" s="39">
        <f>IF($A198="","",INDEX(tBatches[[Age (days)]],194))</f>
        <v/>
      </c>
      <c r="H198" s="39">
        <f>IF($A198="","",N(INDEX(tBatches[[Initial Quantity]],194)))</f>
        <v/>
      </c>
      <c r="I198" s="39">
        <f>IF($A198="","",INDEX(tBatches[[Transfers In / Added]],194))</f>
        <v/>
      </c>
      <c r="J198" s="39">
        <f>IF($A198="","",INDEX(tBatches[[Deaths]],194))</f>
        <v/>
      </c>
      <c r="K198" s="39">
        <f>IF($A198="","",INDEX(tBatches[[Heads Sold]],194))</f>
        <v/>
      </c>
      <c r="L198" s="39">
        <f>IF($A198="","",INDEX(tBatches[[Transfers Out]],194))</f>
        <v/>
      </c>
      <c r="M198" s="39">
        <f>IF($A198="","",INDEX(tBatches[[Current Quantity]],194))</f>
        <v/>
      </c>
      <c r="N198" s="40">
        <f>IF($A198="","",IFERROR(J198/(H198+I198),0))</f>
        <v/>
      </c>
      <c r="O198" s="28">
        <f>IF($A198="","",SUMIFS(tFeedIss[[Quantity Issued in kg]],tFeedIss[[Batch ID]],$A198))</f>
        <v/>
      </c>
      <c r="P198" s="29">
        <f>IF($A198="","",SUMIFS(tFeedIss[[Total Cost]],tFeedIss[[Batch ID]],$A198))</f>
        <v/>
      </c>
      <c r="Q198" s="29">
        <f>IF($A198="","",SUMIFS(tDrugUse[[Total Cost]],tDrugUse[[Batch ID]],$A198))</f>
        <v/>
      </c>
      <c r="R198" s="29">
        <f>IF($A198="","",SUMIFS(tExp[[Amount]],tExp[[Batch ID (if applicable)]],$A198))</f>
        <v/>
      </c>
      <c r="S198" s="41">
        <f>IF($A198="","",P198+Q198+R198)</f>
        <v/>
      </c>
      <c r="T198" s="41">
        <f>IF($A198="","",SUMIFS(tSales[[Total Revenue]],tSales[[Batch ID]],$A198))</f>
        <v/>
      </c>
      <c r="U198" s="41">
        <f>IF($A198="","",T198-S198)</f>
        <v/>
      </c>
      <c r="V198" s="29">
        <f>IF($A198="","",IFERROR(S198/(H198+I198),""))</f>
        <v/>
      </c>
      <c r="W198" s="29">
        <f>IF($A198="","",IF(K198=0,"",T198/K198))</f>
        <v/>
      </c>
      <c r="X198" s="42">
        <f>IF($A198="","",IFERROR(O198/(H198+I198),""))</f>
        <v/>
      </c>
      <c r="Y198" s="43">
        <f>IF($A198="","",IF(_xlfn.MAXIFS(tProd[[Date]],tProd[[Batch ID]],$A198,tProd[[Measurement Type]],"Weighing")=0,"",IFERROR(AVERAGEIFS(tProd[[Average Weight kg]],tProd[[Batch ID]],$A198,tProd[[Measurement Type]],"Weighing",tProd[[Date]],_xlfn.MAXIFS(tProd[[Date]],tProd[[Batch ID]],$A198,tProd[[Measurement Type]],"Weighing")),"")))</f>
        <v/>
      </c>
    </row>
    <row r="199">
      <c r="A199" s="27">
        <f>IFERROR(INDEX(tBatches[[Batch ID]],195)&amp;"","")</f>
        <v/>
      </c>
      <c r="B199" s="36">
        <f>IF($A199="","",INDEX(tBatches[[Pen ID]],195)&amp;"")</f>
        <v/>
      </c>
      <c r="C199" s="36">
        <f>IF($A199="","",INDEX(tBatches[[Animal Type]],195)&amp;"")</f>
        <v/>
      </c>
      <c r="D199" s="31">
        <f>IF($A199="","",INDEX(tBatches[[Batch Start Date]],195))</f>
        <v/>
      </c>
      <c r="E199" s="36">
        <f>IF($A199="","",INDEX(tBatches[[Status]],195)&amp;"")</f>
        <v/>
      </c>
      <c r="F199" s="31">
        <f>IF($A199="","",IF(N(INDEX(tBatches[[Closing Date]],195))=0,"",INDEX(tBatches[[Closing Date]],195)))</f>
        <v/>
      </c>
      <c r="G199" s="39">
        <f>IF($A199="","",INDEX(tBatches[[Age (days)]],195))</f>
        <v/>
      </c>
      <c r="H199" s="39">
        <f>IF($A199="","",N(INDEX(tBatches[[Initial Quantity]],195)))</f>
        <v/>
      </c>
      <c r="I199" s="39">
        <f>IF($A199="","",INDEX(tBatches[[Transfers In / Added]],195))</f>
        <v/>
      </c>
      <c r="J199" s="39">
        <f>IF($A199="","",INDEX(tBatches[[Deaths]],195))</f>
        <v/>
      </c>
      <c r="K199" s="39">
        <f>IF($A199="","",INDEX(tBatches[[Heads Sold]],195))</f>
        <v/>
      </c>
      <c r="L199" s="39">
        <f>IF($A199="","",INDEX(tBatches[[Transfers Out]],195))</f>
        <v/>
      </c>
      <c r="M199" s="39">
        <f>IF($A199="","",INDEX(tBatches[[Current Quantity]],195))</f>
        <v/>
      </c>
      <c r="N199" s="40">
        <f>IF($A199="","",IFERROR(J199/(H199+I199),0))</f>
        <v/>
      </c>
      <c r="O199" s="28">
        <f>IF($A199="","",SUMIFS(tFeedIss[[Quantity Issued in kg]],tFeedIss[[Batch ID]],$A199))</f>
        <v/>
      </c>
      <c r="P199" s="29">
        <f>IF($A199="","",SUMIFS(tFeedIss[[Total Cost]],tFeedIss[[Batch ID]],$A199))</f>
        <v/>
      </c>
      <c r="Q199" s="29">
        <f>IF($A199="","",SUMIFS(tDrugUse[[Total Cost]],tDrugUse[[Batch ID]],$A199))</f>
        <v/>
      </c>
      <c r="R199" s="29">
        <f>IF($A199="","",SUMIFS(tExp[[Amount]],tExp[[Batch ID (if applicable)]],$A199))</f>
        <v/>
      </c>
      <c r="S199" s="41">
        <f>IF($A199="","",P199+Q199+R199)</f>
        <v/>
      </c>
      <c r="T199" s="41">
        <f>IF($A199="","",SUMIFS(tSales[[Total Revenue]],tSales[[Batch ID]],$A199))</f>
        <v/>
      </c>
      <c r="U199" s="41">
        <f>IF($A199="","",T199-S199)</f>
        <v/>
      </c>
      <c r="V199" s="29">
        <f>IF($A199="","",IFERROR(S199/(H199+I199),""))</f>
        <v/>
      </c>
      <c r="W199" s="29">
        <f>IF($A199="","",IF(K199=0,"",T199/K199))</f>
        <v/>
      </c>
      <c r="X199" s="42">
        <f>IF($A199="","",IFERROR(O199/(H199+I199),""))</f>
        <v/>
      </c>
      <c r="Y199" s="43">
        <f>IF($A199="","",IF(_xlfn.MAXIFS(tProd[[Date]],tProd[[Batch ID]],$A199,tProd[[Measurement Type]],"Weighing")=0,"",IFERROR(AVERAGEIFS(tProd[[Average Weight kg]],tProd[[Batch ID]],$A199,tProd[[Measurement Type]],"Weighing",tProd[[Date]],_xlfn.MAXIFS(tProd[[Date]],tProd[[Batch ID]],$A199,tProd[[Measurement Type]],"Weighing")),"")))</f>
        <v/>
      </c>
    </row>
    <row r="200">
      <c r="A200" s="27">
        <f>IFERROR(INDEX(tBatches[[Batch ID]],196)&amp;"","")</f>
        <v/>
      </c>
      <c r="B200" s="36">
        <f>IF($A200="","",INDEX(tBatches[[Pen ID]],196)&amp;"")</f>
        <v/>
      </c>
      <c r="C200" s="36">
        <f>IF($A200="","",INDEX(tBatches[[Animal Type]],196)&amp;"")</f>
        <v/>
      </c>
      <c r="D200" s="31">
        <f>IF($A200="","",INDEX(tBatches[[Batch Start Date]],196))</f>
        <v/>
      </c>
      <c r="E200" s="36">
        <f>IF($A200="","",INDEX(tBatches[[Status]],196)&amp;"")</f>
        <v/>
      </c>
      <c r="F200" s="31">
        <f>IF($A200="","",IF(N(INDEX(tBatches[[Closing Date]],196))=0,"",INDEX(tBatches[[Closing Date]],196)))</f>
        <v/>
      </c>
      <c r="G200" s="39">
        <f>IF($A200="","",INDEX(tBatches[[Age (days)]],196))</f>
        <v/>
      </c>
      <c r="H200" s="39">
        <f>IF($A200="","",N(INDEX(tBatches[[Initial Quantity]],196)))</f>
        <v/>
      </c>
      <c r="I200" s="39">
        <f>IF($A200="","",INDEX(tBatches[[Transfers In / Added]],196))</f>
        <v/>
      </c>
      <c r="J200" s="39">
        <f>IF($A200="","",INDEX(tBatches[[Deaths]],196))</f>
        <v/>
      </c>
      <c r="K200" s="39">
        <f>IF($A200="","",INDEX(tBatches[[Heads Sold]],196))</f>
        <v/>
      </c>
      <c r="L200" s="39">
        <f>IF($A200="","",INDEX(tBatches[[Transfers Out]],196))</f>
        <v/>
      </c>
      <c r="M200" s="39">
        <f>IF($A200="","",INDEX(tBatches[[Current Quantity]],196))</f>
        <v/>
      </c>
      <c r="N200" s="40">
        <f>IF($A200="","",IFERROR(J200/(H200+I200),0))</f>
        <v/>
      </c>
      <c r="O200" s="28">
        <f>IF($A200="","",SUMIFS(tFeedIss[[Quantity Issued in kg]],tFeedIss[[Batch ID]],$A200))</f>
        <v/>
      </c>
      <c r="P200" s="29">
        <f>IF($A200="","",SUMIFS(tFeedIss[[Total Cost]],tFeedIss[[Batch ID]],$A200))</f>
        <v/>
      </c>
      <c r="Q200" s="29">
        <f>IF($A200="","",SUMIFS(tDrugUse[[Total Cost]],tDrugUse[[Batch ID]],$A200))</f>
        <v/>
      </c>
      <c r="R200" s="29">
        <f>IF($A200="","",SUMIFS(tExp[[Amount]],tExp[[Batch ID (if applicable)]],$A200))</f>
        <v/>
      </c>
      <c r="S200" s="41">
        <f>IF($A200="","",P200+Q200+R200)</f>
        <v/>
      </c>
      <c r="T200" s="41">
        <f>IF($A200="","",SUMIFS(tSales[[Total Revenue]],tSales[[Batch ID]],$A200))</f>
        <v/>
      </c>
      <c r="U200" s="41">
        <f>IF($A200="","",T200-S200)</f>
        <v/>
      </c>
      <c r="V200" s="29">
        <f>IF($A200="","",IFERROR(S200/(H200+I200),""))</f>
        <v/>
      </c>
      <c r="W200" s="29">
        <f>IF($A200="","",IF(K200=0,"",T200/K200))</f>
        <v/>
      </c>
      <c r="X200" s="42">
        <f>IF($A200="","",IFERROR(O200/(H200+I200),""))</f>
        <v/>
      </c>
      <c r="Y200" s="43">
        <f>IF($A200="","",IF(_xlfn.MAXIFS(tProd[[Date]],tProd[[Batch ID]],$A200,tProd[[Measurement Type]],"Weighing")=0,"",IFERROR(AVERAGEIFS(tProd[[Average Weight kg]],tProd[[Batch ID]],$A200,tProd[[Measurement Type]],"Weighing",tProd[[Date]],_xlfn.MAXIFS(tProd[[Date]],tProd[[Batch ID]],$A200,tProd[[Measurement Type]],"Weighing")),"")))</f>
        <v/>
      </c>
    </row>
    <row r="201">
      <c r="A201" s="27">
        <f>IFERROR(INDEX(tBatches[[Batch ID]],197)&amp;"","")</f>
        <v/>
      </c>
      <c r="B201" s="36">
        <f>IF($A201="","",INDEX(tBatches[[Pen ID]],197)&amp;"")</f>
        <v/>
      </c>
      <c r="C201" s="36">
        <f>IF($A201="","",INDEX(tBatches[[Animal Type]],197)&amp;"")</f>
        <v/>
      </c>
      <c r="D201" s="31">
        <f>IF($A201="","",INDEX(tBatches[[Batch Start Date]],197))</f>
        <v/>
      </c>
      <c r="E201" s="36">
        <f>IF($A201="","",INDEX(tBatches[[Status]],197)&amp;"")</f>
        <v/>
      </c>
      <c r="F201" s="31">
        <f>IF($A201="","",IF(N(INDEX(tBatches[[Closing Date]],197))=0,"",INDEX(tBatches[[Closing Date]],197)))</f>
        <v/>
      </c>
      <c r="G201" s="39">
        <f>IF($A201="","",INDEX(tBatches[[Age (days)]],197))</f>
        <v/>
      </c>
      <c r="H201" s="39">
        <f>IF($A201="","",N(INDEX(tBatches[[Initial Quantity]],197)))</f>
        <v/>
      </c>
      <c r="I201" s="39">
        <f>IF($A201="","",INDEX(tBatches[[Transfers In / Added]],197))</f>
        <v/>
      </c>
      <c r="J201" s="39">
        <f>IF($A201="","",INDEX(tBatches[[Deaths]],197))</f>
        <v/>
      </c>
      <c r="K201" s="39">
        <f>IF($A201="","",INDEX(tBatches[[Heads Sold]],197))</f>
        <v/>
      </c>
      <c r="L201" s="39">
        <f>IF($A201="","",INDEX(tBatches[[Transfers Out]],197))</f>
        <v/>
      </c>
      <c r="M201" s="39">
        <f>IF($A201="","",INDEX(tBatches[[Current Quantity]],197))</f>
        <v/>
      </c>
      <c r="N201" s="40">
        <f>IF($A201="","",IFERROR(J201/(H201+I201),0))</f>
        <v/>
      </c>
      <c r="O201" s="28">
        <f>IF($A201="","",SUMIFS(tFeedIss[[Quantity Issued in kg]],tFeedIss[[Batch ID]],$A201))</f>
        <v/>
      </c>
      <c r="P201" s="29">
        <f>IF($A201="","",SUMIFS(tFeedIss[[Total Cost]],tFeedIss[[Batch ID]],$A201))</f>
        <v/>
      </c>
      <c r="Q201" s="29">
        <f>IF($A201="","",SUMIFS(tDrugUse[[Total Cost]],tDrugUse[[Batch ID]],$A201))</f>
        <v/>
      </c>
      <c r="R201" s="29">
        <f>IF($A201="","",SUMIFS(tExp[[Amount]],tExp[[Batch ID (if applicable)]],$A201))</f>
        <v/>
      </c>
      <c r="S201" s="41">
        <f>IF($A201="","",P201+Q201+R201)</f>
        <v/>
      </c>
      <c r="T201" s="41">
        <f>IF($A201="","",SUMIFS(tSales[[Total Revenue]],tSales[[Batch ID]],$A201))</f>
        <v/>
      </c>
      <c r="U201" s="41">
        <f>IF($A201="","",T201-S201)</f>
        <v/>
      </c>
      <c r="V201" s="29">
        <f>IF($A201="","",IFERROR(S201/(H201+I201),""))</f>
        <v/>
      </c>
      <c r="W201" s="29">
        <f>IF($A201="","",IF(K201=0,"",T201/K201))</f>
        <v/>
      </c>
      <c r="X201" s="42">
        <f>IF($A201="","",IFERROR(O201/(H201+I201),""))</f>
        <v/>
      </c>
      <c r="Y201" s="43">
        <f>IF($A201="","",IF(_xlfn.MAXIFS(tProd[[Date]],tProd[[Batch ID]],$A201,tProd[[Measurement Type]],"Weighing")=0,"",IFERROR(AVERAGEIFS(tProd[[Average Weight kg]],tProd[[Batch ID]],$A201,tProd[[Measurement Type]],"Weighing",tProd[[Date]],_xlfn.MAXIFS(tProd[[Date]],tProd[[Batch ID]],$A201,tProd[[Measurement Type]],"Weighing")),"")))</f>
        <v/>
      </c>
    </row>
    <row r="202">
      <c r="A202" s="27">
        <f>IFERROR(INDEX(tBatches[[Batch ID]],198)&amp;"","")</f>
        <v/>
      </c>
      <c r="B202" s="36">
        <f>IF($A202="","",INDEX(tBatches[[Pen ID]],198)&amp;"")</f>
        <v/>
      </c>
      <c r="C202" s="36">
        <f>IF($A202="","",INDEX(tBatches[[Animal Type]],198)&amp;"")</f>
        <v/>
      </c>
      <c r="D202" s="31">
        <f>IF($A202="","",INDEX(tBatches[[Batch Start Date]],198))</f>
        <v/>
      </c>
      <c r="E202" s="36">
        <f>IF($A202="","",INDEX(tBatches[[Status]],198)&amp;"")</f>
        <v/>
      </c>
      <c r="F202" s="31">
        <f>IF($A202="","",IF(N(INDEX(tBatches[[Closing Date]],198))=0,"",INDEX(tBatches[[Closing Date]],198)))</f>
        <v/>
      </c>
      <c r="G202" s="39">
        <f>IF($A202="","",INDEX(tBatches[[Age (days)]],198))</f>
        <v/>
      </c>
      <c r="H202" s="39">
        <f>IF($A202="","",N(INDEX(tBatches[[Initial Quantity]],198)))</f>
        <v/>
      </c>
      <c r="I202" s="39">
        <f>IF($A202="","",INDEX(tBatches[[Transfers In / Added]],198))</f>
        <v/>
      </c>
      <c r="J202" s="39">
        <f>IF($A202="","",INDEX(tBatches[[Deaths]],198))</f>
        <v/>
      </c>
      <c r="K202" s="39">
        <f>IF($A202="","",INDEX(tBatches[[Heads Sold]],198))</f>
        <v/>
      </c>
      <c r="L202" s="39">
        <f>IF($A202="","",INDEX(tBatches[[Transfers Out]],198))</f>
        <v/>
      </c>
      <c r="M202" s="39">
        <f>IF($A202="","",INDEX(tBatches[[Current Quantity]],198))</f>
        <v/>
      </c>
      <c r="N202" s="40">
        <f>IF($A202="","",IFERROR(J202/(H202+I202),0))</f>
        <v/>
      </c>
      <c r="O202" s="28">
        <f>IF($A202="","",SUMIFS(tFeedIss[[Quantity Issued in kg]],tFeedIss[[Batch ID]],$A202))</f>
        <v/>
      </c>
      <c r="P202" s="29">
        <f>IF($A202="","",SUMIFS(tFeedIss[[Total Cost]],tFeedIss[[Batch ID]],$A202))</f>
        <v/>
      </c>
      <c r="Q202" s="29">
        <f>IF($A202="","",SUMIFS(tDrugUse[[Total Cost]],tDrugUse[[Batch ID]],$A202))</f>
        <v/>
      </c>
      <c r="R202" s="29">
        <f>IF($A202="","",SUMIFS(tExp[[Amount]],tExp[[Batch ID (if applicable)]],$A202))</f>
        <v/>
      </c>
      <c r="S202" s="41">
        <f>IF($A202="","",P202+Q202+R202)</f>
        <v/>
      </c>
      <c r="T202" s="41">
        <f>IF($A202="","",SUMIFS(tSales[[Total Revenue]],tSales[[Batch ID]],$A202))</f>
        <v/>
      </c>
      <c r="U202" s="41">
        <f>IF($A202="","",T202-S202)</f>
        <v/>
      </c>
      <c r="V202" s="29">
        <f>IF($A202="","",IFERROR(S202/(H202+I202),""))</f>
        <v/>
      </c>
      <c r="W202" s="29">
        <f>IF($A202="","",IF(K202=0,"",T202/K202))</f>
        <v/>
      </c>
      <c r="X202" s="42">
        <f>IF($A202="","",IFERROR(O202/(H202+I202),""))</f>
        <v/>
      </c>
      <c r="Y202" s="43">
        <f>IF($A202="","",IF(_xlfn.MAXIFS(tProd[[Date]],tProd[[Batch ID]],$A202,tProd[[Measurement Type]],"Weighing")=0,"",IFERROR(AVERAGEIFS(tProd[[Average Weight kg]],tProd[[Batch ID]],$A202,tProd[[Measurement Type]],"Weighing",tProd[[Date]],_xlfn.MAXIFS(tProd[[Date]],tProd[[Batch ID]],$A202,tProd[[Measurement Type]],"Weighing")),"")))</f>
        <v/>
      </c>
    </row>
    <row r="203">
      <c r="A203" s="27">
        <f>IFERROR(INDEX(tBatches[[Batch ID]],199)&amp;"","")</f>
        <v/>
      </c>
      <c r="B203" s="36">
        <f>IF($A203="","",INDEX(tBatches[[Pen ID]],199)&amp;"")</f>
        <v/>
      </c>
      <c r="C203" s="36">
        <f>IF($A203="","",INDEX(tBatches[[Animal Type]],199)&amp;"")</f>
        <v/>
      </c>
      <c r="D203" s="31">
        <f>IF($A203="","",INDEX(tBatches[[Batch Start Date]],199))</f>
        <v/>
      </c>
      <c r="E203" s="36">
        <f>IF($A203="","",INDEX(tBatches[[Status]],199)&amp;"")</f>
        <v/>
      </c>
      <c r="F203" s="31">
        <f>IF($A203="","",IF(N(INDEX(tBatches[[Closing Date]],199))=0,"",INDEX(tBatches[[Closing Date]],199)))</f>
        <v/>
      </c>
      <c r="G203" s="39">
        <f>IF($A203="","",INDEX(tBatches[[Age (days)]],199))</f>
        <v/>
      </c>
      <c r="H203" s="39">
        <f>IF($A203="","",N(INDEX(tBatches[[Initial Quantity]],199)))</f>
        <v/>
      </c>
      <c r="I203" s="39">
        <f>IF($A203="","",INDEX(tBatches[[Transfers In / Added]],199))</f>
        <v/>
      </c>
      <c r="J203" s="39">
        <f>IF($A203="","",INDEX(tBatches[[Deaths]],199))</f>
        <v/>
      </c>
      <c r="K203" s="39">
        <f>IF($A203="","",INDEX(tBatches[[Heads Sold]],199))</f>
        <v/>
      </c>
      <c r="L203" s="39">
        <f>IF($A203="","",INDEX(tBatches[[Transfers Out]],199))</f>
        <v/>
      </c>
      <c r="M203" s="39">
        <f>IF($A203="","",INDEX(tBatches[[Current Quantity]],199))</f>
        <v/>
      </c>
      <c r="N203" s="40">
        <f>IF($A203="","",IFERROR(J203/(H203+I203),0))</f>
        <v/>
      </c>
      <c r="O203" s="28">
        <f>IF($A203="","",SUMIFS(tFeedIss[[Quantity Issued in kg]],tFeedIss[[Batch ID]],$A203))</f>
        <v/>
      </c>
      <c r="P203" s="29">
        <f>IF($A203="","",SUMIFS(tFeedIss[[Total Cost]],tFeedIss[[Batch ID]],$A203))</f>
        <v/>
      </c>
      <c r="Q203" s="29">
        <f>IF($A203="","",SUMIFS(tDrugUse[[Total Cost]],tDrugUse[[Batch ID]],$A203))</f>
        <v/>
      </c>
      <c r="R203" s="29">
        <f>IF($A203="","",SUMIFS(tExp[[Amount]],tExp[[Batch ID (if applicable)]],$A203))</f>
        <v/>
      </c>
      <c r="S203" s="41">
        <f>IF($A203="","",P203+Q203+R203)</f>
        <v/>
      </c>
      <c r="T203" s="41">
        <f>IF($A203="","",SUMIFS(tSales[[Total Revenue]],tSales[[Batch ID]],$A203))</f>
        <v/>
      </c>
      <c r="U203" s="41">
        <f>IF($A203="","",T203-S203)</f>
        <v/>
      </c>
      <c r="V203" s="29">
        <f>IF($A203="","",IFERROR(S203/(H203+I203),""))</f>
        <v/>
      </c>
      <c r="W203" s="29">
        <f>IF($A203="","",IF(K203=0,"",T203/K203))</f>
        <v/>
      </c>
      <c r="X203" s="42">
        <f>IF($A203="","",IFERROR(O203/(H203+I203),""))</f>
        <v/>
      </c>
      <c r="Y203" s="43">
        <f>IF($A203="","",IF(_xlfn.MAXIFS(tProd[[Date]],tProd[[Batch ID]],$A203,tProd[[Measurement Type]],"Weighing")=0,"",IFERROR(AVERAGEIFS(tProd[[Average Weight kg]],tProd[[Batch ID]],$A203,tProd[[Measurement Type]],"Weighing",tProd[[Date]],_xlfn.MAXIFS(tProd[[Date]],tProd[[Batch ID]],$A203,tProd[[Measurement Type]],"Weighing")),"")))</f>
        <v/>
      </c>
    </row>
    <row r="204">
      <c r="A204" s="27">
        <f>IFERROR(INDEX(tBatches[[Batch ID]],200)&amp;"","")</f>
        <v/>
      </c>
      <c r="B204" s="36">
        <f>IF($A204="","",INDEX(tBatches[[Pen ID]],200)&amp;"")</f>
        <v/>
      </c>
      <c r="C204" s="36">
        <f>IF($A204="","",INDEX(tBatches[[Animal Type]],200)&amp;"")</f>
        <v/>
      </c>
      <c r="D204" s="31">
        <f>IF($A204="","",INDEX(tBatches[[Batch Start Date]],200))</f>
        <v/>
      </c>
      <c r="E204" s="36">
        <f>IF($A204="","",INDEX(tBatches[[Status]],200)&amp;"")</f>
        <v/>
      </c>
      <c r="F204" s="31">
        <f>IF($A204="","",IF(N(INDEX(tBatches[[Closing Date]],200))=0,"",INDEX(tBatches[[Closing Date]],200)))</f>
        <v/>
      </c>
      <c r="G204" s="39">
        <f>IF($A204="","",INDEX(tBatches[[Age (days)]],200))</f>
        <v/>
      </c>
      <c r="H204" s="39">
        <f>IF($A204="","",N(INDEX(tBatches[[Initial Quantity]],200)))</f>
        <v/>
      </c>
      <c r="I204" s="39">
        <f>IF($A204="","",INDEX(tBatches[[Transfers In / Added]],200))</f>
        <v/>
      </c>
      <c r="J204" s="39">
        <f>IF($A204="","",INDEX(tBatches[[Deaths]],200))</f>
        <v/>
      </c>
      <c r="K204" s="39">
        <f>IF($A204="","",INDEX(tBatches[[Heads Sold]],200))</f>
        <v/>
      </c>
      <c r="L204" s="39">
        <f>IF($A204="","",INDEX(tBatches[[Transfers Out]],200))</f>
        <v/>
      </c>
      <c r="M204" s="39">
        <f>IF($A204="","",INDEX(tBatches[[Current Quantity]],200))</f>
        <v/>
      </c>
      <c r="N204" s="40">
        <f>IF($A204="","",IFERROR(J204/(H204+I204),0))</f>
        <v/>
      </c>
      <c r="O204" s="28">
        <f>IF($A204="","",SUMIFS(tFeedIss[[Quantity Issued in kg]],tFeedIss[[Batch ID]],$A204))</f>
        <v/>
      </c>
      <c r="P204" s="29">
        <f>IF($A204="","",SUMIFS(tFeedIss[[Total Cost]],tFeedIss[[Batch ID]],$A204))</f>
        <v/>
      </c>
      <c r="Q204" s="29">
        <f>IF($A204="","",SUMIFS(tDrugUse[[Total Cost]],tDrugUse[[Batch ID]],$A204))</f>
        <v/>
      </c>
      <c r="R204" s="29">
        <f>IF($A204="","",SUMIFS(tExp[[Amount]],tExp[[Batch ID (if applicable)]],$A204))</f>
        <v/>
      </c>
      <c r="S204" s="41">
        <f>IF($A204="","",P204+Q204+R204)</f>
        <v/>
      </c>
      <c r="T204" s="41">
        <f>IF($A204="","",SUMIFS(tSales[[Total Revenue]],tSales[[Batch ID]],$A204))</f>
        <v/>
      </c>
      <c r="U204" s="41">
        <f>IF($A204="","",T204-S204)</f>
        <v/>
      </c>
      <c r="V204" s="29">
        <f>IF($A204="","",IFERROR(S204/(H204+I204),""))</f>
        <v/>
      </c>
      <c r="W204" s="29">
        <f>IF($A204="","",IF(K204=0,"",T204/K204))</f>
        <v/>
      </c>
      <c r="X204" s="42">
        <f>IF($A204="","",IFERROR(O204/(H204+I204),""))</f>
        <v/>
      </c>
      <c r="Y204" s="43">
        <f>IF($A204="","",IF(_xlfn.MAXIFS(tProd[[Date]],tProd[[Batch ID]],$A204,tProd[[Measurement Type]],"Weighing")=0,"",IFERROR(AVERAGEIFS(tProd[[Average Weight kg]],tProd[[Batch ID]],$A204,tProd[[Measurement Type]],"Weighing",tProd[[Date]],_xlfn.MAXIFS(tProd[[Date]],tProd[[Batch ID]],$A204,tProd[[Measurement Type]],"Weighing")),"")))</f>
        <v/>
      </c>
    </row>
    <row r="205">
      <c r="A205" s="27">
        <f>IFERROR(INDEX(tBatches[[Batch ID]],201)&amp;"","")</f>
        <v/>
      </c>
      <c r="B205" s="36">
        <f>IF($A205="","",INDEX(tBatches[[Pen ID]],201)&amp;"")</f>
        <v/>
      </c>
      <c r="C205" s="36">
        <f>IF($A205="","",INDEX(tBatches[[Animal Type]],201)&amp;"")</f>
        <v/>
      </c>
      <c r="D205" s="31">
        <f>IF($A205="","",INDEX(tBatches[[Batch Start Date]],201))</f>
        <v/>
      </c>
      <c r="E205" s="36">
        <f>IF($A205="","",INDEX(tBatches[[Status]],201)&amp;"")</f>
        <v/>
      </c>
      <c r="F205" s="31">
        <f>IF($A205="","",IF(N(INDEX(tBatches[[Closing Date]],201))=0,"",INDEX(tBatches[[Closing Date]],201)))</f>
        <v/>
      </c>
      <c r="G205" s="39">
        <f>IF($A205="","",INDEX(tBatches[[Age (days)]],201))</f>
        <v/>
      </c>
      <c r="H205" s="39">
        <f>IF($A205="","",N(INDEX(tBatches[[Initial Quantity]],201)))</f>
        <v/>
      </c>
      <c r="I205" s="39">
        <f>IF($A205="","",INDEX(tBatches[[Transfers In / Added]],201))</f>
        <v/>
      </c>
      <c r="J205" s="39">
        <f>IF($A205="","",INDEX(tBatches[[Deaths]],201))</f>
        <v/>
      </c>
      <c r="K205" s="39">
        <f>IF($A205="","",INDEX(tBatches[[Heads Sold]],201))</f>
        <v/>
      </c>
      <c r="L205" s="39">
        <f>IF($A205="","",INDEX(tBatches[[Transfers Out]],201))</f>
        <v/>
      </c>
      <c r="M205" s="39">
        <f>IF($A205="","",INDEX(tBatches[[Current Quantity]],201))</f>
        <v/>
      </c>
      <c r="N205" s="40">
        <f>IF($A205="","",IFERROR(J205/(H205+I205),0))</f>
        <v/>
      </c>
      <c r="O205" s="28">
        <f>IF($A205="","",SUMIFS(tFeedIss[[Quantity Issued in kg]],tFeedIss[[Batch ID]],$A205))</f>
        <v/>
      </c>
      <c r="P205" s="29">
        <f>IF($A205="","",SUMIFS(tFeedIss[[Total Cost]],tFeedIss[[Batch ID]],$A205))</f>
        <v/>
      </c>
      <c r="Q205" s="29">
        <f>IF($A205="","",SUMIFS(tDrugUse[[Total Cost]],tDrugUse[[Batch ID]],$A205))</f>
        <v/>
      </c>
      <c r="R205" s="29">
        <f>IF($A205="","",SUMIFS(tExp[[Amount]],tExp[[Batch ID (if applicable)]],$A205))</f>
        <v/>
      </c>
      <c r="S205" s="41">
        <f>IF($A205="","",P205+Q205+R205)</f>
        <v/>
      </c>
      <c r="T205" s="41">
        <f>IF($A205="","",SUMIFS(tSales[[Total Revenue]],tSales[[Batch ID]],$A205))</f>
        <v/>
      </c>
      <c r="U205" s="41">
        <f>IF($A205="","",T205-S205)</f>
        <v/>
      </c>
      <c r="V205" s="29">
        <f>IF($A205="","",IFERROR(S205/(H205+I205),""))</f>
        <v/>
      </c>
      <c r="W205" s="29">
        <f>IF($A205="","",IF(K205=0,"",T205/K205))</f>
        <v/>
      </c>
      <c r="X205" s="42">
        <f>IF($A205="","",IFERROR(O205/(H205+I205),""))</f>
        <v/>
      </c>
      <c r="Y205" s="43">
        <f>IF($A205="","",IF(_xlfn.MAXIFS(tProd[[Date]],tProd[[Batch ID]],$A205,tProd[[Measurement Type]],"Weighing")=0,"",IFERROR(AVERAGEIFS(tProd[[Average Weight kg]],tProd[[Batch ID]],$A205,tProd[[Measurement Type]],"Weighing",tProd[[Date]],_xlfn.MAXIFS(tProd[[Date]],tProd[[Batch ID]],$A205,tProd[[Measurement Type]],"Weighing")),"")))</f>
        <v/>
      </c>
    </row>
    <row r="206">
      <c r="A206" s="27">
        <f>IFERROR(INDEX(tBatches[[Batch ID]],202)&amp;"","")</f>
        <v/>
      </c>
      <c r="B206" s="36">
        <f>IF($A206="","",INDEX(tBatches[[Pen ID]],202)&amp;"")</f>
        <v/>
      </c>
      <c r="C206" s="36">
        <f>IF($A206="","",INDEX(tBatches[[Animal Type]],202)&amp;"")</f>
        <v/>
      </c>
      <c r="D206" s="31">
        <f>IF($A206="","",INDEX(tBatches[[Batch Start Date]],202))</f>
        <v/>
      </c>
      <c r="E206" s="36">
        <f>IF($A206="","",INDEX(tBatches[[Status]],202)&amp;"")</f>
        <v/>
      </c>
      <c r="F206" s="31">
        <f>IF($A206="","",IF(N(INDEX(tBatches[[Closing Date]],202))=0,"",INDEX(tBatches[[Closing Date]],202)))</f>
        <v/>
      </c>
      <c r="G206" s="39">
        <f>IF($A206="","",INDEX(tBatches[[Age (days)]],202))</f>
        <v/>
      </c>
      <c r="H206" s="39">
        <f>IF($A206="","",N(INDEX(tBatches[[Initial Quantity]],202)))</f>
        <v/>
      </c>
      <c r="I206" s="39">
        <f>IF($A206="","",INDEX(tBatches[[Transfers In / Added]],202))</f>
        <v/>
      </c>
      <c r="J206" s="39">
        <f>IF($A206="","",INDEX(tBatches[[Deaths]],202))</f>
        <v/>
      </c>
      <c r="K206" s="39">
        <f>IF($A206="","",INDEX(tBatches[[Heads Sold]],202))</f>
        <v/>
      </c>
      <c r="L206" s="39">
        <f>IF($A206="","",INDEX(tBatches[[Transfers Out]],202))</f>
        <v/>
      </c>
      <c r="M206" s="39">
        <f>IF($A206="","",INDEX(tBatches[[Current Quantity]],202))</f>
        <v/>
      </c>
      <c r="N206" s="40">
        <f>IF($A206="","",IFERROR(J206/(H206+I206),0))</f>
        <v/>
      </c>
      <c r="O206" s="28">
        <f>IF($A206="","",SUMIFS(tFeedIss[[Quantity Issued in kg]],tFeedIss[[Batch ID]],$A206))</f>
        <v/>
      </c>
      <c r="P206" s="29">
        <f>IF($A206="","",SUMIFS(tFeedIss[[Total Cost]],tFeedIss[[Batch ID]],$A206))</f>
        <v/>
      </c>
      <c r="Q206" s="29">
        <f>IF($A206="","",SUMIFS(tDrugUse[[Total Cost]],tDrugUse[[Batch ID]],$A206))</f>
        <v/>
      </c>
      <c r="R206" s="29">
        <f>IF($A206="","",SUMIFS(tExp[[Amount]],tExp[[Batch ID (if applicable)]],$A206))</f>
        <v/>
      </c>
      <c r="S206" s="41">
        <f>IF($A206="","",P206+Q206+R206)</f>
        <v/>
      </c>
      <c r="T206" s="41">
        <f>IF($A206="","",SUMIFS(tSales[[Total Revenue]],tSales[[Batch ID]],$A206))</f>
        <v/>
      </c>
      <c r="U206" s="41">
        <f>IF($A206="","",T206-S206)</f>
        <v/>
      </c>
      <c r="V206" s="29">
        <f>IF($A206="","",IFERROR(S206/(H206+I206),""))</f>
        <v/>
      </c>
      <c r="W206" s="29">
        <f>IF($A206="","",IF(K206=0,"",T206/K206))</f>
        <v/>
      </c>
      <c r="X206" s="42">
        <f>IF($A206="","",IFERROR(O206/(H206+I206),""))</f>
        <v/>
      </c>
      <c r="Y206" s="43">
        <f>IF($A206="","",IF(_xlfn.MAXIFS(tProd[[Date]],tProd[[Batch ID]],$A206,tProd[[Measurement Type]],"Weighing")=0,"",IFERROR(AVERAGEIFS(tProd[[Average Weight kg]],tProd[[Batch ID]],$A206,tProd[[Measurement Type]],"Weighing",tProd[[Date]],_xlfn.MAXIFS(tProd[[Date]],tProd[[Batch ID]],$A206,tProd[[Measurement Type]],"Weighing")),"")))</f>
        <v/>
      </c>
    </row>
    <row r="207">
      <c r="A207" s="27">
        <f>IFERROR(INDEX(tBatches[[Batch ID]],203)&amp;"","")</f>
        <v/>
      </c>
      <c r="B207" s="36">
        <f>IF($A207="","",INDEX(tBatches[[Pen ID]],203)&amp;"")</f>
        <v/>
      </c>
      <c r="C207" s="36">
        <f>IF($A207="","",INDEX(tBatches[[Animal Type]],203)&amp;"")</f>
        <v/>
      </c>
      <c r="D207" s="31">
        <f>IF($A207="","",INDEX(tBatches[[Batch Start Date]],203))</f>
        <v/>
      </c>
      <c r="E207" s="36">
        <f>IF($A207="","",INDEX(tBatches[[Status]],203)&amp;"")</f>
        <v/>
      </c>
      <c r="F207" s="31">
        <f>IF($A207="","",IF(N(INDEX(tBatches[[Closing Date]],203))=0,"",INDEX(tBatches[[Closing Date]],203)))</f>
        <v/>
      </c>
      <c r="G207" s="39">
        <f>IF($A207="","",INDEX(tBatches[[Age (days)]],203))</f>
        <v/>
      </c>
      <c r="H207" s="39">
        <f>IF($A207="","",N(INDEX(tBatches[[Initial Quantity]],203)))</f>
        <v/>
      </c>
      <c r="I207" s="39">
        <f>IF($A207="","",INDEX(tBatches[[Transfers In / Added]],203))</f>
        <v/>
      </c>
      <c r="J207" s="39">
        <f>IF($A207="","",INDEX(tBatches[[Deaths]],203))</f>
        <v/>
      </c>
      <c r="K207" s="39">
        <f>IF($A207="","",INDEX(tBatches[[Heads Sold]],203))</f>
        <v/>
      </c>
      <c r="L207" s="39">
        <f>IF($A207="","",INDEX(tBatches[[Transfers Out]],203))</f>
        <v/>
      </c>
      <c r="M207" s="39">
        <f>IF($A207="","",INDEX(tBatches[[Current Quantity]],203))</f>
        <v/>
      </c>
      <c r="N207" s="40">
        <f>IF($A207="","",IFERROR(J207/(H207+I207),0))</f>
        <v/>
      </c>
      <c r="O207" s="28">
        <f>IF($A207="","",SUMIFS(tFeedIss[[Quantity Issued in kg]],tFeedIss[[Batch ID]],$A207))</f>
        <v/>
      </c>
      <c r="P207" s="29">
        <f>IF($A207="","",SUMIFS(tFeedIss[[Total Cost]],tFeedIss[[Batch ID]],$A207))</f>
        <v/>
      </c>
      <c r="Q207" s="29">
        <f>IF($A207="","",SUMIFS(tDrugUse[[Total Cost]],tDrugUse[[Batch ID]],$A207))</f>
        <v/>
      </c>
      <c r="R207" s="29">
        <f>IF($A207="","",SUMIFS(tExp[[Amount]],tExp[[Batch ID (if applicable)]],$A207))</f>
        <v/>
      </c>
      <c r="S207" s="41">
        <f>IF($A207="","",P207+Q207+R207)</f>
        <v/>
      </c>
      <c r="T207" s="41">
        <f>IF($A207="","",SUMIFS(tSales[[Total Revenue]],tSales[[Batch ID]],$A207))</f>
        <v/>
      </c>
      <c r="U207" s="41">
        <f>IF($A207="","",T207-S207)</f>
        <v/>
      </c>
      <c r="V207" s="29">
        <f>IF($A207="","",IFERROR(S207/(H207+I207),""))</f>
        <v/>
      </c>
      <c r="W207" s="29">
        <f>IF($A207="","",IF(K207=0,"",T207/K207))</f>
        <v/>
      </c>
      <c r="X207" s="42">
        <f>IF($A207="","",IFERROR(O207/(H207+I207),""))</f>
        <v/>
      </c>
      <c r="Y207" s="43">
        <f>IF($A207="","",IF(_xlfn.MAXIFS(tProd[[Date]],tProd[[Batch ID]],$A207,tProd[[Measurement Type]],"Weighing")=0,"",IFERROR(AVERAGEIFS(tProd[[Average Weight kg]],tProd[[Batch ID]],$A207,tProd[[Measurement Type]],"Weighing",tProd[[Date]],_xlfn.MAXIFS(tProd[[Date]],tProd[[Batch ID]],$A207,tProd[[Measurement Type]],"Weighing")),"")))</f>
        <v/>
      </c>
    </row>
    <row r="208">
      <c r="A208" s="27">
        <f>IFERROR(INDEX(tBatches[[Batch ID]],204)&amp;"","")</f>
        <v/>
      </c>
      <c r="B208" s="36">
        <f>IF($A208="","",INDEX(tBatches[[Pen ID]],204)&amp;"")</f>
        <v/>
      </c>
      <c r="C208" s="36">
        <f>IF($A208="","",INDEX(tBatches[[Animal Type]],204)&amp;"")</f>
        <v/>
      </c>
      <c r="D208" s="31">
        <f>IF($A208="","",INDEX(tBatches[[Batch Start Date]],204))</f>
        <v/>
      </c>
      <c r="E208" s="36">
        <f>IF($A208="","",INDEX(tBatches[[Status]],204)&amp;"")</f>
        <v/>
      </c>
      <c r="F208" s="31">
        <f>IF($A208="","",IF(N(INDEX(tBatches[[Closing Date]],204))=0,"",INDEX(tBatches[[Closing Date]],204)))</f>
        <v/>
      </c>
      <c r="G208" s="39">
        <f>IF($A208="","",INDEX(tBatches[[Age (days)]],204))</f>
        <v/>
      </c>
      <c r="H208" s="39">
        <f>IF($A208="","",N(INDEX(tBatches[[Initial Quantity]],204)))</f>
        <v/>
      </c>
      <c r="I208" s="39">
        <f>IF($A208="","",INDEX(tBatches[[Transfers In / Added]],204))</f>
        <v/>
      </c>
      <c r="J208" s="39">
        <f>IF($A208="","",INDEX(tBatches[[Deaths]],204))</f>
        <v/>
      </c>
      <c r="K208" s="39">
        <f>IF($A208="","",INDEX(tBatches[[Heads Sold]],204))</f>
        <v/>
      </c>
      <c r="L208" s="39">
        <f>IF($A208="","",INDEX(tBatches[[Transfers Out]],204))</f>
        <v/>
      </c>
      <c r="M208" s="39">
        <f>IF($A208="","",INDEX(tBatches[[Current Quantity]],204))</f>
        <v/>
      </c>
      <c r="N208" s="40">
        <f>IF($A208="","",IFERROR(J208/(H208+I208),0))</f>
        <v/>
      </c>
      <c r="O208" s="28">
        <f>IF($A208="","",SUMIFS(tFeedIss[[Quantity Issued in kg]],tFeedIss[[Batch ID]],$A208))</f>
        <v/>
      </c>
      <c r="P208" s="29">
        <f>IF($A208="","",SUMIFS(tFeedIss[[Total Cost]],tFeedIss[[Batch ID]],$A208))</f>
        <v/>
      </c>
      <c r="Q208" s="29">
        <f>IF($A208="","",SUMIFS(tDrugUse[[Total Cost]],tDrugUse[[Batch ID]],$A208))</f>
        <v/>
      </c>
      <c r="R208" s="29">
        <f>IF($A208="","",SUMIFS(tExp[[Amount]],tExp[[Batch ID (if applicable)]],$A208))</f>
        <v/>
      </c>
      <c r="S208" s="41">
        <f>IF($A208="","",P208+Q208+R208)</f>
        <v/>
      </c>
      <c r="T208" s="41">
        <f>IF($A208="","",SUMIFS(tSales[[Total Revenue]],tSales[[Batch ID]],$A208))</f>
        <v/>
      </c>
      <c r="U208" s="41">
        <f>IF($A208="","",T208-S208)</f>
        <v/>
      </c>
      <c r="V208" s="29">
        <f>IF($A208="","",IFERROR(S208/(H208+I208),""))</f>
        <v/>
      </c>
      <c r="W208" s="29">
        <f>IF($A208="","",IF(K208=0,"",T208/K208))</f>
        <v/>
      </c>
      <c r="X208" s="42">
        <f>IF($A208="","",IFERROR(O208/(H208+I208),""))</f>
        <v/>
      </c>
      <c r="Y208" s="43">
        <f>IF($A208="","",IF(_xlfn.MAXIFS(tProd[[Date]],tProd[[Batch ID]],$A208,tProd[[Measurement Type]],"Weighing")=0,"",IFERROR(AVERAGEIFS(tProd[[Average Weight kg]],tProd[[Batch ID]],$A208,tProd[[Measurement Type]],"Weighing",tProd[[Date]],_xlfn.MAXIFS(tProd[[Date]],tProd[[Batch ID]],$A208,tProd[[Measurement Type]],"Weighing")),"")))</f>
        <v/>
      </c>
    </row>
    <row r="209">
      <c r="A209" s="27">
        <f>IFERROR(INDEX(tBatches[[Batch ID]],205)&amp;"","")</f>
        <v/>
      </c>
      <c r="B209" s="36">
        <f>IF($A209="","",INDEX(tBatches[[Pen ID]],205)&amp;"")</f>
        <v/>
      </c>
      <c r="C209" s="36">
        <f>IF($A209="","",INDEX(tBatches[[Animal Type]],205)&amp;"")</f>
        <v/>
      </c>
      <c r="D209" s="31">
        <f>IF($A209="","",INDEX(tBatches[[Batch Start Date]],205))</f>
        <v/>
      </c>
      <c r="E209" s="36">
        <f>IF($A209="","",INDEX(tBatches[[Status]],205)&amp;"")</f>
        <v/>
      </c>
      <c r="F209" s="31">
        <f>IF($A209="","",IF(N(INDEX(tBatches[[Closing Date]],205))=0,"",INDEX(tBatches[[Closing Date]],205)))</f>
        <v/>
      </c>
      <c r="G209" s="39">
        <f>IF($A209="","",INDEX(tBatches[[Age (days)]],205))</f>
        <v/>
      </c>
      <c r="H209" s="39">
        <f>IF($A209="","",N(INDEX(tBatches[[Initial Quantity]],205)))</f>
        <v/>
      </c>
      <c r="I209" s="39">
        <f>IF($A209="","",INDEX(tBatches[[Transfers In / Added]],205))</f>
        <v/>
      </c>
      <c r="J209" s="39">
        <f>IF($A209="","",INDEX(tBatches[[Deaths]],205))</f>
        <v/>
      </c>
      <c r="K209" s="39">
        <f>IF($A209="","",INDEX(tBatches[[Heads Sold]],205))</f>
        <v/>
      </c>
      <c r="L209" s="39">
        <f>IF($A209="","",INDEX(tBatches[[Transfers Out]],205))</f>
        <v/>
      </c>
      <c r="M209" s="39">
        <f>IF($A209="","",INDEX(tBatches[[Current Quantity]],205))</f>
        <v/>
      </c>
      <c r="N209" s="40">
        <f>IF($A209="","",IFERROR(J209/(H209+I209),0))</f>
        <v/>
      </c>
      <c r="O209" s="28">
        <f>IF($A209="","",SUMIFS(tFeedIss[[Quantity Issued in kg]],tFeedIss[[Batch ID]],$A209))</f>
        <v/>
      </c>
      <c r="P209" s="29">
        <f>IF($A209="","",SUMIFS(tFeedIss[[Total Cost]],tFeedIss[[Batch ID]],$A209))</f>
        <v/>
      </c>
      <c r="Q209" s="29">
        <f>IF($A209="","",SUMIFS(tDrugUse[[Total Cost]],tDrugUse[[Batch ID]],$A209))</f>
        <v/>
      </c>
      <c r="R209" s="29">
        <f>IF($A209="","",SUMIFS(tExp[[Amount]],tExp[[Batch ID (if applicable)]],$A209))</f>
        <v/>
      </c>
      <c r="S209" s="41">
        <f>IF($A209="","",P209+Q209+R209)</f>
        <v/>
      </c>
      <c r="T209" s="41">
        <f>IF($A209="","",SUMIFS(tSales[[Total Revenue]],tSales[[Batch ID]],$A209))</f>
        <v/>
      </c>
      <c r="U209" s="41">
        <f>IF($A209="","",T209-S209)</f>
        <v/>
      </c>
      <c r="V209" s="29">
        <f>IF($A209="","",IFERROR(S209/(H209+I209),""))</f>
        <v/>
      </c>
      <c r="W209" s="29">
        <f>IF($A209="","",IF(K209=0,"",T209/K209))</f>
        <v/>
      </c>
      <c r="X209" s="42">
        <f>IF($A209="","",IFERROR(O209/(H209+I209),""))</f>
        <v/>
      </c>
      <c r="Y209" s="43">
        <f>IF($A209="","",IF(_xlfn.MAXIFS(tProd[[Date]],tProd[[Batch ID]],$A209,tProd[[Measurement Type]],"Weighing")=0,"",IFERROR(AVERAGEIFS(tProd[[Average Weight kg]],tProd[[Batch ID]],$A209,tProd[[Measurement Type]],"Weighing",tProd[[Date]],_xlfn.MAXIFS(tProd[[Date]],tProd[[Batch ID]],$A209,tProd[[Measurement Type]],"Weighing")),"")))</f>
        <v/>
      </c>
    </row>
    <row r="210">
      <c r="A210" s="27">
        <f>IFERROR(INDEX(tBatches[[Batch ID]],206)&amp;"","")</f>
        <v/>
      </c>
      <c r="B210" s="36">
        <f>IF($A210="","",INDEX(tBatches[[Pen ID]],206)&amp;"")</f>
        <v/>
      </c>
      <c r="C210" s="36">
        <f>IF($A210="","",INDEX(tBatches[[Animal Type]],206)&amp;"")</f>
        <v/>
      </c>
      <c r="D210" s="31">
        <f>IF($A210="","",INDEX(tBatches[[Batch Start Date]],206))</f>
        <v/>
      </c>
      <c r="E210" s="36">
        <f>IF($A210="","",INDEX(tBatches[[Status]],206)&amp;"")</f>
        <v/>
      </c>
      <c r="F210" s="31">
        <f>IF($A210="","",IF(N(INDEX(tBatches[[Closing Date]],206))=0,"",INDEX(tBatches[[Closing Date]],206)))</f>
        <v/>
      </c>
      <c r="G210" s="39">
        <f>IF($A210="","",INDEX(tBatches[[Age (days)]],206))</f>
        <v/>
      </c>
      <c r="H210" s="39">
        <f>IF($A210="","",N(INDEX(tBatches[[Initial Quantity]],206)))</f>
        <v/>
      </c>
      <c r="I210" s="39">
        <f>IF($A210="","",INDEX(tBatches[[Transfers In / Added]],206))</f>
        <v/>
      </c>
      <c r="J210" s="39">
        <f>IF($A210="","",INDEX(tBatches[[Deaths]],206))</f>
        <v/>
      </c>
      <c r="K210" s="39">
        <f>IF($A210="","",INDEX(tBatches[[Heads Sold]],206))</f>
        <v/>
      </c>
      <c r="L210" s="39">
        <f>IF($A210="","",INDEX(tBatches[[Transfers Out]],206))</f>
        <v/>
      </c>
      <c r="M210" s="39">
        <f>IF($A210="","",INDEX(tBatches[[Current Quantity]],206))</f>
        <v/>
      </c>
      <c r="N210" s="40">
        <f>IF($A210="","",IFERROR(J210/(H210+I210),0))</f>
        <v/>
      </c>
      <c r="O210" s="28">
        <f>IF($A210="","",SUMIFS(tFeedIss[[Quantity Issued in kg]],tFeedIss[[Batch ID]],$A210))</f>
        <v/>
      </c>
      <c r="P210" s="29">
        <f>IF($A210="","",SUMIFS(tFeedIss[[Total Cost]],tFeedIss[[Batch ID]],$A210))</f>
        <v/>
      </c>
      <c r="Q210" s="29">
        <f>IF($A210="","",SUMIFS(tDrugUse[[Total Cost]],tDrugUse[[Batch ID]],$A210))</f>
        <v/>
      </c>
      <c r="R210" s="29">
        <f>IF($A210="","",SUMIFS(tExp[[Amount]],tExp[[Batch ID (if applicable)]],$A210))</f>
        <v/>
      </c>
      <c r="S210" s="41">
        <f>IF($A210="","",P210+Q210+R210)</f>
        <v/>
      </c>
      <c r="T210" s="41">
        <f>IF($A210="","",SUMIFS(tSales[[Total Revenue]],tSales[[Batch ID]],$A210))</f>
        <v/>
      </c>
      <c r="U210" s="41">
        <f>IF($A210="","",T210-S210)</f>
        <v/>
      </c>
      <c r="V210" s="29">
        <f>IF($A210="","",IFERROR(S210/(H210+I210),""))</f>
        <v/>
      </c>
      <c r="W210" s="29">
        <f>IF($A210="","",IF(K210=0,"",T210/K210))</f>
        <v/>
      </c>
      <c r="X210" s="42">
        <f>IF($A210="","",IFERROR(O210/(H210+I210),""))</f>
        <v/>
      </c>
      <c r="Y210" s="43">
        <f>IF($A210="","",IF(_xlfn.MAXIFS(tProd[[Date]],tProd[[Batch ID]],$A210,tProd[[Measurement Type]],"Weighing")=0,"",IFERROR(AVERAGEIFS(tProd[[Average Weight kg]],tProd[[Batch ID]],$A210,tProd[[Measurement Type]],"Weighing",tProd[[Date]],_xlfn.MAXIFS(tProd[[Date]],tProd[[Batch ID]],$A210,tProd[[Measurement Type]],"Weighing")),"")))</f>
        <v/>
      </c>
    </row>
    <row r="211">
      <c r="A211" s="27">
        <f>IFERROR(INDEX(tBatches[[Batch ID]],207)&amp;"","")</f>
        <v/>
      </c>
      <c r="B211" s="36">
        <f>IF($A211="","",INDEX(tBatches[[Pen ID]],207)&amp;"")</f>
        <v/>
      </c>
      <c r="C211" s="36">
        <f>IF($A211="","",INDEX(tBatches[[Animal Type]],207)&amp;"")</f>
        <v/>
      </c>
      <c r="D211" s="31">
        <f>IF($A211="","",INDEX(tBatches[[Batch Start Date]],207))</f>
        <v/>
      </c>
      <c r="E211" s="36">
        <f>IF($A211="","",INDEX(tBatches[[Status]],207)&amp;"")</f>
        <v/>
      </c>
      <c r="F211" s="31">
        <f>IF($A211="","",IF(N(INDEX(tBatches[[Closing Date]],207))=0,"",INDEX(tBatches[[Closing Date]],207)))</f>
        <v/>
      </c>
      <c r="G211" s="39">
        <f>IF($A211="","",INDEX(tBatches[[Age (days)]],207))</f>
        <v/>
      </c>
      <c r="H211" s="39">
        <f>IF($A211="","",N(INDEX(tBatches[[Initial Quantity]],207)))</f>
        <v/>
      </c>
      <c r="I211" s="39">
        <f>IF($A211="","",INDEX(tBatches[[Transfers In / Added]],207))</f>
        <v/>
      </c>
      <c r="J211" s="39">
        <f>IF($A211="","",INDEX(tBatches[[Deaths]],207))</f>
        <v/>
      </c>
      <c r="K211" s="39">
        <f>IF($A211="","",INDEX(tBatches[[Heads Sold]],207))</f>
        <v/>
      </c>
      <c r="L211" s="39">
        <f>IF($A211="","",INDEX(tBatches[[Transfers Out]],207))</f>
        <v/>
      </c>
      <c r="M211" s="39">
        <f>IF($A211="","",INDEX(tBatches[[Current Quantity]],207))</f>
        <v/>
      </c>
      <c r="N211" s="40">
        <f>IF($A211="","",IFERROR(J211/(H211+I211),0))</f>
        <v/>
      </c>
      <c r="O211" s="28">
        <f>IF($A211="","",SUMIFS(tFeedIss[[Quantity Issued in kg]],tFeedIss[[Batch ID]],$A211))</f>
        <v/>
      </c>
      <c r="P211" s="29">
        <f>IF($A211="","",SUMIFS(tFeedIss[[Total Cost]],tFeedIss[[Batch ID]],$A211))</f>
        <v/>
      </c>
      <c r="Q211" s="29">
        <f>IF($A211="","",SUMIFS(tDrugUse[[Total Cost]],tDrugUse[[Batch ID]],$A211))</f>
        <v/>
      </c>
      <c r="R211" s="29">
        <f>IF($A211="","",SUMIFS(tExp[[Amount]],tExp[[Batch ID (if applicable)]],$A211))</f>
        <v/>
      </c>
      <c r="S211" s="41">
        <f>IF($A211="","",P211+Q211+R211)</f>
        <v/>
      </c>
      <c r="T211" s="41">
        <f>IF($A211="","",SUMIFS(tSales[[Total Revenue]],tSales[[Batch ID]],$A211))</f>
        <v/>
      </c>
      <c r="U211" s="41">
        <f>IF($A211="","",T211-S211)</f>
        <v/>
      </c>
      <c r="V211" s="29">
        <f>IF($A211="","",IFERROR(S211/(H211+I211),""))</f>
        <v/>
      </c>
      <c r="W211" s="29">
        <f>IF($A211="","",IF(K211=0,"",T211/K211))</f>
        <v/>
      </c>
      <c r="X211" s="42">
        <f>IF($A211="","",IFERROR(O211/(H211+I211),""))</f>
        <v/>
      </c>
      <c r="Y211" s="43">
        <f>IF($A211="","",IF(_xlfn.MAXIFS(tProd[[Date]],tProd[[Batch ID]],$A211,tProd[[Measurement Type]],"Weighing")=0,"",IFERROR(AVERAGEIFS(tProd[[Average Weight kg]],tProd[[Batch ID]],$A211,tProd[[Measurement Type]],"Weighing",tProd[[Date]],_xlfn.MAXIFS(tProd[[Date]],tProd[[Batch ID]],$A211,tProd[[Measurement Type]],"Weighing")),"")))</f>
        <v/>
      </c>
    </row>
    <row r="212">
      <c r="A212" s="27">
        <f>IFERROR(INDEX(tBatches[[Batch ID]],208)&amp;"","")</f>
        <v/>
      </c>
      <c r="B212" s="36">
        <f>IF($A212="","",INDEX(tBatches[[Pen ID]],208)&amp;"")</f>
        <v/>
      </c>
      <c r="C212" s="36">
        <f>IF($A212="","",INDEX(tBatches[[Animal Type]],208)&amp;"")</f>
        <v/>
      </c>
      <c r="D212" s="31">
        <f>IF($A212="","",INDEX(tBatches[[Batch Start Date]],208))</f>
        <v/>
      </c>
      <c r="E212" s="36">
        <f>IF($A212="","",INDEX(tBatches[[Status]],208)&amp;"")</f>
        <v/>
      </c>
      <c r="F212" s="31">
        <f>IF($A212="","",IF(N(INDEX(tBatches[[Closing Date]],208))=0,"",INDEX(tBatches[[Closing Date]],208)))</f>
        <v/>
      </c>
      <c r="G212" s="39">
        <f>IF($A212="","",INDEX(tBatches[[Age (days)]],208))</f>
        <v/>
      </c>
      <c r="H212" s="39">
        <f>IF($A212="","",N(INDEX(tBatches[[Initial Quantity]],208)))</f>
        <v/>
      </c>
      <c r="I212" s="39">
        <f>IF($A212="","",INDEX(tBatches[[Transfers In / Added]],208))</f>
        <v/>
      </c>
      <c r="J212" s="39">
        <f>IF($A212="","",INDEX(tBatches[[Deaths]],208))</f>
        <v/>
      </c>
      <c r="K212" s="39">
        <f>IF($A212="","",INDEX(tBatches[[Heads Sold]],208))</f>
        <v/>
      </c>
      <c r="L212" s="39">
        <f>IF($A212="","",INDEX(tBatches[[Transfers Out]],208))</f>
        <v/>
      </c>
      <c r="M212" s="39">
        <f>IF($A212="","",INDEX(tBatches[[Current Quantity]],208))</f>
        <v/>
      </c>
      <c r="N212" s="40">
        <f>IF($A212="","",IFERROR(J212/(H212+I212),0))</f>
        <v/>
      </c>
      <c r="O212" s="28">
        <f>IF($A212="","",SUMIFS(tFeedIss[[Quantity Issued in kg]],tFeedIss[[Batch ID]],$A212))</f>
        <v/>
      </c>
      <c r="P212" s="29">
        <f>IF($A212="","",SUMIFS(tFeedIss[[Total Cost]],tFeedIss[[Batch ID]],$A212))</f>
        <v/>
      </c>
      <c r="Q212" s="29">
        <f>IF($A212="","",SUMIFS(tDrugUse[[Total Cost]],tDrugUse[[Batch ID]],$A212))</f>
        <v/>
      </c>
      <c r="R212" s="29">
        <f>IF($A212="","",SUMIFS(tExp[[Amount]],tExp[[Batch ID (if applicable)]],$A212))</f>
        <v/>
      </c>
      <c r="S212" s="41">
        <f>IF($A212="","",P212+Q212+R212)</f>
        <v/>
      </c>
      <c r="T212" s="41">
        <f>IF($A212="","",SUMIFS(tSales[[Total Revenue]],tSales[[Batch ID]],$A212))</f>
        <v/>
      </c>
      <c r="U212" s="41">
        <f>IF($A212="","",T212-S212)</f>
        <v/>
      </c>
      <c r="V212" s="29">
        <f>IF($A212="","",IFERROR(S212/(H212+I212),""))</f>
        <v/>
      </c>
      <c r="W212" s="29">
        <f>IF($A212="","",IF(K212=0,"",T212/K212))</f>
        <v/>
      </c>
      <c r="X212" s="42">
        <f>IF($A212="","",IFERROR(O212/(H212+I212),""))</f>
        <v/>
      </c>
      <c r="Y212" s="43">
        <f>IF($A212="","",IF(_xlfn.MAXIFS(tProd[[Date]],tProd[[Batch ID]],$A212,tProd[[Measurement Type]],"Weighing")=0,"",IFERROR(AVERAGEIFS(tProd[[Average Weight kg]],tProd[[Batch ID]],$A212,tProd[[Measurement Type]],"Weighing",tProd[[Date]],_xlfn.MAXIFS(tProd[[Date]],tProd[[Batch ID]],$A212,tProd[[Measurement Type]],"Weighing")),"")))</f>
        <v/>
      </c>
    </row>
    <row r="213">
      <c r="A213" s="27">
        <f>IFERROR(INDEX(tBatches[[Batch ID]],209)&amp;"","")</f>
        <v/>
      </c>
      <c r="B213" s="36">
        <f>IF($A213="","",INDEX(tBatches[[Pen ID]],209)&amp;"")</f>
        <v/>
      </c>
      <c r="C213" s="36">
        <f>IF($A213="","",INDEX(tBatches[[Animal Type]],209)&amp;"")</f>
        <v/>
      </c>
      <c r="D213" s="31">
        <f>IF($A213="","",INDEX(tBatches[[Batch Start Date]],209))</f>
        <v/>
      </c>
      <c r="E213" s="36">
        <f>IF($A213="","",INDEX(tBatches[[Status]],209)&amp;"")</f>
        <v/>
      </c>
      <c r="F213" s="31">
        <f>IF($A213="","",IF(N(INDEX(tBatches[[Closing Date]],209))=0,"",INDEX(tBatches[[Closing Date]],209)))</f>
        <v/>
      </c>
      <c r="G213" s="39">
        <f>IF($A213="","",INDEX(tBatches[[Age (days)]],209))</f>
        <v/>
      </c>
      <c r="H213" s="39">
        <f>IF($A213="","",N(INDEX(tBatches[[Initial Quantity]],209)))</f>
        <v/>
      </c>
      <c r="I213" s="39">
        <f>IF($A213="","",INDEX(tBatches[[Transfers In / Added]],209))</f>
        <v/>
      </c>
      <c r="J213" s="39">
        <f>IF($A213="","",INDEX(tBatches[[Deaths]],209))</f>
        <v/>
      </c>
      <c r="K213" s="39">
        <f>IF($A213="","",INDEX(tBatches[[Heads Sold]],209))</f>
        <v/>
      </c>
      <c r="L213" s="39">
        <f>IF($A213="","",INDEX(tBatches[[Transfers Out]],209))</f>
        <v/>
      </c>
      <c r="M213" s="39">
        <f>IF($A213="","",INDEX(tBatches[[Current Quantity]],209))</f>
        <v/>
      </c>
      <c r="N213" s="40">
        <f>IF($A213="","",IFERROR(J213/(H213+I213),0))</f>
        <v/>
      </c>
      <c r="O213" s="28">
        <f>IF($A213="","",SUMIFS(tFeedIss[[Quantity Issued in kg]],tFeedIss[[Batch ID]],$A213))</f>
        <v/>
      </c>
      <c r="P213" s="29">
        <f>IF($A213="","",SUMIFS(tFeedIss[[Total Cost]],tFeedIss[[Batch ID]],$A213))</f>
        <v/>
      </c>
      <c r="Q213" s="29">
        <f>IF($A213="","",SUMIFS(tDrugUse[[Total Cost]],tDrugUse[[Batch ID]],$A213))</f>
        <v/>
      </c>
      <c r="R213" s="29">
        <f>IF($A213="","",SUMIFS(tExp[[Amount]],tExp[[Batch ID (if applicable)]],$A213))</f>
        <v/>
      </c>
      <c r="S213" s="41">
        <f>IF($A213="","",P213+Q213+R213)</f>
        <v/>
      </c>
      <c r="T213" s="41">
        <f>IF($A213="","",SUMIFS(tSales[[Total Revenue]],tSales[[Batch ID]],$A213))</f>
        <v/>
      </c>
      <c r="U213" s="41">
        <f>IF($A213="","",T213-S213)</f>
        <v/>
      </c>
      <c r="V213" s="29">
        <f>IF($A213="","",IFERROR(S213/(H213+I213),""))</f>
        <v/>
      </c>
      <c r="W213" s="29">
        <f>IF($A213="","",IF(K213=0,"",T213/K213))</f>
        <v/>
      </c>
      <c r="X213" s="42">
        <f>IF($A213="","",IFERROR(O213/(H213+I213),""))</f>
        <v/>
      </c>
      <c r="Y213" s="43">
        <f>IF($A213="","",IF(_xlfn.MAXIFS(tProd[[Date]],tProd[[Batch ID]],$A213,tProd[[Measurement Type]],"Weighing")=0,"",IFERROR(AVERAGEIFS(tProd[[Average Weight kg]],tProd[[Batch ID]],$A213,tProd[[Measurement Type]],"Weighing",tProd[[Date]],_xlfn.MAXIFS(tProd[[Date]],tProd[[Batch ID]],$A213,tProd[[Measurement Type]],"Weighing")),"")))</f>
        <v/>
      </c>
    </row>
    <row r="214">
      <c r="A214" s="27">
        <f>IFERROR(INDEX(tBatches[[Batch ID]],210)&amp;"","")</f>
        <v/>
      </c>
      <c r="B214" s="36">
        <f>IF($A214="","",INDEX(tBatches[[Pen ID]],210)&amp;"")</f>
        <v/>
      </c>
      <c r="C214" s="36">
        <f>IF($A214="","",INDEX(tBatches[[Animal Type]],210)&amp;"")</f>
        <v/>
      </c>
      <c r="D214" s="31">
        <f>IF($A214="","",INDEX(tBatches[[Batch Start Date]],210))</f>
        <v/>
      </c>
      <c r="E214" s="36">
        <f>IF($A214="","",INDEX(tBatches[[Status]],210)&amp;"")</f>
        <v/>
      </c>
      <c r="F214" s="31">
        <f>IF($A214="","",IF(N(INDEX(tBatches[[Closing Date]],210))=0,"",INDEX(tBatches[[Closing Date]],210)))</f>
        <v/>
      </c>
      <c r="G214" s="39">
        <f>IF($A214="","",INDEX(tBatches[[Age (days)]],210))</f>
        <v/>
      </c>
      <c r="H214" s="39">
        <f>IF($A214="","",N(INDEX(tBatches[[Initial Quantity]],210)))</f>
        <v/>
      </c>
      <c r="I214" s="39">
        <f>IF($A214="","",INDEX(tBatches[[Transfers In / Added]],210))</f>
        <v/>
      </c>
      <c r="J214" s="39">
        <f>IF($A214="","",INDEX(tBatches[[Deaths]],210))</f>
        <v/>
      </c>
      <c r="K214" s="39">
        <f>IF($A214="","",INDEX(tBatches[[Heads Sold]],210))</f>
        <v/>
      </c>
      <c r="L214" s="39">
        <f>IF($A214="","",INDEX(tBatches[[Transfers Out]],210))</f>
        <v/>
      </c>
      <c r="M214" s="39">
        <f>IF($A214="","",INDEX(tBatches[[Current Quantity]],210))</f>
        <v/>
      </c>
      <c r="N214" s="40">
        <f>IF($A214="","",IFERROR(J214/(H214+I214),0))</f>
        <v/>
      </c>
      <c r="O214" s="28">
        <f>IF($A214="","",SUMIFS(tFeedIss[[Quantity Issued in kg]],tFeedIss[[Batch ID]],$A214))</f>
        <v/>
      </c>
      <c r="P214" s="29">
        <f>IF($A214="","",SUMIFS(tFeedIss[[Total Cost]],tFeedIss[[Batch ID]],$A214))</f>
        <v/>
      </c>
      <c r="Q214" s="29">
        <f>IF($A214="","",SUMIFS(tDrugUse[[Total Cost]],tDrugUse[[Batch ID]],$A214))</f>
        <v/>
      </c>
      <c r="R214" s="29">
        <f>IF($A214="","",SUMIFS(tExp[[Amount]],tExp[[Batch ID (if applicable)]],$A214))</f>
        <v/>
      </c>
      <c r="S214" s="41">
        <f>IF($A214="","",P214+Q214+R214)</f>
        <v/>
      </c>
      <c r="T214" s="41">
        <f>IF($A214="","",SUMIFS(tSales[[Total Revenue]],tSales[[Batch ID]],$A214))</f>
        <v/>
      </c>
      <c r="U214" s="41">
        <f>IF($A214="","",T214-S214)</f>
        <v/>
      </c>
      <c r="V214" s="29">
        <f>IF($A214="","",IFERROR(S214/(H214+I214),""))</f>
        <v/>
      </c>
      <c r="W214" s="29">
        <f>IF($A214="","",IF(K214=0,"",T214/K214))</f>
        <v/>
      </c>
      <c r="X214" s="42">
        <f>IF($A214="","",IFERROR(O214/(H214+I214),""))</f>
        <v/>
      </c>
      <c r="Y214" s="43">
        <f>IF($A214="","",IF(_xlfn.MAXIFS(tProd[[Date]],tProd[[Batch ID]],$A214,tProd[[Measurement Type]],"Weighing")=0,"",IFERROR(AVERAGEIFS(tProd[[Average Weight kg]],tProd[[Batch ID]],$A214,tProd[[Measurement Type]],"Weighing",tProd[[Date]],_xlfn.MAXIFS(tProd[[Date]],tProd[[Batch ID]],$A214,tProd[[Measurement Type]],"Weighing")),"")))</f>
        <v/>
      </c>
    </row>
    <row r="215">
      <c r="A215" s="27">
        <f>IFERROR(INDEX(tBatches[[Batch ID]],211)&amp;"","")</f>
        <v/>
      </c>
      <c r="B215" s="36">
        <f>IF($A215="","",INDEX(tBatches[[Pen ID]],211)&amp;"")</f>
        <v/>
      </c>
      <c r="C215" s="36">
        <f>IF($A215="","",INDEX(tBatches[[Animal Type]],211)&amp;"")</f>
        <v/>
      </c>
      <c r="D215" s="31">
        <f>IF($A215="","",INDEX(tBatches[[Batch Start Date]],211))</f>
        <v/>
      </c>
      <c r="E215" s="36">
        <f>IF($A215="","",INDEX(tBatches[[Status]],211)&amp;"")</f>
        <v/>
      </c>
      <c r="F215" s="31">
        <f>IF($A215="","",IF(N(INDEX(tBatches[[Closing Date]],211))=0,"",INDEX(tBatches[[Closing Date]],211)))</f>
        <v/>
      </c>
      <c r="G215" s="39">
        <f>IF($A215="","",INDEX(tBatches[[Age (days)]],211))</f>
        <v/>
      </c>
      <c r="H215" s="39">
        <f>IF($A215="","",N(INDEX(tBatches[[Initial Quantity]],211)))</f>
        <v/>
      </c>
      <c r="I215" s="39">
        <f>IF($A215="","",INDEX(tBatches[[Transfers In / Added]],211))</f>
        <v/>
      </c>
      <c r="J215" s="39">
        <f>IF($A215="","",INDEX(tBatches[[Deaths]],211))</f>
        <v/>
      </c>
      <c r="K215" s="39">
        <f>IF($A215="","",INDEX(tBatches[[Heads Sold]],211))</f>
        <v/>
      </c>
      <c r="L215" s="39">
        <f>IF($A215="","",INDEX(tBatches[[Transfers Out]],211))</f>
        <v/>
      </c>
      <c r="M215" s="39">
        <f>IF($A215="","",INDEX(tBatches[[Current Quantity]],211))</f>
        <v/>
      </c>
      <c r="N215" s="40">
        <f>IF($A215="","",IFERROR(J215/(H215+I215),0))</f>
        <v/>
      </c>
      <c r="O215" s="28">
        <f>IF($A215="","",SUMIFS(tFeedIss[[Quantity Issued in kg]],tFeedIss[[Batch ID]],$A215))</f>
        <v/>
      </c>
      <c r="P215" s="29">
        <f>IF($A215="","",SUMIFS(tFeedIss[[Total Cost]],tFeedIss[[Batch ID]],$A215))</f>
        <v/>
      </c>
      <c r="Q215" s="29">
        <f>IF($A215="","",SUMIFS(tDrugUse[[Total Cost]],tDrugUse[[Batch ID]],$A215))</f>
        <v/>
      </c>
      <c r="R215" s="29">
        <f>IF($A215="","",SUMIFS(tExp[[Amount]],tExp[[Batch ID (if applicable)]],$A215))</f>
        <v/>
      </c>
      <c r="S215" s="41">
        <f>IF($A215="","",P215+Q215+R215)</f>
        <v/>
      </c>
      <c r="T215" s="41">
        <f>IF($A215="","",SUMIFS(tSales[[Total Revenue]],tSales[[Batch ID]],$A215))</f>
        <v/>
      </c>
      <c r="U215" s="41">
        <f>IF($A215="","",T215-S215)</f>
        <v/>
      </c>
      <c r="V215" s="29">
        <f>IF($A215="","",IFERROR(S215/(H215+I215),""))</f>
        <v/>
      </c>
      <c r="W215" s="29">
        <f>IF($A215="","",IF(K215=0,"",T215/K215))</f>
        <v/>
      </c>
      <c r="X215" s="42">
        <f>IF($A215="","",IFERROR(O215/(H215+I215),""))</f>
        <v/>
      </c>
      <c r="Y215" s="43">
        <f>IF($A215="","",IF(_xlfn.MAXIFS(tProd[[Date]],tProd[[Batch ID]],$A215,tProd[[Measurement Type]],"Weighing")=0,"",IFERROR(AVERAGEIFS(tProd[[Average Weight kg]],tProd[[Batch ID]],$A215,tProd[[Measurement Type]],"Weighing",tProd[[Date]],_xlfn.MAXIFS(tProd[[Date]],tProd[[Batch ID]],$A215,tProd[[Measurement Type]],"Weighing")),"")))</f>
        <v/>
      </c>
    </row>
    <row r="216">
      <c r="A216" s="27">
        <f>IFERROR(INDEX(tBatches[[Batch ID]],212)&amp;"","")</f>
        <v/>
      </c>
      <c r="B216" s="36">
        <f>IF($A216="","",INDEX(tBatches[[Pen ID]],212)&amp;"")</f>
        <v/>
      </c>
      <c r="C216" s="36">
        <f>IF($A216="","",INDEX(tBatches[[Animal Type]],212)&amp;"")</f>
        <v/>
      </c>
      <c r="D216" s="31">
        <f>IF($A216="","",INDEX(tBatches[[Batch Start Date]],212))</f>
        <v/>
      </c>
      <c r="E216" s="36">
        <f>IF($A216="","",INDEX(tBatches[[Status]],212)&amp;"")</f>
        <v/>
      </c>
      <c r="F216" s="31">
        <f>IF($A216="","",IF(N(INDEX(tBatches[[Closing Date]],212))=0,"",INDEX(tBatches[[Closing Date]],212)))</f>
        <v/>
      </c>
      <c r="G216" s="39">
        <f>IF($A216="","",INDEX(tBatches[[Age (days)]],212))</f>
        <v/>
      </c>
      <c r="H216" s="39">
        <f>IF($A216="","",N(INDEX(tBatches[[Initial Quantity]],212)))</f>
        <v/>
      </c>
      <c r="I216" s="39">
        <f>IF($A216="","",INDEX(tBatches[[Transfers In / Added]],212))</f>
        <v/>
      </c>
      <c r="J216" s="39">
        <f>IF($A216="","",INDEX(tBatches[[Deaths]],212))</f>
        <v/>
      </c>
      <c r="K216" s="39">
        <f>IF($A216="","",INDEX(tBatches[[Heads Sold]],212))</f>
        <v/>
      </c>
      <c r="L216" s="39">
        <f>IF($A216="","",INDEX(tBatches[[Transfers Out]],212))</f>
        <v/>
      </c>
      <c r="M216" s="39">
        <f>IF($A216="","",INDEX(tBatches[[Current Quantity]],212))</f>
        <v/>
      </c>
      <c r="N216" s="40">
        <f>IF($A216="","",IFERROR(J216/(H216+I216),0))</f>
        <v/>
      </c>
      <c r="O216" s="28">
        <f>IF($A216="","",SUMIFS(tFeedIss[[Quantity Issued in kg]],tFeedIss[[Batch ID]],$A216))</f>
        <v/>
      </c>
      <c r="P216" s="29">
        <f>IF($A216="","",SUMIFS(tFeedIss[[Total Cost]],tFeedIss[[Batch ID]],$A216))</f>
        <v/>
      </c>
      <c r="Q216" s="29">
        <f>IF($A216="","",SUMIFS(tDrugUse[[Total Cost]],tDrugUse[[Batch ID]],$A216))</f>
        <v/>
      </c>
      <c r="R216" s="29">
        <f>IF($A216="","",SUMIFS(tExp[[Amount]],tExp[[Batch ID (if applicable)]],$A216))</f>
        <v/>
      </c>
      <c r="S216" s="41">
        <f>IF($A216="","",P216+Q216+R216)</f>
        <v/>
      </c>
      <c r="T216" s="41">
        <f>IF($A216="","",SUMIFS(tSales[[Total Revenue]],tSales[[Batch ID]],$A216))</f>
        <v/>
      </c>
      <c r="U216" s="41">
        <f>IF($A216="","",T216-S216)</f>
        <v/>
      </c>
      <c r="V216" s="29">
        <f>IF($A216="","",IFERROR(S216/(H216+I216),""))</f>
        <v/>
      </c>
      <c r="W216" s="29">
        <f>IF($A216="","",IF(K216=0,"",T216/K216))</f>
        <v/>
      </c>
      <c r="X216" s="42">
        <f>IF($A216="","",IFERROR(O216/(H216+I216),""))</f>
        <v/>
      </c>
      <c r="Y216" s="43">
        <f>IF($A216="","",IF(_xlfn.MAXIFS(tProd[[Date]],tProd[[Batch ID]],$A216,tProd[[Measurement Type]],"Weighing")=0,"",IFERROR(AVERAGEIFS(tProd[[Average Weight kg]],tProd[[Batch ID]],$A216,tProd[[Measurement Type]],"Weighing",tProd[[Date]],_xlfn.MAXIFS(tProd[[Date]],tProd[[Batch ID]],$A216,tProd[[Measurement Type]],"Weighing")),"")))</f>
        <v/>
      </c>
    </row>
    <row r="217">
      <c r="A217" s="27">
        <f>IFERROR(INDEX(tBatches[[Batch ID]],213)&amp;"","")</f>
        <v/>
      </c>
      <c r="B217" s="36">
        <f>IF($A217="","",INDEX(tBatches[[Pen ID]],213)&amp;"")</f>
        <v/>
      </c>
      <c r="C217" s="36">
        <f>IF($A217="","",INDEX(tBatches[[Animal Type]],213)&amp;"")</f>
        <v/>
      </c>
      <c r="D217" s="31">
        <f>IF($A217="","",INDEX(tBatches[[Batch Start Date]],213))</f>
        <v/>
      </c>
      <c r="E217" s="36">
        <f>IF($A217="","",INDEX(tBatches[[Status]],213)&amp;"")</f>
        <v/>
      </c>
      <c r="F217" s="31">
        <f>IF($A217="","",IF(N(INDEX(tBatches[[Closing Date]],213))=0,"",INDEX(tBatches[[Closing Date]],213)))</f>
        <v/>
      </c>
      <c r="G217" s="39">
        <f>IF($A217="","",INDEX(tBatches[[Age (days)]],213))</f>
        <v/>
      </c>
      <c r="H217" s="39">
        <f>IF($A217="","",N(INDEX(tBatches[[Initial Quantity]],213)))</f>
        <v/>
      </c>
      <c r="I217" s="39">
        <f>IF($A217="","",INDEX(tBatches[[Transfers In / Added]],213))</f>
        <v/>
      </c>
      <c r="J217" s="39">
        <f>IF($A217="","",INDEX(tBatches[[Deaths]],213))</f>
        <v/>
      </c>
      <c r="K217" s="39">
        <f>IF($A217="","",INDEX(tBatches[[Heads Sold]],213))</f>
        <v/>
      </c>
      <c r="L217" s="39">
        <f>IF($A217="","",INDEX(tBatches[[Transfers Out]],213))</f>
        <v/>
      </c>
      <c r="M217" s="39">
        <f>IF($A217="","",INDEX(tBatches[[Current Quantity]],213))</f>
        <v/>
      </c>
      <c r="N217" s="40">
        <f>IF($A217="","",IFERROR(J217/(H217+I217),0))</f>
        <v/>
      </c>
      <c r="O217" s="28">
        <f>IF($A217="","",SUMIFS(tFeedIss[[Quantity Issued in kg]],tFeedIss[[Batch ID]],$A217))</f>
        <v/>
      </c>
      <c r="P217" s="29">
        <f>IF($A217="","",SUMIFS(tFeedIss[[Total Cost]],tFeedIss[[Batch ID]],$A217))</f>
        <v/>
      </c>
      <c r="Q217" s="29">
        <f>IF($A217="","",SUMIFS(tDrugUse[[Total Cost]],tDrugUse[[Batch ID]],$A217))</f>
        <v/>
      </c>
      <c r="R217" s="29">
        <f>IF($A217="","",SUMIFS(tExp[[Amount]],tExp[[Batch ID (if applicable)]],$A217))</f>
        <v/>
      </c>
      <c r="S217" s="41">
        <f>IF($A217="","",P217+Q217+R217)</f>
        <v/>
      </c>
      <c r="T217" s="41">
        <f>IF($A217="","",SUMIFS(tSales[[Total Revenue]],tSales[[Batch ID]],$A217))</f>
        <v/>
      </c>
      <c r="U217" s="41">
        <f>IF($A217="","",T217-S217)</f>
        <v/>
      </c>
      <c r="V217" s="29">
        <f>IF($A217="","",IFERROR(S217/(H217+I217),""))</f>
        <v/>
      </c>
      <c r="W217" s="29">
        <f>IF($A217="","",IF(K217=0,"",T217/K217))</f>
        <v/>
      </c>
      <c r="X217" s="42">
        <f>IF($A217="","",IFERROR(O217/(H217+I217),""))</f>
        <v/>
      </c>
      <c r="Y217" s="43">
        <f>IF($A217="","",IF(_xlfn.MAXIFS(tProd[[Date]],tProd[[Batch ID]],$A217,tProd[[Measurement Type]],"Weighing")=0,"",IFERROR(AVERAGEIFS(tProd[[Average Weight kg]],tProd[[Batch ID]],$A217,tProd[[Measurement Type]],"Weighing",tProd[[Date]],_xlfn.MAXIFS(tProd[[Date]],tProd[[Batch ID]],$A217,tProd[[Measurement Type]],"Weighing")),"")))</f>
        <v/>
      </c>
    </row>
    <row r="218">
      <c r="A218" s="27">
        <f>IFERROR(INDEX(tBatches[[Batch ID]],214)&amp;"","")</f>
        <v/>
      </c>
      <c r="B218" s="36">
        <f>IF($A218="","",INDEX(tBatches[[Pen ID]],214)&amp;"")</f>
        <v/>
      </c>
      <c r="C218" s="36">
        <f>IF($A218="","",INDEX(tBatches[[Animal Type]],214)&amp;"")</f>
        <v/>
      </c>
      <c r="D218" s="31">
        <f>IF($A218="","",INDEX(tBatches[[Batch Start Date]],214))</f>
        <v/>
      </c>
      <c r="E218" s="36">
        <f>IF($A218="","",INDEX(tBatches[[Status]],214)&amp;"")</f>
        <v/>
      </c>
      <c r="F218" s="31">
        <f>IF($A218="","",IF(N(INDEX(tBatches[[Closing Date]],214))=0,"",INDEX(tBatches[[Closing Date]],214)))</f>
        <v/>
      </c>
      <c r="G218" s="39">
        <f>IF($A218="","",INDEX(tBatches[[Age (days)]],214))</f>
        <v/>
      </c>
      <c r="H218" s="39">
        <f>IF($A218="","",N(INDEX(tBatches[[Initial Quantity]],214)))</f>
        <v/>
      </c>
      <c r="I218" s="39">
        <f>IF($A218="","",INDEX(tBatches[[Transfers In / Added]],214))</f>
        <v/>
      </c>
      <c r="J218" s="39">
        <f>IF($A218="","",INDEX(tBatches[[Deaths]],214))</f>
        <v/>
      </c>
      <c r="K218" s="39">
        <f>IF($A218="","",INDEX(tBatches[[Heads Sold]],214))</f>
        <v/>
      </c>
      <c r="L218" s="39">
        <f>IF($A218="","",INDEX(tBatches[[Transfers Out]],214))</f>
        <v/>
      </c>
      <c r="M218" s="39">
        <f>IF($A218="","",INDEX(tBatches[[Current Quantity]],214))</f>
        <v/>
      </c>
      <c r="N218" s="40">
        <f>IF($A218="","",IFERROR(J218/(H218+I218),0))</f>
        <v/>
      </c>
      <c r="O218" s="28">
        <f>IF($A218="","",SUMIFS(tFeedIss[[Quantity Issued in kg]],tFeedIss[[Batch ID]],$A218))</f>
        <v/>
      </c>
      <c r="P218" s="29">
        <f>IF($A218="","",SUMIFS(tFeedIss[[Total Cost]],tFeedIss[[Batch ID]],$A218))</f>
        <v/>
      </c>
      <c r="Q218" s="29">
        <f>IF($A218="","",SUMIFS(tDrugUse[[Total Cost]],tDrugUse[[Batch ID]],$A218))</f>
        <v/>
      </c>
      <c r="R218" s="29">
        <f>IF($A218="","",SUMIFS(tExp[[Amount]],tExp[[Batch ID (if applicable)]],$A218))</f>
        <v/>
      </c>
      <c r="S218" s="41">
        <f>IF($A218="","",P218+Q218+R218)</f>
        <v/>
      </c>
      <c r="T218" s="41">
        <f>IF($A218="","",SUMIFS(tSales[[Total Revenue]],tSales[[Batch ID]],$A218))</f>
        <v/>
      </c>
      <c r="U218" s="41">
        <f>IF($A218="","",T218-S218)</f>
        <v/>
      </c>
      <c r="V218" s="29">
        <f>IF($A218="","",IFERROR(S218/(H218+I218),""))</f>
        <v/>
      </c>
      <c r="W218" s="29">
        <f>IF($A218="","",IF(K218=0,"",T218/K218))</f>
        <v/>
      </c>
      <c r="X218" s="42">
        <f>IF($A218="","",IFERROR(O218/(H218+I218),""))</f>
        <v/>
      </c>
      <c r="Y218" s="43">
        <f>IF($A218="","",IF(_xlfn.MAXIFS(tProd[[Date]],tProd[[Batch ID]],$A218,tProd[[Measurement Type]],"Weighing")=0,"",IFERROR(AVERAGEIFS(tProd[[Average Weight kg]],tProd[[Batch ID]],$A218,tProd[[Measurement Type]],"Weighing",tProd[[Date]],_xlfn.MAXIFS(tProd[[Date]],tProd[[Batch ID]],$A218,tProd[[Measurement Type]],"Weighing")),"")))</f>
        <v/>
      </c>
    </row>
    <row r="219">
      <c r="A219" s="27">
        <f>IFERROR(INDEX(tBatches[[Batch ID]],215)&amp;"","")</f>
        <v/>
      </c>
      <c r="B219" s="36">
        <f>IF($A219="","",INDEX(tBatches[[Pen ID]],215)&amp;"")</f>
        <v/>
      </c>
      <c r="C219" s="36">
        <f>IF($A219="","",INDEX(tBatches[[Animal Type]],215)&amp;"")</f>
        <v/>
      </c>
      <c r="D219" s="31">
        <f>IF($A219="","",INDEX(tBatches[[Batch Start Date]],215))</f>
        <v/>
      </c>
      <c r="E219" s="36">
        <f>IF($A219="","",INDEX(tBatches[[Status]],215)&amp;"")</f>
        <v/>
      </c>
      <c r="F219" s="31">
        <f>IF($A219="","",IF(N(INDEX(tBatches[[Closing Date]],215))=0,"",INDEX(tBatches[[Closing Date]],215)))</f>
        <v/>
      </c>
      <c r="G219" s="39">
        <f>IF($A219="","",INDEX(tBatches[[Age (days)]],215))</f>
        <v/>
      </c>
      <c r="H219" s="39">
        <f>IF($A219="","",N(INDEX(tBatches[[Initial Quantity]],215)))</f>
        <v/>
      </c>
      <c r="I219" s="39">
        <f>IF($A219="","",INDEX(tBatches[[Transfers In / Added]],215))</f>
        <v/>
      </c>
      <c r="J219" s="39">
        <f>IF($A219="","",INDEX(tBatches[[Deaths]],215))</f>
        <v/>
      </c>
      <c r="K219" s="39">
        <f>IF($A219="","",INDEX(tBatches[[Heads Sold]],215))</f>
        <v/>
      </c>
      <c r="L219" s="39">
        <f>IF($A219="","",INDEX(tBatches[[Transfers Out]],215))</f>
        <v/>
      </c>
      <c r="M219" s="39">
        <f>IF($A219="","",INDEX(tBatches[[Current Quantity]],215))</f>
        <v/>
      </c>
      <c r="N219" s="40">
        <f>IF($A219="","",IFERROR(J219/(H219+I219),0))</f>
        <v/>
      </c>
      <c r="O219" s="28">
        <f>IF($A219="","",SUMIFS(tFeedIss[[Quantity Issued in kg]],tFeedIss[[Batch ID]],$A219))</f>
        <v/>
      </c>
      <c r="P219" s="29">
        <f>IF($A219="","",SUMIFS(tFeedIss[[Total Cost]],tFeedIss[[Batch ID]],$A219))</f>
        <v/>
      </c>
      <c r="Q219" s="29">
        <f>IF($A219="","",SUMIFS(tDrugUse[[Total Cost]],tDrugUse[[Batch ID]],$A219))</f>
        <v/>
      </c>
      <c r="R219" s="29">
        <f>IF($A219="","",SUMIFS(tExp[[Amount]],tExp[[Batch ID (if applicable)]],$A219))</f>
        <v/>
      </c>
      <c r="S219" s="41">
        <f>IF($A219="","",P219+Q219+R219)</f>
        <v/>
      </c>
      <c r="T219" s="41">
        <f>IF($A219="","",SUMIFS(tSales[[Total Revenue]],tSales[[Batch ID]],$A219))</f>
        <v/>
      </c>
      <c r="U219" s="41">
        <f>IF($A219="","",T219-S219)</f>
        <v/>
      </c>
      <c r="V219" s="29">
        <f>IF($A219="","",IFERROR(S219/(H219+I219),""))</f>
        <v/>
      </c>
      <c r="W219" s="29">
        <f>IF($A219="","",IF(K219=0,"",T219/K219))</f>
        <v/>
      </c>
      <c r="X219" s="42">
        <f>IF($A219="","",IFERROR(O219/(H219+I219),""))</f>
        <v/>
      </c>
      <c r="Y219" s="43">
        <f>IF($A219="","",IF(_xlfn.MAXIFS(tProd[[Date]],tProd[[Batch ID]],$A219,tProd[[Measurement Type]],"Weighing")=0,"",IFERROR(AVERAGEIFS(tProd[[Average Weight kg]],tProd[[Batch ID]],$A219,tProd[[Measurement Type]],"Weighing",tProd[[Date]],_xlfn.MAXIFS(tProd[[Date]],tProd[[Batch ID]],$A219,tProd[[Measurement Type]],"Weighing")),"")))</f>
        <v/>
      </c>
    </row>
    <row r="220">
      <c r="A220" s="27">
        <f>IFERROR(INDEX(tBatches[[Batch ID]],216)&amp;"","")</f>
        <v/>
      </c>
      <c r="B220" s="36">
        <f>IF($A220="","",INDEX(tBatches[[Pen ID]],216)&amp;"")</f>
        <v/>
      </c>
      <c r="C220" s="36">
        <f>IF($A220="","",INDEX(tBatches[[Animal Type]],216)&amp;"")</f>
        <v/>
      </c>
      <c r="D220" s="31">
        <f>IF($A220="","",INDEX(tBatches[[Batch Start Date]],216))</f>
        <v/>
      </c>
      <c r="E220" s="36">
        <f>IF($A220="","",INDEX(tBatches[[Status]],216)&amp;"")</f>
        <v/>
      </c>
      <c r="F220" s="31">
        <f>IF($A220="","",IF(N(INDEX(tBatches[[Closing Date]],216))=0,"",INDEX(tBatches[[Closing Date]],216)))</f>
        <v/>
      </c>
      <c r="G220" s="39">
        <f>IF($A220="","",INDEX(tBatches[[Age (days)]],216))</f>
        <v/>
      </c>
      <c r="H220" s="39">
        <f>IF($A220="","",N(INDEX(tBatches[[Initial Quantity]],216)))</f>
        <v/>
      </c>
      <c r="I220" s="39">
        <f>IF($A220="","",INDEX(tBatches[[Transfers In / Added]],216))</f>
        <v/>
      </c>
      <c r="J220" s="39">
        <f>IF($A220="","",INDEX(tBatches[[Deaths]],216))</f>
        <v/>
      </c>
      <c r="K220" s="39">
        <f>IF($A220="","",INDEX(tBatches[[Heads Sold]],216))</f>
        <v/>
      </c>
      <c r="L220" s="39">
        <f>IF($A220="","",INDEX(tBatches[[Transfers Out]],216))</f>
        <v/>
      </c>
      <c r="M220" s="39">
        <f>IF($A220="","",INDEX(tBatches[[Current Quantity]],216))</f>
        <v/>
      </c>
      <c r="N220" s="40">
        <f>IF($A220="","",IFERROR(J220/(H220+I220),0))</f>
        <v/>
      </c>
      <c r="O220" s="28">
        <f>IF($A220="","",SUMIFS(tFeedIss[[Quantity Issued in kg]],tFeedIss[[Batch ID]],$A220))</f>
        <v/>
      </c>
      <c r="P220" s="29">
        <f>IF($A220="","",SUMIFS(tFeedIss[[Total Cost]],tFeedIss[[Batch ID]],$A220))</f>
        <v/>
      </c>
      <c r="Q220" s="29">
        <f>IF($A220="","",SUMIFS(tDrugUse[[Total Cost]],tDrugUse[[Batch ID]],$A220))</f>
        <v/>
      </c>
      <c r="R220" s="29">
        <f>IF($A220="","",SUMIFS(tExp[[Amount]],tExp[[Batch ID (if applicable)]],$A220))</f>
        <v/>
      </c>
      <c r="S220" s="41">
        <f>IF($A220="","",P220+Q220+R220)</f>
        <v/>
      </c>
      <c r="T220" s="41">
        <f>IF($A220="","",SUMIFS(tSales[[Total Revenue]],tSales[[Batch ID]],$A220))</f>
        <v/>
      </c>
      <c r="U220" s="41">
        <f>IF($A220="","",T220-S220)</f>
        <v/>
      </c>
      <c r="V220" s="29">
        <f>IF($A220="","",IFERROR(S220/(H220+I220),""))</f>
        <v/>
      </c>
      <c r="W220" s="29">
        <f>IF($A220="","",IF(K220=0,"",T220/K220))</f>
        <v/>
      </c>
      <c r="X220" s="42">
        <f>IF($A220="","",IFERROR(O220/(H220+I220),""))</f>
        <v/>
      </c>
      <c r="Y220" s="43">
        <f>IF($A220="","",IF(_xlfn.MAXIFS(tProd[[Date]],tProd[[Batch ID]],$A220,tProd[[Measurement Type]],"Weighing")=0,"",IFERROR(AVERAGEIFS(tProd[[Average Weight kg]],tProd[[Batch ID]],$A220,tProd[[Measurement Type]],"Weighing",tProd[[Date]],_xlfn.MAXIFS(tProd[[Date]],tProd[[Batch ID]],$A220,tProd[[Measurement Type]],"Weighing")),"")))</f>
        <v/>
      </c>
    </row>
    <row r="221">
      <c r="A221" s="27">
        <f>IFERROR(INDEX(tBatches[[Batch ID]],217)&amp;"","")</f>
        <v/>
      </c>
      <c r="B221" s="36">
        <f>IF($A221="","",INDEX(tBatches[[Pen ID]],217)&amp;"")</f>
        <v/>
      </c>
      <c r="C221" s="36">
        <f>IF($A221="","",INDEX(tBatches[[Animal Type]],217)&amp;"")</f>
        <v/>
      </c>
      <c r="D221" s="31">
        <f>IF($A221="","",INDEX(tBatches[[Batch Start Date]],217))</f>
        <v/>
      </c>
      <c r="E221" s="36">
        <f>IF($A221="","",INDEX(tBatches[[Status]],217)&amp;"")</f>
        <v/>
      </c>
      <c r="F221" s="31">
        <f>IF($A221="","",IF(N(INDEX(tBatches[[Closing Date]],217))=0,"",INDEX(tBatches[[Closing Date]],217)))</f>
        <v/>
      </c>
      <c r="G221" s="39">
        <f>IF($A221="","",INDEX(tBatches[[Age (days)]],217))</f>
        <v/>
      </c>
      <c r="H221" s="39">
        <f>IF($A221="","",N(INDEX(tBatches[[Initial Quantity]],217)))</f>
        <v/>
      </c>
      <c r="I221" s="39">
        <f>IF($A221="","",INDEX(tBatches[[Transfers In / Added]],217))</f>
        <v/>
      </c>
      <c r="J221" s="39">
        <f>IF($A221="","",INDEX(tBatches[[Deaths]],217))</f>
        <v/>
      </c>
      <c r="K221" s="39">
        <f>IF($A221="","",INDEX(tBatches[[Heads Sold]],217))</f>
        <v/>
      </c>
      <c r="L221" s="39">
        <f>IF($A221="","",INDEX(tBatches[[Transfers Out]],217))</f>
        <v/>
      </c>
      <c r="M221" s="39">
        <f>IF($A221="","",INDEX(tBatches[[Current Quantity]],217))</f>
        <v/>
      </c>
      <c r="N221" s="40">
        <f>IF($A221="","",IFERROR(J221/(H221+I221),0))</f>
        <v/>
      </c>
      <c r="O221" s="28">
        <f>IF($A221="","",SUMIFS(tFeedIss[[Quantity Issued in kg]],tFeedIss[[Batch ID]],$A221))</f>
        <v/>
      </c>
      <c r="P221" s="29">
        <f>IF($A221="","",SUMIFS(tFeedIss[[Total Cost]],tFeedIss[[Batch ID]],$A221))</f>
        <v/>
      </c>
      <c r="Q221" s="29">
        <f>IF($A221="","",SUMIFS(tDrugUse[[Total Cost]],tDrugUse[[Batch ID]],$A221))</f>
        <v/>
      </c>
      <c r="R221" s="29">
        <f>IF($A221="","",SUMIFS(tExp[[Amount]],tExp[[Batch ID (if applicable)]],$A221))</f>
        <v/>
      </c>
      <c r="S221" s="41">
        <f>IF($A221="","",P221+Q221+R221)</f>
        <v/>
      </c>
      <c r="T221" s="41">
        <f>IF($A221="","",SUMIFS(tSales[[Total Revenue]],tSales[[Batch ID]],$A221))</f>
        <v/>
      </c>
      <c r="U221" s="41">
        <f>IF($A221="","",T221-S221)</f>
        <v/>
      </c>
      <c r="V221" s="29">
        <f>IF($A221="","",IFERROR(S221/(H221+I221),""))</f>
        <v/>
      </c>
      <c r="W221" s="29">
        <f>IF($A221="","",IF(K221=0,"",T221/K221))</f>
        <v/>
      </c>
      <c r="X221" s="42">
        <f>IF($A221="","",IFERROR(O221/(H221+I221),""))</f>
        <v/>
      </c>
      <c r="Y221" s="43">
        <f>IF($A221="","",IF(_xlfn.MAXIFS(tProd[[Date]],tProd[[Batch ID]],$A221,tProd[[Measurement Type]],"Weighing")=0,"",IFERROR(AVERAGEIFS(tProd[[Average Weight kg]],tProd[[Batch ID]],$A221,tProd[[Measurement Type]],"Weighing",tProd[[Date]],_xlfn.MAXIFS(tProd[[Date]],tProd[[Batch ID]],$A221,tProd[[Measurement Type]],"Weighing")),"")))</f>
        <v/>
      </c>
    </row>
    <row r="222">
      <c r="A222" s="27">
        <f>IFERROR(INDEX(tBatches[[Batch ID]],218)&amp;"","")</f>
        <v/>
      </c>
      <c r="B222" s="36">
        <f>IF($A222="","",INDEX(tBatches[[Pen ID]],218)&amp;"")</f>
        <v/>
      </c>
      <c r="C222" s="36">
        <f>IF($A222="","",INDEX(tBatches[[Animal Type]],218)&amp;"")</f>
        <v/>
      </c>
      <c r="D222" s="31">
        <f>IF($A222="","",INDEX(tBatches[[Batch Start Date]],218))</f>
        <v/>
      </c>
      <c r="E222" s="36">
        <f>IF($A222="","",INDEX(tBatches[[Status]],218)&amp;"")</f>
        <v/>
      </c>
      <c r="F222" s="31">
        <f>IF($A222="","",IF(N(INDEX(tBatches[[Closing Date]],218))=0,"",INDEX(tBatches[[Closing Date]],218)))</f>
        <v/>
      </c>
      <c r="G222" s="39">
        <f>IF($A222="","",INDEX(tBatches[[Age (days)]],218))</f>
        <v/>
      </c>
      <c r="H222" s="39">
        <f>IF($A222="","",N(INDEX(tBatches[[Initial Quantity]],218)))</f>
        <v/>
      </c>
      <c r="I222" s="39">
        <f>IF($A222="","",INDEX(tBatches[[Transfers In / Added]],218))</f>
        <v/>
      </c>
      <c r="J222" s="39">
        <f>IF($A222="","",INDEX(tBatches[[Deaths]],218))</f>
        <v/>
      </c>
      <c r="K222" s="39">
        <f>IF($A222="","",INDEX(tBatches[[Heads Sold]],218))</f>
        <v/>
      </c>
      <c r="L222" s="39">
        <f>IF($A222="","",INDEX(tBatches[[Transfers Out]],218))</f>
        <v/>
      </c>
      <c r="M222" s="39">
        <f>IF($A222="","",INDEX(tBatches[[Current Quantity]],218))</f>
        <v/>
      </c>
      <c r="N222" s="40">
        <f>IF($A222="","",IFERROR(J222/(H222+I222),0))</f>
        <v/>
      </c>
      <c r="O222" s="28">
        <f>IF($A222="","",SUMIFS(tFeedIss[[Quantity Issued in kg]],tFeedIss[[Batch ID]],$A222))</f>
        <v/>
      </c>
      <c r="P222" s="29">
        <f>IF($A222="","",SUMIFS(tFeedIss[[Total Cost]],tFeedIss[[Batch ID]],$A222))</f>
        <v/>
      </c>
      <c r="Q222" s="29">
        <f>IF($A222="","",SUMIFS(tDrugUse[[Total Cost]],tDrugUse[[Batch ID]],$A222))</f>
        <v/>
      </c>
      <c r="R222" s="29">
        <f>IF($A222="","",SUMIFS(tExp[[Amount]],tExp[[Batch ID (if applicable)]],$A222))</f>
        <v/>
      </c>
      <c r="S222" s="41">
        <f>IF($A222="","",P222+Q222+R222)</f>
        <v/>
      </c>
      <c r="T222" s="41">
        <f>IF($A222="","",SUMIFS(tSales[[Total Revenue]],tSales[[Batch ID]],$A222))</f>
        <v/>
      </c>
      <c r="U222" s="41">
        <f>IF($A222="","",T222-S222)</f>
        <v/>
      </c>
      <c r="V222" s="29">
        <f>IF($A222="","",IFERROR(S222/(H222+I222),""))</f>
        <v/>
      </c>
      <c r="W222" s="29">
        <f>IF($A222="","",IF(K222=0,"",T222/K222))</f>
        <v/>
      </c>
      <c r="X222" s="42">
        <f>IF($A222="","",IFERROR(O222/(H222+I222),""))</f>
        <v/>
      </c>
      <c r="Y222" s="43">
        <f>IF($A222="","",IF(_xlfn.MAXIFS(tProd[[Date]],tProd[[Batch ID]],$A222,tProd[[Measurement Type]],"Weighing")=0,"",IFERROR(AVERAGEIFS(tProd[[Average Weight kg]],tProd[[Batch ID]],$A222,tProd[[Measurement Type]],"Weighing",tProd[[Date]],_xlfn.MAXIFS(tProd[[Date]],tProd[[Batch ID]],$A222,tProd[[Measurement Type]],"Weighing")),"")))</f>
        <v/>
      </c>
    </row>
    <row r="223">
      <c r="A223" s="27">
        <f>IFERROR(INDEX(tBatches[[Batch ID]],219)&amp;"","")</f>
        <v/>
      </c>
      <c r="B223" s="36">
        <f>IF($A223="","",INDEX(tBatches[[Pen ID]],219)&amp;"")</f>
        <v/>
      </c>
      <c r="C223" s="36">
        <f>IF($A223="","",INDEX(tBatches[[Animal Type]],219)&amp;"")</f>
        <v/>
      </c>
      <c r="D223" s="31">
        <f>IF($A223="","",INDEX(tBatches[[Batch Start Date]],219))</f>
        <v/>
      </c>
      <c r="E223" s="36">
        <f>IF($A223="","",INDEX(tBatches[[Status]],219)&amp;"")</f>
        <v/>
      </c>
      <c r="F223" s="31">
        <f>IF($A223="","",IF(N(INDEX(tBatches[[Closing Date]],219))=0,"",INDEX(tBatches[[Closing Date]],219)))</f>
        <v/>
      </c>
      <c r="G223" s="39">
        <f>IF($A223="","",INDEX(tBatches[[Age (days)]],219))</f>
        <v/>
      </c>
      <c r="H223" s="39">
        <f>IF($A223="","",N(INDEX(tBatches[[Initial Quantity]],219)))</f>
        <v/>
      </c>
      <c r="I223" s="39">
        <f>IF($A223="","",INDEX(tBatches[[Transfers In / Added]],219))</f>
        <v/>
      </c>
      <c r="J223" s="39">
        <f>IF($A223="","",INDEX(tBatches[[Deaths]],219))</f>
        <v/>
      </c>
      <c r="K223" s="39">
        <f>IF($A223="","",INDEX(tBatches[[Heads Sold]],219))</f>
        <v/>
      </c>
      <c r="L223" s="39">
        <f>IF($A223="","",INDEX(tBatches[[Transfers Out]],219))</f>
        <v/>
      </c>
      <c r="M223" s="39">
        <f>IF($A223="","",INDEX(tBatches[[Current Quantity]],219))</f>
        <v/>
      </c>
      <c r="N223" s="40">
        <f>IF($A223="","",IFERROR(J223/(H223+I223),0))</f>
        <v/>
      </c>
      <c r="O223" s="28">
        <f>IF($A223="","",SUMIFS(tFeedIss[[Quantity Issued in kg]],tFeedIss[[Batch ID]],$A223))</f>
        <v/>
      </c>
      <c r="P223" s="29">
        <f>IF($A223="","",SUMIFS(tFeedIss[[Total Cost]],tFeedIss[[Batch ID]],$A223))</f>
        <v/>
      </c>
      <c r="Q223" s="29">
        <f>IF($A223="","",SUMIFS(tDrugUse[[Total Cost]],tDrugUse[[Batch ID]],$A223))</f>
        <v/>
      </c>
      <c r="R223" s="29">
        <f>IF($A223="","",SUMIFS(tExp[[Amount]],tExp[[Batch ID (if applicable)]],$A223))</f>
        <v/>
      </c>
      <c r="S223" s="41">
        <f>IF($A223="","",P223+Q223+R223)</f>
        <v/>
      </c>
      <c r="T223" s="41">
        <f>IF($A223="","",SUMIFS(tSales[[Total Revenue]],tSales[[Batch ID]],$A223))</f>
        <v/>
      </c>
      <c r="U223" s="41">
        <f>IF($A223="","",T223-S223)</f>
        <v/>
      </c>
      <c r="V223" s="29">
        <f>IF($A223="","",IFERROR(S223/(H223+I223),""))</f>
        <v/>
      </c>
      <c r="W223" s="29">
        <f>IF($A223="","",IF(K223=0,"",T223/K223))</f>
        <v/>
      </c>
      <c r="X223" s="42">
        <f>IF($A223="","",IFERROR(O223/(H223+I223),""))</f>
        <v/>
      </c>
      <c r="Y223" s="43">
        <f>IF($A223="","",IF(_xlfn.MAXIFS(tProd[[Date]],tProd[[Batch ID]],$A223,tProd[[Measurement Type]],"Weighing")=0,"",IFERROR(AVERAGEIFS(tProd[[Average Weight kg]],tProd[[Batch ID]],$A223,tProd[[Measurement Type]],"Weighing",tProd[[Date]],_xlfn.MAXIFS(tProd[[Date]],tProd[[Batch ID]],$A223,tProd[[Measurement Type]],"Weighing")),"")))</f>
        <v/>
      </c>
    </row>
    <row r="224">
      <c r="A224" s="27">
        <f>IFERROR(INDEX(tBatches[[Batch ID]],220)&amp;"","")</f>
        <v/>
      </c>
      <c r="B224" s="36">
        <f>IF($A224="","",INDEX(tBatches[[Pen ID]],220)&amp;"")</f>
        <v/>
      </c>
      <c r="C224" s="36">
        <f>IF($A224="","",INDEX(tBatches[[Animal Type]],220)&amp;"")</f>
        <v/>
      </c>
      <c r="D224" s="31">
        <f>IF($A224="","",INDEX(tBatches[[Batch Start Date]],220))</f>
        <v/>
      </c>
      <c r="E224" s="36">
        <f>IF($A224="","",INDEX(tBatches[[Status]],220)&amp;"")</f>
        <v/>
      </c>
      <c r="F224" s="31">
        <f>IF($A224="","",IF(N(INDEX(tBatches[[Closing Date]],220))=0,"",INDEX(tBatches[[Closing Date]],220)))</f>
        <v/>
      </c>
      <c r="G224" s="39">
        <f>IF($A224="","",INDEX(tBatches[[Age (days)]],220))</f>
        <v/>
      </c>
      <c r="H224" s="39">
        <f>IF($A224="","",N(INDEX(tBatches[[Initial Quantity]],220)))</f>
        <v/>
      </c>
      <c r="I224" s="39">
        <f>IF($A224="","",INDEX(tBatches[[Transfers In / Added]],220))</f>
        <v/>
      </c>
      <c r="J224" s="39">
        <f>IF($A224="","",INDEX(tBatches[[Deaths]],220))</f>
        <v/>
      </c>
      <c r="K224" s="39">
        <f>IF($A224="","",INDEX(tBatches[[Heads Sold]],220))</f>
        <v/>
      </c>
      <c r="L224" s="39">
        <f>IF($A224="","",INDEX(tBatches[[Transfers Out]],220))</f>
        <v/>
      </c>
      <c r="M224" s="39">
        <f>IF($A224="","",INDEX(tBatches[[Current Quantity]],220))</f>
        <v/>
      </c>
      <c r="N224" s="40">
        <f>IF($A224="","",IFERROR(J224/(H224+I224),0))</f>
        <v/>
      </c>
      <c r="O224" s="28">
        <f>IF($A224="","",SUMIFS(tFeedIss[[Quantity Issued in kg]],tFeedIss[[Batch ID]],$A224))</f>
        <v/>
      </c>
      <c r="P224" s="29">
        <f>IF($A224="","",SUMIFS(tFeedIss[[Total Cost]],tFeedIss[[Batch ID]],$A224))</f>
        <v/>
      </c>
      <c r="Q224" s="29">
        <f>IF($A224="","",SUMIFS(tDrugUse[[Total Cost]],tDrugUse[[Batch ID]],$A224))</f>
        <v/>
      </c>
      <c r="R224" s="29">
        <f>IF($A224="","",SUMIFS(tExp[[Amount]],tExp[[Batch ID (if applicable)]],$A224))</f>
        <v/>
      </c>
      <c r="S224" s="41">
        <f>IF($A224="","",P224+Q224+R224)</f>
        <v/>
      </c>
      <c r="T224" s="41">
        <f>IF($A224="","",SUMIFS(tSales[[Total Revenue]],tSales[[Batch ID]],$A224))</f>
        <v/>
      </c>
      <c r="U224" s="41">
        <f>IF($A224="","",T224-S224)</f>
        <v/>
      </c>
      <c r="V224" s="29">
        <f>IF($A224="","",IFERROR(S224/(H224+I224),""))</f>
        <v/>
      </c>
      <c r="W224" s="29">
        <f>IF($A224="","",IF(K224=0,"",T224/K224))</f>
        <v/>
      </c>
      <c r="X224" s="42">
        <f>IF($A224="","",IFERROR(O224/(H224+I224),""))</f>
        <v/>
      </c>
      <c r="Y224" s="43">
        <f>IF($A224="","",IF(_xlfn.MAXIFS(tProd[[Date]],tProd[[Batch ID]],$A224,tProd[[Measurement Type]],"Weighing")=0,"",IFERROR(AVERAGEIFS(tProd[[Average Weight kg]],tProd[[Batch ID]],$A224,tProd[[Measurement Type]],"Weighing",tProd[[Date]],_xlfn.MAXIFS(tProd[[Date]],tProd[[Batch ID]],$A224,tProd[[Measurement Type]],"Weighing")),"")))</f>
        <v/>
      </c>
    </row>
    <row r="225">
      <c r="A225" s="27">
        <f>IFERROR(INDEX(tBatches[[Batch ID]],221)&amp;"","")</f>
        <v/>
      </c>
      <c r="B225" s="36">
        <f>IF($A225="","",INDEX(tBatches[[Pen ID]],221)&amp;"")</f>
        <v/>
      </c>
      <c r="C225" s="36">
        <f>IF($A225="","",INDEX(tBatches[[Animal Type]],221)&amp;"")</f>
        <v/>
      </c>
      <c r="D225" s="31">
        <f>IF($A225="","",INDEX(tBatches[[Batch Start Date]],221))</f>
        <v/>
      </c>
      <c r="E225" s="36">
        <f>IF($A225="","",INDEX(tBatches[[Status]],221)&amp;"")</f>
        <v/>
      </c>
      <c r="F225" s="31">
        <f>IF($A225="","",IF(N(INDEX(tBatches[[Closing Date]],221))=0,"",INDEX(tBatches[[Closing Date]],221)))</f>
        <v/>
      </c>
      <c r="G225" s="39">
        <f>IF($A225="","",INDEX(tBatches[[Age (days)]],221))</f>
        <v/>
      </c>
      <c r="H225" s="39">
        <f>IF($A225="","",N(INDEX(tBatches[[Initial Quantity]],221)))</f>
        <v/>
      </c>
      <c r="I225" s="39">
        <f>IF($A225="","",INDEX(tBatches[[Transfers In / Added]],221))</f>
        <v/>
      </c>
      <c r="J225" s="39">
        <f>IF($A225="","",INDEX(tBatches[[Deaths]],221))</f>
        <v/>
      </c>
      <c r="K225" s="39">
        <f>IF($A225="","",INDEX(tBatches[[Heads Sold]],221))</f>
        <v/>
      </c>
      <c r="L225" s="39">
        <f>IF($A225="","",INDEX(tBatches[[Transfers Out]],221))</f>
        <v/>
      </c>
      <c r="M225" s="39">
        <f>IF($A225="","",INDEX(tBatches[[Current Quantity]],221))</f>
        <v/>
      </c>
      <c r="N225" s="40">
        <f>IF($A225="","",IFERROR(J225/(H225+I225),0))</f>
        <v/>
      </c>
      <c r="O225" s="28">
        <f>IF($A225="","",SUMIFS(tFeedIss[[Quantity Issued in kg]],tFeedIss[[Batch ID]],$A225))</f>
        <v/>
      </c>
      <c r="P225" s="29">
        <f>IF($A225="","",SUMIFS(tFeedIss[[Total Cost]],tFeedIss[[Batch ID]],$A225))</f>
        <v/>
      </c>
      <c r="Q225" s="29">
        <f>IF($A225="","",SUMIFS(tDrugUse[[Total Cost]],tDrugUse[[Batch ID]],$A225))</f>
        <v/>
      </c>
      <c r="R225" s="29">
        <f>IF($A225="","",SUMIFS(tExp[[Amount]],tExp[[Batch ID (if applicable)]],$A225))</f>
        <v/>
      </c>
      <c r="S225" s="41">
        <f>IF($A225="","",P225+Q225+R225)</f>
        <v/>
      </c>
      <c r="T225" s="41">
        <f>IF($A225="","",SUMIFS(tSales[[Total Revenue]],tSales[[Batch ID]],$A225))</f>
        <v/>
      </c>
      <c r="U225" s="41">
        <f>IF($A225="","",T225-S225)</f>
        <v/>
      </c>
      <c r="V225" s="29">
        <f>IF($A225="","",IFERROR(S225/(H225+I225),""))</f>
        <v/>
      </c>
      <c r="W225" s="29">
        <f>IF($A225="","",IF(K225=0,"",T225/K225))</f>
        <v/>
      </c>
      <c r="X225" s="42">
        <f>IF($A225="","",IFERROR(O225/(H225+I225),""))</f>
        <v/>
      </c>
      <c r="Y225" s="43">
        <f>IF($A225="","",IF(_xlfn.MAXIFS(tProd[[Date]],tProd[[Batch ID]],$A225,tProd[[Measurement Type]],"Weighing")=0,"",IFERROR(AVERAGEIFS(tProd[[Average Weight kg]],tProd[[Batch ID]],$A225,tProd[[Measurement Type]],"Weighing",tProd[[Date]],_xlfn.MAXIFS(tProd[[Date]],tProd[[Batch ID]],$A225,tProd[[Measurement Type]],"Weighing")),"")))</f>
        <v/>
      </c>
    </row>
    <row r="226">
      <c r="A226" s="27">
        <f>IFERROR(INDEX(tBatches[[Batch ID]],222)&amp;"","")</f>
        <v/>
      </c>
      <c r="B226" s="36">
        <f>IF($A226="","",INDEX(tBatches[[Pen ID]],222)&amp;"")</f>
        <v/>
      </c>
      <c r="C226" s="36">
        <f>IF($A226="","",INDEX(tBatches[[Animal Type]],222)&amp;"")</f>
        <v/>
      </c>
      <c r="D226" s="31">
        <f>IF($A226="","",INDEX(tBatches[[Batch Start Date]],222))</f>
        <v/>
      </c>
      <c r="E226" s="36">
        <f>IF($A226="","",INDEX(tBatches[[Status]],222)&amp;"")</f>
        <v/>
      </c>
      <c r="F226" s="31">
        <f>IF($A226="","",IF(N(INDEX(tBatches[[Closing Date]],222))=0,"",INDEX(tBatches[[Closing Date]],222)))</f>
        <v/>
      </c>
      <c r="G226" s="39">
        <f>IF($A226="","",INDEX(tBatches[[Age (days)]],222))</f>
        <v/>
      </c>
      <c r="H226" s="39">
        <f>IF($A226="","",N(INDEX(tBatches[[Initial Quantity]],222)))</f>
        <v/>
      </c>
      <c r="I226" s="39">
        <f>IF($A226="","",INDEX(tBatches[[Transfers In / Added]],222))</f>
        <v/>
      </c>
      <c r="J226" s="39">
        <f>IF($A226="","",INDEX(tBatches[[Deaths]],222))</f>
        <v/>
      </c>
      <c r="K226" s="39">
        <f>IF($A226="","",INDEX(tBatches[[Heads Sold]],222))</f>
        <v/>
      </c>
      <c r="L226" s="39">
        <f>IF($A226="","",INDEX(tBatches[[Transfers Out]],222))</f>
        <v/>
      </c>
      <c r="M226" s="39">
        <f>IF($A226="","",INDEX(tBatches[[Current Quantity]],222))</f>
        <v/>
      </c>
      <c r="N226" s="40">
        <f>IF($A226="","",IFERROR(J226/(H226+I226),0))</f>
        <v/>
      </c>
      <c r="O226" s="28">
        <f>IF($A226="","",SUMIFS(tFeedIss[[Quantity Issued in kg]],tFeedIss[[Batch ID]],$A226))</f>
        <v/>
      </c>
      <c r="P226" s="29">
        <f>IF($A226="","",SUMIFS(tFeedIss[[Total Cost]],tFeedIss[[Batch ID]],$A226))</f>
        <v/>
      </c>
      <c r="Q226" s="29">
        <f>IF($A226="","",SUMIFS(tDrugUse[[Total Cost]],tDrugUse[[Batch ID]],$A226))</f>
        <v/>
      </c>
      <c r="R226" s="29">
        <f>IF($A226="","",SUMIFS(tExp[[Amount]],tExp[[Batch ID (if applicable)]],$A226))</f>
        <v/>
      </c>
      <c r="S226" s="41">
        <f>IF($A226="","",P226+Q226+R226)</f>
        <v/>
      </c>
      <c r="T226" s="41">
        <f>IF($A226="","",SUMIFS(tSales[[Total Revenue]],tSales[[Batch ID]],$A226))</f>
        <v/>
      </c>
      <c r="U226" s="41">
        <f>IF($A226="","",T226-S226)</f>
        <v/>
      </c>
      <c r="V226" s="29">
        <f>IF($A226="","",IFERROR(S226/(H226+I226),""))</f>
        <v/>
      </c>
      <c r="W226" s="29">
        <f>IF($A226="","",IF(K226=0,"",T226/K226))</f>
        <v/>
      </c>
      <c r="X226" s="42">
        <f>IF($A226="","",IFERROR(O226/(H226+I226),""))</f>
        <v/>
      </c>
      <c r="Y226" s="43">
        <f>IF($A226="","",IF(_xlfn.MAXIFS(tProd[[Date]],tProd[[Batch ID]],$A226,tProd[[Measurement Type]],"Weighing")=0,"",IFERROR(AVERAGEIFS(tProd[[Average Weight kg]],tProd[[Batch ID]],$A226,tProd[[Measurement Type]],"Weighing",tProd[[Date]],_xlfn.MAXIFS(tProd[[Date]],tProd[[Batch ID]],$A226,tProd[[Measurement Type]],"Weighing")),"")))</f>
        <v/>
      </c>
    </row>
    <row r="227">
      <c r="A227" s="27">
        <f>IFERROR(INDEX(tBatches[[Batch ID]],223)&amp;"","")</f>
        <v/>
      </c>
      <c r="B227" s="36">
        <f>IF($A227="","",INDEX(tBatches[[Pen ID]],223)&amp;"")</f>
        <v/>
      </c>
      <c r="C227" s="36">
        <f>IF($A227="","",INDEX(tBatches[[Animal Type]],223)&amp;"")</f>
        <v/>
      </c>
      <c r="D227" s="31">
        <f>IF($A227="","",INDEX(tBatches[[Batch Start Date]],223))</f>
        <v/>
      </c>
      <c r="E227" s="36">
        <f>IF($A227="","",INDEX(tBatches[[Status]],223)&amp;"")</f>
        <v/>
      </c>
      <c r="F227" s="31">
        <f>IF($A227="","",IF(N(INDEX(tBatches[[Closing Date]],223))=0,"",INDEX(tBatches[[Closing Date]],223)))</f>
        <v/>
      </c>
      <c r="G227" s="39">
        <f>IF($A227="","",INDEX(tBatches[[Age (days)]],223))</f>
        <v/>
      </c>
      <c r="H227" s="39">
        <f>IF($A227="","",N(INDEX(tBatches[[Initial Quantity]],223)))</f>
        <v/>
      </c>
      <c r="I227" s="39">
        <f>IF($A227="","",INDEX(tBatches[[Transfers In / Added]],223))</f>
        <v/>
      </c>
      <c r="J227" s="39">
        <f>IF($A227="","",INDEX(tBatches[[Deaths]],223))</f>
        <v/>
      </c>
      <c r="K227" s="39">
        <f>IF($A227="","",INDEX(tBatches[[Heads Sold]],223))</f>
        <v/>
      </c>
      <c r="L227" s="39">
        <f>IF($A227="","",INDEX(tBatches[[Transfers Out]],223))</f>
        <v/>
      </c>
      <c r="M227" s="39">
        <f>IF($A227="","",INDEX(tBatches[[Current Quantity]],223))</f>
        <v/>
      </c>
      <c r="N227" s="40">
        <f>IF($A227="","",IFERROR(J227/(H227+I227),0))</f>
        <v/>
      </c>
      <c r="O227" s="28">
        <f>IF($A227="","",SUMIFS(tFeedIss[[Quantity Issued in kg]],tFeedIss[[Batch ID]],$A227))</f>
        <v/>
      </c>
      <c r="P227" s="29">
        <f>IF($A227="","",SUMIFS(tFeedIss[[Total Cost]],tFeedIss[[Batch ID]],$A227))</f>
        <v/>
      </c>
      <c r="Q227" s="29">
        <f>IF($A227="","",SUMIFS(tDrugUse[[Total Cost]],tDrugUse[[Batch ID]],$A227))</f>
        <v/>
      </c>
      <c r="R227" s="29">
        <f>IF($A227="","",SUMIFS(tExp[[Amount]],tExp[[Batch ID (if applicable)]],$A227))</f>
        <v/>
      </c>
      <c r="S227" s="41">
        <f>IF($A227="","",P227+Q227+R227)</f>
        <v/>
      </c>
      <c r="T227" s="41">
        <f>IF($A227="","",SUMIFS(tSales[[Total Revenue]],tSales[[Batch ID]],$A227))</f>
        <v/>
      </c>
      <c r="U227" s="41">
        <f>IF($A227="","",T227-S227)</f>
        <v/>
      </c>
      <c r="V227" s="29">
        <f>IF($A227="","",IFERROR(S227/(H227+I227),""))</f>
        <v/>
      </c>
      <c r="W227" s="29">
        <f>IF($A227="","",IF(K227=0,"",T227/K227))</f>
        <v/>
      </c>
      <c r="X227" s="42">
        <f>IF($A227="","",IFERROR(O227/(H227+I227),""))</f>
        <v/>
      </c>
      <c r="Y227" s="43">
        <f>IF($A227="","",IF(_xlfn.MAXIFS(tProd[[Date]],tProd[[Batch ID]],$A227,tProd[[Measurement Type]],"Weighing")=0,"",IFERROR(AVERAGEIFS(tProd[[Average Weight kg]],tProd[[Batch ID]],$A227,tProd[[Measurement Type]],"Weighing",tProd[[Date]],_xlfn.MAXIFS(tProd[[Date]],tProd[[Batch ID]],$A227,tProd[[Measurement Type]],"Weighing")),"")))</f>
        <v/>
      </c>
    </row>
    <row r="228">
      <c r="A228" s="27">
        <f>IFERROR(INDEX(tBatches[[Batch ID]],224)&amp;"","")</f>
        <v/>
      </c>
      <c r="B228" s="36">
        <f>IF($A228="","",INDEX(tBatches[[Pen ID]],224)&amp;"")</f>
        <v/>
      </c>
      <c r="C228" s="36">
        <f>IF($A228="","",INDEX(tBatches[[Animal Type]],224)&amp;"")</f>
        <v/>
      </c>
      <c r="D228" s="31">
        <f>IF($A228="","",INDEX(tBatches[[Batch Start Date]],224))</f>
        <v/>
      </c>
      <c r="E228" s="36">
        <f>IF($A228="","",INDEX(tBatches[[Status]],224)&amp;"")</f>
        <v/>
      </c>
      <c r="F228" s="31">
        <f>IF($A228="","",IF(N(INDEX(tBatches[[Closing Date]],224))=0,"",INDEX(tBatches[[Closing Date]],224)))</f>
        <v/>
      </c>
      <c r="G228" s="39">
        <f>IF($A228="","",INDEX(tBatches[[Age (days)]],224))</f>
        <v/>
      </c>
      <c r="H228" s="39">
        <f>IF($A228="","",N(INDEX(tBatches[[Initial Quantity]],224)))</f>
        <v/>
      </c>
      <c r="I228" s="39">
        <f>IF($A228="","",INDEX(tBatches[[Transfers In / Added]],224))</f>
        <v/>
      </c>
      <c r="J228" s="39">
        <f>IF($A228="","",INDEX(tBatches[[Deaths]],224))</f>
        <v/>
      </c>
      <c r="K228" s="39">
        <f>IF($A228="","",INDEX(tBatches[[Heads Sold]],224))</f>
        <v/>
      </c>
      <c r="L228" s="39">
        <f>IF($A228="","",INDEX(tBatches[[Transfers Out]],224))</f>
        <v/>
      </c>
      <c r="M228" s="39">
        <f>IF($A228="","",INDEX(tBatches[[Current Quantity]],224))</f>
        <v/>
      </c>
      <c r="N228" s="40">
        <f>IF($A228="","",IFERROR(J228/(H228+I228),0))</f>
        <v/>
      </c>
      <c r="O228" s="28">
        <f>IF($A228="","",SUMIFS(tFeedIss[[Quantity Issued in kg]],tFeedIss[[Batch ID]],$A228))</f>
        <v/>
      </c>
      <c r="P228" s="29">
        <f>IF($A228="","",SUMIFS(tFeedIss[[Total Cost]],tFeedIss[[Batch ID]],$A228))</f>
        <v/>
      </c>
      <c r="Q228" s="29">
        <f>IF($A228="","",SUMIFS(tDrugUse[[Total Cost]],tDrugUse[[Batch ID]],$A228))</f>
        <v/>
      </c>
      <c r="R228" s="29">
        <f>IF($A228="","",SUMIFS(tExp[[Amount]],tExp[[Batch ID (if applicable)]],$A228))</f>
        <v/>
      </c>
      <c r="S228" s="41">
        <f>IF($A228="","",P228+Q228+R228)</f>
        <v/>
      </c>
      <c r="T228" s="41">
        <f>IF($A228="","",SUMIFS(tSales[[Total Revenue]],tSales[[Batch ID]],$A228))</f>
        <v/>
      </c>
      <c r="U228" s="41">
        <f>IF($A228="","",T228-S228)</f>
        <v/>
      </c>
      <c r="V228" s="29">
        <f>IF($A228="","",IFERROR(S228/(H228+I228),""))</f>
        <v/>
      </c>
      <c r="W228" s="29">
        <f>IF($A228="","",IF(K228=0,"",T228/K228))</f>
        <v/>
      </c>
      <c r="X228" s="42">
        <f>IF($A228="","",IFERROR(O228/(H228+I228),""))</f>
        <v/>
      </c>
      <c r="Y228" s="43">
        <f>IF($A228="","",IF(_xlfn.MAXIFS(tProd[[Date]],tProd[[Batch ID]],$A228,tProd[[Measurement Type]],"Weighing")=0,"",IFERROR(AVERAGEIFS(tProd[[Average Weight kg]],tProd[[Batch ID]],$A228,tProd[[Measurement Type]],"Weighing",tProd[[Date]],_xlfn.MAXIFS(tProd[[Date]],tProd[[Batch ID]],$A228,tProd[[Measurement Type]],"Weighing")),"")))</f>
        <v/>
      </c>
    </row>
    <row r="229">
      <c r="A229" s="27">
        <f>IFERROR(INDEX(tBatches[[Batch ID]],225)&amp;"","")</f>
        <v/>
      </c>
      <c r="B229" s="36">
        <f>IF($A229="","",INDEX(tBatches[[Pen ID]],225)&amp;"")</f>
        <v/>
      </c>
      <c r="C229" s="36">
        <f>IF($A229="","",INDEX(tBatches[[Animal Type]],225)&amp;"")</f>
        <v/>
      </c>
      <c r="D229" s="31">
        <f>IF($A229="","",INDEX(tBatches[[Batch Start Date]],225))</f>
        <v/>
      </c>
      <c r="E229" s="36">
        <f>IF($A229="","",INDEX(tBatches[[Status]],225)&amp;"")</f>
        <v/>
      </c>
      <c r="F229" s="31">
        <f>IF($A229="","",IF(N(INDEX(tBatches[[Closing Date]],225))=0,"",INDEX(tBatches[[Closing Date]],225)))</f>
        <v/>
      </c>
      <c r="G229" s="39">
        <f>IF($A229="","",INDEX(tBatches[[Age (days)]],225))</f>
        <v/>
      </c>
      <c r="H229" s="39">
        <f>IF($A229="","",N(INDEX(tBatches[[Initial Quantity]],225)))</f>
        <v/>
      </c>
      <c r="I229" s="39">
        <f>IF($A229="","",INDEX(tBatches[[Transfers In / Added]],225))</f>
        <v/>
      </c>
      <c r="J229" s="39">
        <f>IF($A229="","",INDEX(tBatches[[Deaths]],225))</f>
        <v/>
      </c>
      <c r="K229" s="39">
        <f>IF($A229="","",INDEX(tBatches[[Heads Sold]],225))</f>
        <v/>
      </c>
      <c r="L229" s="39">
        <f>IF($A229="","",INDEX(tBatches[[Transfers Out]],225))</f>
        <v/>
      </c>
      <c r="M229" s="39">
        <f>IF($A229="","",INDEX(tBatches[[Current Quantity]],225))</f>
        <v/>
      </c>
      <c r="N229" s="40">
        <f>IF($A229="","",IFERROR(J229/(H229+I229),0))</f>
        <v/>
      </c>
      <c r="O229" s="28">
        <f>IF($A229="","",SUMIFS(tFeedIss[[Quantity Issued in kg]],tFeedIss[[Batch ID]],$A229))</f>
        <v/>
      </c>
      <c r="P229" s="29">
        <f>IF($A229="","",SUMIFS(tFeedIss[[Total Cost]],tFeedIss[[Batch ID]],$A229))</f>
        <v/>
      </c>
      <c r="Q229" s="29">
        <f>IF($A229="","",SUMIFS(tDrugUse[[Total Cost]],tDrugUse[[Batch ID]],$A229))</f>
        <v/>
      </c>
      <c r="R229" s="29">
        <f>IF($A229="","",SUMIFS(tExp[[Amount]],tExp[[Batch ID (if applicable)]],$A229))</f>
        <v/>
      </c>
      <c r="S229" s="41">
        <f>IF($A229="","",P229+Q229+R229)</f>
        <v/>
      </c>
      <c r="T229" s="41">
        <f>IF($A229="","",SUMIFS(tSales[[Total Revenue]],tSales[[Batch ID]],$A229))</f>
        <v/>
      </c>
      <c r="U229" s="41">
        <f>IF($A229="","",T229-S229)</f>
        <v/>
      </c>
      <c r="V229" s="29">
        <f>IF($A229="","",IFERROR(S229/(H229+I229),""))</f>
        <v/>
      </c>
      <c r="W229" s="29">
        <f>IF($A229="","",IF(K229=0,"",T229/K229))</f>
        <v/>
      </c>
      <c r="X229" s="42">
        <f>IF($A229="","",IFERROR(O229/(H229+I229),""))</f>
        <v/>
      </c>
      <c r="Y229" s="43">
        <f>IF($A229="","",IF(_xlfn.MAXIFS(tProd[[Date]],tProd[[Batch ID]],$A229,tProd[[Measurement Type]],"Weighing")=0,"",IFERROR(AVERAGEIFS(tProd[[Average Weight kg]],tProd[[Batch ID]],$A229,tProd[[Measurement Type]],"Weighing",tProd[[Date]],_xlfn.MAXIFS(tProd[[Date]],tProd[[Batch ID]],$A229,tProd[[Measurement Type]],"Weighing")),"")))</f>
        <v/>
      </c>
    </row>
    <row r="230">
      <c r="A230" s="27">
        <f>IFERROR(INDEX(tBatches[[Batch ID]],226)&amp;"","")</f>
        <v/>
      </c>
      <c r="B230" s="36">
        <f>IF($A230="","",INDEX(tBatches[[Pen ID]],226)&amp;"")</f>
        <v/>
      </c>
      <c r="C230" s="36">
        <f>IF($A230="","",INDEX(tBatches[[Animal Type]],226)&amp;"")</f>
        <v/>
      </c>
      <c r="D230" s="31">
        <f>IF($A230="","",INDEX(tBatches[[Batch Start Date]],226))</f>
        <v/>
      </c>
      <c r="E230" s="36">
        <f>IF($A230="","",INDEX(tBatches[[Status]],226)&amp;"")</f>
        <v/>
      </c>
      <c r="F230" s="31">
        <f>IF($A230="","",IF(N(INDEX(tBatches[[Closing Date]],226))=0,"",INDEX(tBatches[[Closing Date]],226)))</f>
        <v/>
      </c>
      <c r="G230" s="39">
        <f>IF($A230="","",INDEX(tBatches[[Age (days)]],226))</f>
        <v/>
      </c>
      <c r="H230" s="39">
        <f>IF($A230="","",N(INDEX(tBatches[[Initial Quantity]],226)))</f>
        <v/>
      </c>
      <c r="I230" s="39">
        <f>IF($A230="","",INDEX(tBatches[[Transfers In / Added]],226))</f>
        <v/>
      </c>
      <c r="J230" s="39">
        <f>IF($A230="","",INDEX(tBatches[[Deaths]],226))</f>
        <v/>
      </c>
      <c r="K230" s="39">
        <f>IF($A230="","",INDEX(tBatches[[Heads Sold]],226))</f>
        <v/>
      </c>
      <c r="L230" s="39">
        <f>IF($A230="","",INDEX(tBatches[[Transfers Out]],226))</f>
        <v/>
      </c>
      <c r="M230" s="39">
        <f>IF($A230="","",INDEX(tBatches[[Current Quantity]],226))</f>
        <v/>
      </c>
      <c r="N230" s="40">
        <f>IF($A230="","",IFERROR(J230/(H230+I230),0))</f>
        <v/>
      </c>
      <c r="O230" s="28">
        <f>IF($A230="","",SUMIFS(tFeedIss[[Quantity Issued in kg]],tFeedIss[[Batch ID]],$A230))</f>
        <v/>
      </c>
      <c r="P230" s="29">
        <f>IF($A230="","",SUMIFS(tFeedIss[[Total Cost]],tFeedIss[[Batch ID]],$A230))</f>
        <v/>
      </c>
      <c r="Q230" s="29">
        <f>IF($A230="","",SUMIFS(tDrugUse[[Total Cost]],tDrugUse[[Batch ID]],$A230))</f>
        <v/>
      </c>
      <c r="R230" s="29">
        <f>IF($A230="","",SUMIFS(tExp[[Amount]],tExp[[Batch ID (if applicable)]],$A230))</f>
        <v/>
      </c>
      <c r="S230" s="41">
        <f>IF($A230="","",P230+Q230+R230)</f>
        <v/>
      </c>
      <c r="T230" s="41">
        <f>IF($A230="","",SUMIFS(tSales[[Total Revenue]],tSales[[Batch ID]],$A230))</f>
        <v/>
      </c>
      <c r="U230" s="41">
        <f>IF($A230="","",T230-S230)</f>
        <v/>
      </c>
      <c r="V230" s="29">
        <f>IF($A230="","",IFERROR(S230/(H230+I230),""))</f>
        <v/>
      </c>
      <c r="W230" s="29">
        <f>IF($A230="","",IF(K230=0,"",T230/K230))</f>
        <v/>
      </c>
      <c r="X230" s="42">
        <f>IF($A230="","",IFERROR(O230/(H230+I230),""))</f>
        <v/>
      </c>
      <c r="Y230" s="43">
        <f>IF($A230="","",IF(_xlfn.MAXIFS(tProd[[Date]],tProd[[Batch ID]],$A230,tProd[[Measurement Type]],"Weighing")=0,"",IFERROR(AVERAGEIFS(tProd[[Average Weight kg]],tProd[[Batch ID]],$A230,tProd[[Measurement Type]],"Weighing",tProd[[Date]],_xlfn.MAXIFS(tProd[[Date]],tProd[[Batch ID]],$A230,tProd[[Measurement Type]],"Weighing")),"")))</f>
        <v/>
      </c>
    </row>
    <row r="231">
      <c r="A231" s="27">
        <f>IFERROR(INDEX(tBatches[[Batch ID]],227)&amp;"","")</f>
        <v/>
      </c>
      <c r="B231" s="36">
        <f>IF($A231="","",INDEX(tBatches[[Pen ID]],227)&amp;"")</f>
        <v/>
      </c>
      <c r="C231" s="36">
        <f>IF($A231="","",INDEX(tBatches[[Animal Type]],227)&amp;"")</f>
        <v/>
      </c>
      <c r="D231" s="31">
        <f>IF($A231="","",INDEX(tBatches[[Batch Start Date]],227))</f>
        <v/>
      </c>
      <c r="E231" s="36">
        <f>IF($A231="","",INDEX(tBatches[[Status]],227)&amp;"")</f>
        <v/>
      </c>
      <c r="F231" s="31">
        <f>IF($A231="","",IF(N(INDEX(tBatches[[Closing Date]],227))=0,"",INDEX(tBatches[[Closing Date]],227)))</f>
        <v/>
      </c>
      <c r="G231" s="39">
        <f>IF($A231="","",INDEX(tBatches[[Age (days)]],227))</f>
        <v/>
      </c>
      <c r="H231" s="39">
        <f>IF($A231="","",N(INDEX(tBatches[[Initial Quantity]],227)))</f>
        <v/>
      </c>
      <c r="I231" s="39">
        <f>IF($A231="","",INDEX(tBatches[[Transfers In / Added]],227))</f>
        <v/>
      </c>
      <c r="J231" s="39">
        <f>IF($A231="","",INDEX(tBatches[[Deaths]],227))</f>
        <v/>
      </c>
      <c r="K231" s="39">
        <f>IF($A231="","",INDEX(tBatches[[Heads Sold]],227))</f>
        <v/>
      </c>
      <c r="L231" s="39">
        <f>IF($A231="","",INDEX(tBatches[[Transfers Out]],227))</f>
        <v/>
      </c>
      <c r="M231" s="39">
        <f>IF($A231="","",INDEX(tBatches[[Current Quantity]],227))</f>
        <v/>
      </c>
      <c r="N231" s="40">
        <f>IF($A231="","",IFERROR(J231/(H231+I231),0))</f>
        <v/>
      </c>
      <c r="O231" s="28">
        <f>IF($A231="","",SUMIFS(tFeedIss[[Quantity Issued in kg]],tFeedIss[[Batch ID]],$A231))</f>
        <v/>
      </c>
      <c r="P231" s="29">
        <f>IF($A231="","",SUMIFS(tFeedIss[[Total Cost]],tFeedIss[[Batch ID]],$A231))</f>
        <v/>
      </c>
      <c r="Q231" s="29">
        <f>IF($A231="","",SUMIFS(tDrugUse[[Total Cost]],tDrugUse[[Batch ID]],$A231))</f>
        <v/>
      </c>
      <c r="R231" s="29">
        <f>IF($A231="","",SUMIFS(tExp[[Amount]],tExp[[Batch ID (if applicable)]],$A231))</f>
        <v/>
      </c>
      <c r="S231" s="41">
        <f>IF($A231="","",P231+Q231+R231)</f>
        <v/>
      </c>
      <c r="T231" s="41">
        <f>IF($A231="","",SUMIFS(tSales[[Total Revenue]],tSales[[Batch ID]],$A231))</f>
        <v/>
      </c>
      <c r="U231" s="41">
        <f>IF($A231="","",T231-S231)</f>
        <v/>
      </c>
      <c r="V231" s="29">
        <f>IF($A231="","",IFERROR(S231/(H231+I231),""))</f>
        <v/>
      </c>
      <c r="W231" s="29">
        <f>IF($A231="","",IF(K231=0,"",T231/K231))</f>
        <v/>
      </c>
      <c r="X231" s="42">
        <f>IF($A231="","",IFERROR(O231/(H231+I231),""))</f>
        <v/>
      </c>
      <c r="Y231" s="43">
        <f>IF($A231="","",IF(_xlfn.MAXIFS(tProd[[Date]],tProd[[Batch ID]],$A231,tProd[[Measurement Type]],"Weighing")=0,"",IFERROR(AVERAGEIFS(tProd[[Average Weight kg]],tProd[[Batch ID]],$A231,tProd[[Measurement Type]],"Weighing",tProd[[Date]],_xlfn.MAXIFS(tProd[[Date]],tProd[[Batch ID]],$A231,tProd[[Measurement Type]],"Weighing")),"")))</f>
        <v/>
      </c>
    </row>
    <row r="232">
      <c r="A232" s="27">
        <f>IFERROR(INDEX(tBatches[[Batch ID]],228)&amp;"","")</f>
        <v/>
      </c>
      <c r="B232" s="36">
        <f>IF($A232="","",INDEX(tBatches[[Pen ID]],228)&amp;"")</f>
        <v/>
      </c>
      <c r="C232" s="36">
        <f>IF($A232="","",INDEX(tBatches[[Animal Type]],228)&amp;"")</f>
        <v/>
      </c>
      <c r="D232" s="31">
        <f>IF($A232="","",INDEX(tBatches[[Batch Start Date]],228))</f>
        <v/>
      </c>
      <c r="E232" s="36">
        <f>IF($A232="","",INDEX(tBatches[[Status]],228)&amp;"")</f>
        <v/>
      </c>
      <c r="F232" s="31">
        <f>IF($A232="","",IF(N(INDEX(tBatches[[Closing Date]],228))=0,"",INDEX(tBatches[[Closing Date]],228)))</f>
        <v/>
      </c>
      <c r="G232" s="39">
        <f>IF($A232="","",INDEX(tBatches[[Age (days)]],228))</f>
        <v/>
      </c>
      <c r="H232" s="39">
        <f>IF($A232="","",N(INDEX(tBatches[[Initial Quantity]],228)))</f>
        <v/>
      </c>
      <c r="I232" s="39">
        <f>IF($A232="","",INDEX(tBatches[[Transfers In / Added]],228))</f>
        <v/>
      </c>
      <c r="J232" s="39">
        <f>IF($A232="","",INDEX(tBatches[[Deaths]],228))</f>
        <v/>
      </c>
      <c r="K232" s="39">
        <f>IF($A232="","",INDEX(tBatches[[Heads Sold]],228))</f>
        <v/>
      </c>
      <c r="L232" s="39">
        <f>IF($A232="","",INDEX(tBatches[[Transfers Out]],228))</f>
        <v/>
      </c>
      <c r="M232" s="39">
        <f>IF($A232="","",INDEX(tBatches[[Current Quantity]],228))</f>
        <v/>
      </c>
      <c r="N232" s="40">
        <f>IF($A232="","",IFERROR(J232/(H232+I232),0))</f>
        <v/>
      </c>
      <c r="O232" s="28">
        <f>IF($A232="","",SUMIFS(tFeedIss[[Quantity Issued in kg]],tFeedIss[[Batch ID]],$A232))</f>
        <v/>
      </c>
      <c r="P232" s="29">
        <f>IF($A232="","",SUMIFS(tFeedIss[[Total Cost]],tFeedIss[[Batch ID]],$A232))</f>
        <v/>
      </c>
      <c r="Q232" s="29">
        <f>IF($A232="","",SUMIFS(tDrugUse[[Total Cost]],tDrugUse[[Batch ID]],$A232))</f>
        <v/>
      </c>
      <c r="R232" s="29">
        <f>IF($A232="","",SUMIFS(tExp[[Amount]],tExp[[Batch ID (if applicable)]],$A232))</f>
        <v/>
      </c>
      <c r="S232" s="41">
        <f>IF($A232="","",P232+Q232+R232)</f>
        <v/>
      </c>
      <c r="T232" s="41">
        <f>IF($A232="","",SUMIFS(tSales[[Total Revenue]],tSales[[Batch ID]],$A232))</f>
        <v/>
      </c>
      <c r="U232" s="41">
        <f>IF($A232="","",T232-S232)</f>
        <v/>
      </c>
      <c r="V232" s="29">
        <f>IF($A232="","",IFERROR(S232/(H232+I232),""))</f>
        <v/>
      </c>
      <c r="W232" s="29">
        <f>IF($A232="","",IF(K232=0,"",T232/K232))</f>
        <v/>
      </c>
      <c r="X232" s="42">
        <f>IF($A232="","",IFERROR(O232/(H232+I232),""))</f>
        <v/>
      </c>
      <c r="Y232" s="43">
        <f>IF($A232="","",IF(_xlfn.MAXIFS(tProd[[Date]],tProd[[Batch ID]],$A232,tProd[[Measurement Type]],"Weighing")=0,"",IFERROR(AVERAGEIFS(tProd[[Average Weight kg]],tProd[[Batch ID]],$A232,tProd[[Measurement Type]],"Weighing",tProd[[Date]],_xlfn.MAXIFS(tProd[[Date]],tProd[[Batch ID]],$A232,tProd[[Measurement Type]],"Weighing")),"")))</f>
        <v/>
      </c>
    </row>
    <row r="233">
      <c r="A233" s="27">
        <f>IFERROR(INDEX(tBatches[[Batch ID]],229)&amp;"","")</f>
        <v/>
      </c>
      <c r="B233" s="36">
        <f>IF($A233="","",INDEX(tBatches[[Pen ID]],229)&amp;"")</f>
        <v/>
      </c>
      <c r="C233" s="36">
        <f>IF($A233="","",INDEX(tBatches[[Animal Type]],229)&amp;"")</f>
        <v/>
      </c>
      <c r="D233" s="31">
        <f>IF($A233="","",INDEX(tBatches[[Batch Start Date]],229))</f>
        <v/>
      </c>
      <c r="E233" s="36">
        <f>IF($A233="","",INDEX(tBatches[[Status]],229)&amp;"")</f>
        <v/>
      </c>
      <c r="F233" s="31">
        <f>IF($A233="","",IF(N(INDEX(tBatches[[Closing Date]],229))=0,"",INDEX(tBatches[[Closing Date]],229)))</f>
        <v/>
      </c>
      <c r="G233" s="39">
        <f>IF($A233="","",INDEX(tBatches[[Age (days)]],229))</f>
        <v/>
      </c>
      <c r="H233" s="39">
        <f>IF($A233="","",N(INDEX(tBatches[[Initial Quantity]],229)))</f>
        <v/>
      </c>
      <c r="I233" s="39">
        <f>IF($A233="","",INDEX(tBatches[[Transfers In / Added]],229))</f>
        <v/>
      </c>
      <c r="J233" s="39">
        <f>IF($A233="","",INDEX(tBatches[[Deaths]],229))</f>
        <v/>
      </c>
      <c r="K233" s="39">
        <f>IF($A233="","",INDEX(tBatches[[Heads Sold]],229))</f>
        <v/>
      </c>
      <c r="L233" s="39">
        <f>IF($A233="","",INDEX(tBatches[[Transfers Out]],229))</f>
        <v/>
      </c>
      <c r="M233" s="39">
        <f>IF($A233="","",INDEX(tBatches[[Current Quantity]],229))</f>
        <v/>
      </c>
      <c r="N233" s="40">
        <f>IF($A233="","",IFERROR(J233/(H233+I233),0))</f>
        <v/>
      </c>
      <c r="O233" s="28">
        <f>IF($A233="","",SUMIFS(tFeedIss[[Quantity Issued in kg]],tFeedIss[[Batch ID]],$A233))</f>
        <v/>
      </c>
      <c r="P233" s="29">
        <f>IF($A233="","",SUMIFS(tFeedIss[[Total Cost]],tFeedIss[[Batch ID]],$A233))</f>
        <v/>
      </c>
      <c r="Q233" s="29">
        <f>IF($A233="","",SUMIFS(tDrugUse[[Total Cost]],tDrugUse[[Batch ID]],$A233))</f>
        <v/>
      </c>
      <c r="R233" s="29">
        <f>IF($A233="","",SUMIFS(tExp[[Amount]],tExp[[Batch ID (if applicable)]],$A233))</f>
        <v/>
      </c>
      <c r="S233" s="41">
        <f>IF($A233="","",P233+Q233+R233)</f>
        <v/>
      </c>
      <c r="T233" s="41">
        <f>IF($A233="","",SUMIFS(tSales[[Total Revenue]],tSales[[Batch ID]],$A233))</f>
        <v/>
      </c>
      <c r="U233" s="41">
        <f>IF($A233="","",T233-S233)</f>
        <v/>
      </c>
      <c r="V233" s="29">
        <f>IF($A233="","",IFERROR(S233/(H233+I233),""))</f>
        <v/>
      </c>
      <c r="W233" s="29">
        <f>IF($A233="","",IF(K233=0,"",T233/K233))</f>
        <v/>
      </c>
      <c r="X233" s="42">
        <f>IF($A233="","",IFERROR(O233/(H233+I233),""))</f>
        <v/>
      </c>
      <c r="Y233" s="43">
        <f>IF($A233="","",IF(_xlfn.MAXIFS(tProd[[Date]],tProd[[Batch ID]],$A233,tProd[[Measurement Type]],"Weighing")=0,"",IFERROR(AVERAGEIFS(tProd[[Average Weight kg]],tProd[[Batch ID]],$A233,tProd[[Measurement Type]],"Weighing",tProd[[Date]],_xlfn.MAXIFS(tProd[[Date]],tProd[[Batch ID]],$A233,tProd[[Measurement Type]],"Weighing")),"")))</f>
        <v/>
      </c>
    </row>
    <row r="234">
      <c r="A234" s="27">
        <f>IFERROR(INDEX(tBatches[[Batch ID]],230)&amp;"","")</f>
        <v/>
      </c>
      <c r="B234" s="36">
        <f>IF($A234="","",INDEX(tBatches[[Pen ID]],230)&amp;"")</f>
        <v/>
      </c>
      <c r="C234" s="36">
        <f>IF($A234="","",INDEX(tBatches[[Animal Type]],230)&amp;"")</f>
        <v/>
      </c>
      <c r="D234" s="31">
        <f>IF($A234="","",INDEX(tBatches[[Batch Start Date]],230))</f>
        <v/>
      </c>
      <c r="E234" s="36">
        <f>IF($A234="","",INDEX(tBatches[[Status]],230)&amp;"")</f>
        <v/>
      </c>
      <c r="F234" s="31">
        <f>IF($A234="","",IF(N(INDEX(tBatches[[Closing Date]],230))=0,"",INDEX(tBatches[[Closing Date]],230)))</f>
        <v/>
      </c>
      <c r="G234" s="39">
        <f>IF($A234="","",INDEX(tBatches[[Age (days)]],230))</f>
        <v/>
      </c>
      <c r="H234" s="39">
        <f>IF($A234="","",N(INDEX(tBatches[[Initial Quantity]],230)))</f>
        <v/>
      </c>
      <c r="I234" s="39">
        <f>IF($A234="","",INDEX(tBatches[[Transfers In / Added]],230))</f>
        <v/>
      </c>
      <c r="J234" s="39">
        <f>IF($A234="","",INDEX(tBatches[[Deaths]],230))</f>
        <v/>
      </c>
      <c r="K234" s="39">
        <f>IF($A234="","",INDEX(tBatches[[Heads Sold]],230))</f>
        <v/>
      </c>
      <c r="L234" s="39">
        <f>IF($A234="","",INDEX(tBatches[[Transfers Out]],230))</f>
        <v/>
      </c>
      <c r="M234" s="39">
        <f>IF($A234="","",INDEX(tBatches[[Current Quantity]],230))</f>
        <v/>
      </c>
      <c r="N234" s="40">
        <f>IF($A234="","",IFERROR(J234/(H234+I234),0))</f>
        <v/>
      </c>
      <c r="O234" s="28">
        <f>IF($A234="","",SUMIFS(tFeedIss[[Quantity Issued in kg]],tFeedIss[[Batch ID]],$A234))</f>
        <v/>
      </c>
      <c r="P234" s="29">
        <f>IF($A234="","",SUMIFS(tFeedIss[[Total Cost]],tFeedIss[[Batch ID]],$A234))</f>
        <v/>
      </c>
      <c r="Q234" s="29">
        <f>IF($A234="","",SUMIFS(tDrugUse[[Total Cost]],tDrugUse[[Batch ID]],$A234))</f>
        <v/>
      </c>
      <c r="R234" s="29">
        <f>IF($A234="","",SUMIFS(tExp[[Amount]],tExp[[Batch ID (if applicable)]],$A234))</f>
        <v/>
      </c>
      <c r="S234" s="41">
        <f>IF($A234="","",P234+Q234+R234)</f>
        <v/>
      </c>
      <c r="T234" s="41">
        <f>IF($A234="","",SUMIFS(tSales[[Total Revenue]],tSales[[Batch ID]],$A234))</f>
        <v/>
      </c>
      <c r="U234" s="41">
        <f>IF($A234="","",T234-S234)</f>
        <v/>
      </c>
      <c r="V234" s="29">
        <f>IF($A234="","",IFERROR(S234/(H234+I234),""))</f>
        <v/>
      </c>
      <c r="W234" s="29">
        <f>IF($A234="","",IF(K234=0,"",T234/K234))</f>
        <v/>
      </c>
      <c r="X234" s="42">
        <f>IF($A234="","",IFERROR(O234/(H234+I234),""))</f>
        <v/>
      </c>
      <c r="Y234" s="43">
        <f>IF($A234="","",IF(_xlfn.MAXIFS(tProd[[Date]],tProd[[Batch ID]],$A234,tProd[[Measurement Type]],"Weighing")=0,"",IFERROR(AVERAGEIFS(tProd[[Average Weight kg]],tProd[[Batch ID]],$A234,tProd[[Measurement Type]],"Weighing",tProd[[Date]],_xlfn.MAXIFS(tProd[[Date]],tProd[[Batch ID]],$A234,tProd[[Measurement Type]],"Weighing")),"")))</f>
        <v/>
      </c>
    </row>
    <row r="235">
      <c r="A235" s="27">
        <f>IFERROR(INDEX(tBatches[[Batch ID]],231)&amp;"","")</f>
        <v/>
      </c>
      <c r="B235" s="36">
        <f>IF($A235="","",INDEX(tBatches[[Pen ID]],231)&amp;"")</f>
        <v/>
      </c>
      <c r="C235" s="36">
        <f>IF($A235="","",INDEX(tBatches[[Animal Type]],231)&amp;"")</f>
        <v/>
      </c>
      <c r="D235" s="31">
        <f>IF($A235="","",INDEX(tBatches[[Batch Start Date]],231))</f>
        <v/>
      </c>
      <c r="E235" s="36">
        <f>IF($A235="","",INDEX(tBatches[[Status]],231)&amp;"")</f>
        <v/>
      </c>
      <c r="F235" s="31">
        <f>IF($A235="","",IF(N(INDEX(tBatches[[Closing Date]],231))=0,"",INDEX(tBatches[[Closing Date]],231)))</f>
        <v/>
      </c>
      <c r="G235" s="39">
        <f>IF($A235="","",INDEX(tBatches[[Age (days)]],231))</f>
        <v/>
      </c>
      <c r="H235" s="39">
        <f>IF($A235="","",N(INDEX(tBatches[[Initial Quantity]],231)))</f>
        <v/>
      </c>
      <c r="I235" s="39">
        <f>IF($A235="","",INDEX(tBatches[[Transfers In / Added]],231))</f>
        <v/>
      </c>
      <c r="J235" s="39">
        <f>IF($A235="","",INDEX(tBatches[[Deaths]],231))</f>
        <v/>
      </c>
      <c r="K235" s="39">
        <f>IF($A235="","",INDEX(tBatches[[Heads Sold]],231))</f>
        <v/>
      </c>
      <c r="L235" s="39">
        <f>IF($A235="","",INDEX(tBatches[[Transfers Out]],231))</f>
        <v/>
      </c>
      <c r="M235" s="39">
        <f>IF($A235="","",INDEX(tBatches[[Current Quantity]],231))</f>
        <v/>
      </c>
      <c r="N235" s="40">
        <f>IF($A235="","",IFERROR(J235/(H235+I235),0))</f>
        <v/>
      </c>
      <c r="O235" s="28">
        <f>IF($A235="","",SUMIFS(tFeedIss[[Quantity Issued in kg]],tFeedIss[[Batch ID]],$A235))</f>
        <v/>
      </c>
      <c r="P235" s="29">
        <f>IF($A235="","",SUMIFS(tFeedIss[[Total Cost]],tFeedIss[[Batch ID]],$A235))</f>
        <v/>
      </c>
      <c r="Q235" s="29">
        <f>IF($A235="","",SUMIFS(tDrugUse[[Total Cost]],tDrugUse[[Batch ID]],$A235))</f>
        <v/>
      </c>
      <c r="R235" s="29">
        <f>IF($A235="","",SUMIFS(tExp[[Amount]],tExp[[Batch ID (if applicable)]],$A235))</f>
        <v/>
      </c>
      <c r="S235" s="41">
        <f>IF($A235="","",P235+Q235+R235)</f>
        <v/>
      </c>
      <c r="T235" s="41">
        <f>IF($A235="","",SUMIFS(tSales[[Total Revenue]],tSales[[Batch ID]],$A235))</f>
        <v/>
      </c>
      <c r="U235" s="41">
        <f>IF($A235="","",T235-S235)</f>
        <v/>
      </c>
      <c r="V235" s="29">
        <f>IF($A235="","",IFERROR(S235/(H235+I235),""))</f>
        <v/>
      </c>
      <c r="W235" s="29">
        <f>IF($A235="","",IF(K235=0,"",T235/K235))</f>
        <v/>
      </c>
      <c r="X235" s="42">
        <f>IF($A235="","",IFERROR(O235/(H235+I235),""))</f>
        <v/>
      </c>
      <c r="Y235" s="43">
        <f>IF($A235="","",IF(_xlfn.MAXIFS(tProd[[Date]],tProd[[Batch ID]],$A235,tProd[[Measurement Type]],"Weighing")=0,"",IFERROR(AVERAGEIFS(tProd[[Average Weight kg]],tProd[[Batch ID]],$A235,tProd[[Measurement Type]],"Weighing",tProd[[Date]],_xlfn.MAXIFS(tProd[[Date]],tProd[[Batch ID]],$A235,tProd[[Measurement Type]],"Weighing")),"")))</f>
        <v/>
      </c>
    </row>
    <row r="236">
      <c r="A236" s="27">
        <f>IFERROR(INDEX(tBatches[[Batch ID]],232)&amp;"","")</f>
        <v/>
      </c>
      <c r="B236" s="36">
        <f>IF($A236="","",INDEX(tBatches[[Pen ID]],232)&amp;"")</f>
        <v/>
      </c>
      <c r="C236" s="36">
        <f>IF($A236="","",INDEX(tBatches[[Animal Type]],232)&amp;"")</f>
        <v/>
      </c>
      <c r="D236" s="31">
        <f>IF($A236="","",INDEX(tBatches[[Batch Start Date]],232))</f>
        <v/>
      </c>
      <c r="E236" s="36">
        <f>IF($A236="","",INDEX(tBatches[[Status]],232)&amp;"")</f>
        <v/>
      </c>
      <c r="F236" s="31">
        <f>IF($A236="","",IF(N(INDEX(tBatches[[Closing Date]],232))=0,"",INDEX(tBatches[[Closing Date]],232)))</f>
        <v/>
      </c>
      <c r="G236" s="39">
        <f>IF($A236="","",INDEX(tBatches[[Age (days)]],232))</f>
        <v/>
      </c>
      <c r="H236" s="39">
        <f>IF($A236="","",N(INDEX(tBatches[[Initial Quantity]],232)))</f>
        <v/>
      </c>
      <c r="I236" s="39">
        <f>IF($A236="","",INDEX(tBatches[[Transfers In / Added]],232))</f>
        <v/>
      </c>
      <c r="J236" s="39">
        <f>IF($A236="","",INDEX(tBatches[[Deaths]],232))</f>
        <v/>
      </c>
      <c r="K236" s="39">
        <f>IF($A236="","",INDEX(tBatches[[Heads Sold]],232))</f>
        <v/>
      </c>
      <c r="L236" s="39">
        <f>IF($A236="","",INDEX(tBatches[[Transfers Out]],232))</f>
        <v/>
      </c>
      <c r="M236" s="39">
        <f>IF($A236="","",INDEX(tBatches[[Current Quantity]],232))</f>
        <v/>
      </c>
      <c r="N236" s="40">
        <f>IF($A236="","",IFERROR(J236/(H236+I236),0))</f>
        <v/>
      </c>
      <c r="O236" s="28">
        <f>IF($A236="","",SUMIFS(tFeedIss[[Quantity Issued in kg]],tFeedIss[[Batch ID]],$A236))</f>
        <v/>
      </c>
      <c r="P236" s="29">
        <f>IF($A236="","",SUMIFS(tFeedIss[[Total Cost]],tFeedIss[[Batch ID]],$A236))</f>
        <v/>
      </c>
      <c r="Q236" s="29">
        <f>IF($A236="","",SUMIFS(tDrugUse[[Total Cost]],tDrugUse[[Batch ID]],$A236))</f>
        <v/>
      </c>
      <c r="R236" s="29">
        <f>IF($A236="","",SUMIFS(tExp[[Amount]],tExp[[Batch ID (if applicable)]],$A236))</f>
        <v/>
      </c>
      <c r="S236" s="41">
        <f>IF($A236="","",P236+Q236+R236)</f>
        <v/>
      </c>
      <c r="T236" s="41">
        <f>IF($A236="","",SUMIFS(tSales[[Total Revenue]],tSales[[Batch ID]],$A236))</f>
        <v/>
      </c>
      <c r="U236" s="41">
        <f>IF($A236="","",T236-S236)</f>
        <v/>
      </c>
      <c r="V236" s="29">
        <f>IF($A236="","",IFERROR(S236/(H236+I236),""))</f>
        <v/>
      </c>
      <c r="W236" s="29">
        <f>IF($A236="","",IF(K236=0,"",T236/K236))</f>
        <v/>
      </c>
      <c r="X236" s="42">
        <f>IF($A236="","",IFERROR(O236/(H236+I236),""))</f>
        <v/>
      </c>
      <c r="Y236" s="43">
        <f>IF($A236="","",IF(_xlfn.MAXIFS(tProd[[Date]],tProd[[Batch ID]],$A236,tProd[[Measurement Type]],"Weighing")=0,"",IFERROR(AVERAGEIFS(tProd[[Average Weight kg]],tProd[[Batch ID]],$A236,tProd[[Measurement Type]],"Weighing",tProd[[Date]],_xlfn.MAXIFS(tProd[[Date]],tProd[[Batch ID]],$A236,tProd[[Measurement Type]],"Weighing")),"")))</f>
        <v/>
      </c>
    </row>
    <row r="237">
      <c r="A237" s="27">
        <f>IFERROR(INDEX(tBatches[[Batch ID]],233)&amp;"","")</f>
        <v/>
      </c>
      <c r="B237" s="36">
        <f>IF($A237="","",INDEX(tBatches[[Pen ID]],233)&amp;"")</f>
        <v/>
      </c>
      <c r="C237" s="36">
        <f>IF($A237="","",INDEX(tBatches[[Animal Type]],233)&amp;"")</f>
        <v/>
      </c>
      <c r="D237" s="31">
        <f>IF($A237="","",INDEX(tBatches[[Batch Start Date]],233))</f>
        <v/>
      </c>
      <c r="E237" s="36">
        <f>IF($A237="","",INDEX(tBatches[[Status]],233)&amp;"")</f>
        <v/>
      </c>
      <c r="F237" s="31">
        <f>IF($A237="","",IF(N(INDEX(tBatches[[Closing Date]],233))=0,"",INDEX(tBatches[[Closing Date]],233)))</f>
        <v/>
      </c>
      <c r="G237" s="39">
        <f>IF($A237="","",INDEX(tBatches[[Age (days)]],233))</f>
        <v/>
      </c>
      <c r="H237" s="39">
        <f>IF($A237="","",N(INDEX(tBatches[[Initial Quantity]],233)))</f>
        <v/>
      </c>
      <c r="I237" s="39">
        <f>IF($A237="","",INDEX(tBatches[[Transfers In / Added]],233))</f>
        <v/>
      </c>
      <c r="J237" s="39">
        <f>IF($A237="","",INDEX(tBatches[[Deaths]],233))</f>
        <v/>
      </c>
      <c r="K237" s="39">
        <f>IF($A237="","",INDEX(tBatches[[Heads Sold]],233))</f>
        <v/>
      </c>
      <c r="L237" s="39">
        <f>IF($A237="","",INDEX(tBatches[[Transfers Out]],233))</f>
        <v/>
      </c>
      <c r="M237" s="39">
        <f>IF($A237="","",INDEX(tBatches[[Current Quantity]],233))</f>
        <v/>
      </c>
      <c r="N237" s="40">
        <f>IF($A237="","",IFERROR(J237/(H237+I237),0))</f>
        <v/>
      </c>
      <c r="O237" s="28">
        <f>IF($A237="","",SUMIFS(tFeedIss[[Quantity Issued in kg]],tFeedIss[[Batch ID]],$A237))</f>
        <v/>
      </c>
      <c r="P237" s="29">
        <f>IF($A237="","",SUMIFS(tFeedIss[[Total Cost]],tFeedIss[[Batch ID]],$A237))</f>
        <v/>
      </c>
      <c r="Q237" s="29">
        <f>IF($A237="","",SUMIFS(tDrugUse[[Total Cost]],tDrugUse[[Batch ID]],$A237))</f>
        <v/>
      </c>
      <c r="R237" s="29">
        <f>IF($A237="","",SUMIFS(tExp[[Amount]],tExp[[Batch ID (if applicable)]],$A237))</f>
        <v/>
      </c>
      <c r="S237" s="41">
        <f>IF($A237="","",P237+Q237+R237)</f>
        <v/>
      </c>
      <c r="T237" s="41">
        <f>IF($A237="","",SUMIFS(tSales[[Total Revenue]],tSales[[Batch ID]],$A237))</f>
        <v/>
      </c>
      <c r="U237" s="41">
        <f>IF($A237="","",T237-S237)</f>
        <v/>
      </c>
      <c r="V237" s="29">
        <f>IF($A237="","",IFERROR(S237/(H237+I237),""))</f>
        <v/>
      </c>
      <c r="W237" s="29">
        <f>IF($A237="","",IF(K237=0,"",T237/K237))</f>
        <v/>
      </c>
      <c r="X237" s="42">
        <f>IF($A237="","",IFERROR(O237/(H237+I237),""))</f>
        <v/>
      </c>
      <c r="Y237" s="43">
        <f>IF($A237="","",IF(_xlfn.MAXIFS(tProd[[Date]],tProd[[Batch ID]],$A237,tProd[[Measurement Type]],"Weighing")=0,"",IFERROR(AVERAGEIFS(tProd[[Average Weight kg]],tProd[[Batch ID]],$A237,tProd[[Measurement Type]],"Weighing",tProd[[Date]],_xlfn.MAXIFS(tProd[[Date]],tProd[[Batch ID]],$A237,tProd[[Measurement Type]],"Weighing")),"")))</f>
        <v/>
      </c>
    </row>
    <row r="238">
      <c r="A238" s="27">
        <f>IFERROR(INDEX(tBatches[[Batch ID]],234)&amp;"","")</f>
        <v/>
      </c>
      <c r="B238" s="36">
        <f>IF($A238="","",INDEX(tBatches[[Pen ID]],234)&amp;"")</f>
        <v/>
      </c>
      <c r="C238" s="36">
        <f>IF($A238="","",INDEX(tBatches[[Animal Type]],234)&amp;"")</f>
        <v/>
      </c>
      <c r="D238" s="31">
        <f>IF($A238="","",INDEX(tBatches[[Batch Start Date]],234))</f>
        <v/>
      </c>
      <c r="E238" s="36">
        <f>IF($A238="","",INDEX(tBatches[[Status]],234)&amp;"")</f>
        <v/>
      </c>
      <c r="F238" s="31">
        <f>IF($A238="","",IF(N(INDEX(tBatches[[Closing Date]],234))=0,"",INDEX(tBatches[[Closing Date]],234)))</f>
        <v/>
      </c>
      <c r="G238" s="39">
        <f>IF($A238="","",INDEX(tBatches[[Age (days)]],234))</f>
        <v/>
      </c>
      <c r="H238" s="39">
        <f>IF($A238="","",N(INDEX(tBatches[[Initial Quantity]],234)))</f>
        <v/>
      </c>
      <c r="I238" s="39">
        <f>IF($A238="","",INDEX(tBatches[[Transfers In / Added]],234))</f>
        <v/>
      </c>
      <c r="J238" s="39">
        <f>IF($A238="","",INDEX(tBatches[[Deaths]],234))</f>
        <v/>
      </c>
      <c r="K238" s="39">
        <f>IF($A238="","",INDEX(tBatches[[Heads Sold]],234))</f>
        <v/>
      </c>
      <c r="L238" s="39">
        <f>IF($A238="","",INDEX(tBatches[[Transfers Out]],234))</f>
        <v/>
      </c>
      <c r="M238" s="39">
        <f>IF($A238="","",INDEX(tBatches[[Current Quantity]],234))</f>
        <v/>
      </c>
      <c r="N238" s="40">
        <f>IF($A238="","",IFERROR(J238/(H238+I238),0))</f>
        <v/>
      </c>
      <c r="O238" s="28">
        <f>IF($A238="","",SUMIFS(tFeedIss[[Quantity Issued in kg]],tFeedIss[[Batch ID]],$A238))</f>
        <v/>
      </c>
      <c r="P238" s="29">
        <f>IF($A238="","",SUMIFS(tFeedIss[[Total Cost]],tFeedIss[[Batch ID]],$A238))</f>
        <v/>
      </c>
      <c r="Q238" s="29">
        <f>IF($A238="","",SUMIFS(tDrugUse[[Total Cost]],tDrugUse[[Batch ID]],$A238))</f>
        <v/>
      </c>
      <c r="R238" s="29">
        <f>IF($A238="","",SUMIFS(tExp[[Amount]],tExp[[Batch ID (if applicable)]],$A238))</f>
        <v/>
      </c>
      <c r="S238" s="41">
        <f>IF($A238="","",P238+Q238+R238)</f>
        <v/>
      </c>
      <c r="T238" s="41">
        <f>IF($A238="","",SUMIFS(tSales[[Total Revenue]],tSales[[Batch ID]],$A238))</f>
        <v/>
      </c>
      <c r="U238" s="41">
        <f>IF($A238="","",T238-S238)</f>
        <v/>
      </c>
      <c r="V238" s="29">
        <f>IF($A238="","",IFERROR(S238/(H238+I238),""))</f>
        <v/>
      </c>
      <c r="W238" s="29">
        <f>IF($A238="","",IF(K238=0,"",T238/K238))</f>
        <v/>
      </c>
      <c r="X238" s="42">
        <f>IF($A238="","",IFERROR(O238/(H238+I238),""))</f>
        <v/>
      </c>
      <c r="Y238" s="43">
        <f>IF($A238="","",IF(_xlfn.MAXIFS(tProd[[Date]],tProd[[Batch ID]],$A238,tProd[[Measurement Type]],"Weighing")=0,"",IFERROR(AVERAGEIFS(tProd[[Average Weight kg]],tProd[[Batch ID]],$A238,tProd[[Measurement Type]],"Weighing",tProd[[Date]],_xlfn.MAXIFS(tProd[[Date]],tProd[[Batch ID]],$A238,tProd[[Measurement Type]],"Weighing")),"")))</f>
        <v/>
      </c>
    </row>
    <row r="239">
      <c r="A239" s="27">
        <f>IFERROR(INDEX(tBatches[[Batch ID]],235)&amp;"","")</f>
        <v/>
      </c>
      <c r="B239" s="36">
        <f>IF($A239="","",INDEX(tBatches[[Pen ID]],235)&amp;"")</f>
        <v/>
      </c>
      <c r="C239" s="36">
        <f>IF($A239="","",INDEX(tBatches[[Animal Type]],235)&amp;"")</f>
        <v/>
      </c>
      <c r="D239" s="31">
        <f>IF($A239="","",INDEX(tBatches[[Batch Start Date]],235))</f>
        <v/>
      </c>
      <c r="E239" s="36">
        <f>IF($A239="","",INDEX(tBatches[[Status]],235)&amp;"")</f>
        <v/>
      </c>
      <c r="F239" s="31">
        <f>IF($A239="","",IF(N(INDEX(tBatches[[Closing Date]],235))=0,"",INDEX(tBatches[[Closing Date]],235)))</f>
        <v/>
      </c>
      <c r="G239" s="39">
        <f>IF($A239="","",INDEX(tBatches[[Age (days)]],235))</f>
        <v/>
      </c>
      <c r="H239" s="39">
        <f>IF($A239="","",N(INDEX(tBatches[[Initial Quantity]],235)))</f>
        <v/>
      </c>
      <c r="I239" s="39">
        <f>IF($A239="","",INDEX(tBatches[[Transfers In / Added]],235))</f>
        <v/>
      </c>
      <c r="J239" s="39">
        <f>IF($A239="","",INDEX(tBatches[[Deaths]],235))</f>
        <v/>
      </c>
      <c r="K239" s="39">
        <f>IF($A239="","",INDEX(tBatches[[Heads Sold]],235))</f>
        <v/>
      </c>
      <c r="L239" s="39">
        <f>IF($A239="","",INDEX(tBatches[[Transfers Out]],235))</f>
        <v/>
      </c>
      <c r="M239" s="39">
        <f>IF($A239="","",INDEX(tBatches[[Current Quantity]],235))</f>
        <v/>
      </c>
      <c r="N239" s="40">
        <f>IF($A239="","",IFERROR(J239/(H239+I239),0))</f>
        <v/>
      </c>
      <c r="O239" s="28">
        <f>IF($A239="","",SUMIFS(tFeedIss[[Quantity Issued in kg]],tFeedIss[[Batch ID]],$A239))</f>
        <v/>
      </c>
      <c r="P239" s="29">
        <f>IF($A239="","",SUMIFS(tFeedIss[[Total Cost]],tFeedIss[[Batch ID]],$A239))</f>
        <v/>
      </c>
      <c r="Q239" s="29">
        <f>IF($A239="","",SUMIFS(tDrugUse[[Total Cost]],tDrugUse[[Batch ID]],$A239))</f>
        <v/>
      </c>
      <c r="R239" s="29">
        <f>IF($A239="","",SUMIFS(tExp[[Amount]],tExp[[Batch ID (if applicable)]],$A239))</f>
        <v/>
      </c>
      <c r="S239" s="41">
        <f>IF($A239="","",P239+Q239+R239)</f>
        <v/>
      </c>
      <c r="T239" s="41">
        <f>IF($A239="","",SUMIFS(tSales[[Total Revenue]],tSales[[Batch ID]],$A239))</f>
        <v/>
      </c>
      <c r="U239" s="41">
        <f>IF($A239="","",T239-S239)</f>
        <v/>
      </c>
      <c r="V239" s="29">
        <f>IF($A239="","",IFERROR(S239/(H239+I239),""))</f>
        <v/>
      </c>
      <c r="W239" s="29">
        <f>IF($A239="","",IF(K239=0,"",T239/K239))</f>
        <v/>
      </c>
      <c r="X239" s="42">
        <f>IF($A239="","",IFERROR(O239/(H239+I239),""))</f>
        <v/>
      </c>
      <c r="Y239" s="43">
        <f>IF($A239="","",IF(_xlfn.MAXIFS(tProd[[Date]],tProd[[Batch ID]],$A239,tProd[[Measurement Type]],"Weighing")=0,"",IFERROR(AVERAGEIFS(tProd[[Average Weight kg]],tProd[[Batch ID]],$A239,tProd[[Measurement Type]],"Weighing",tProd[[Date]],_xlfn.MAXIFS(tProd[[Date]],tProd[[Batch ID]],$A239,tProd[[Measurement Type]],"Weighing")),"")))</f>
        <v/>
      </c>
    </row>
    <row r="240">
      <c r="A240" s="27">
        <f>IFERROR(INDEX(tBatches[[Batch ID]],236)&amp;"","")</f>
        <v/>
      </c>
      <c r="B240" s="36">
        <f>IF($A240="","",INDEX(tBatches[[Pen ID]],236)&amp;"")</f>
        <v/>
      </c>
      <c r="C240" s="36">
        <f>IF($A240="","",INDEX(tBatches[[Animal Type]],236)&amp;"")</f>
        <v/>
      </c>
      <c r="D240" s="31">
        <f>IF($A240="","",INDEX(tBatches[[Batch Start Date]],236))</f>
        <v/>
      </c>
      <c r="E240" s="36">
        <f>IF($A240="","",INDEX(tBatches[[Status]],236)&amp;"")</f>
        <v/>
      </c>
      <c r="F240" s="31">
        <f>IF($A240="","",IF(N(INDEX(tBatches[[Closing Date]],236))=0,"",INDEX(tBatches[[Closing Date]],236)))</f>
        <v/>
      </c>
      <c r="G240" s="39">
        <f>IF($A240="","",INDEX(tBatches[[Age (days)]],236))</f>
        <v/>
      </c>
      <c r="H240" s="39">
        <f>IF($A240="","",N(INDEX(tBatches[[Initial Quantity]],236)))</f>
        <v/>
      </c>
      <c r="I240" s="39">
        <f>IF($A240="","",INDEX(tBatches[[Transfers In / Added]],236))</f>
        <v/>
      </c>
      <c r="J240" s="39">
        <f>IF($A240="","",INDEX(tBatches[[Deaths]],236))</f>
        <v/>
      </c>
      <c r="K240" s="39">
        <f>IF($A240="","",INDEX(tBatches[[Heads Sold]],236))</f>
        <v/>
      </c>
      <c r="L240" s="39">
        <f>IF($A240="","",INDEX(tBatches[[Transfers Out]],236))</f>
        <v/>
      </c>
      <c r="M240" s="39">
        <f>IF($A240="","",INDEX(tBatches[[Current Quantity]],236))</f>
        <v/>
      </c>
      <c r="N240" s="40">
        <f>IF($A240="","",IFERROR(J240/(H240+I240),0))</f>
        <v/>
      </c>
      <c r="O240" s="28">
        <f>IF($A240="","",SUMIFS(tFeedIss[[Quantity Issued in kg]],tFeedIss[[Batch ID]],$A240))</f>
        <v/>
      </c>
      <c r="P240" s="29">
        <f>IF($A240="","",SUMIFS(tFeedIss[[Total Cost]],tFeedIss[[Batch ID]],$A240))</f>
        <v/>
      </c>
      <c r="Q240" s="29">
        <f>IF($A240="","",SUMIFS(tDrugUse[[Total Cost]],tDrugUse[[Batch ID]],$A240))</f>
        <v/>
      </c>
      <c r="R240" s="29">
        <f>IF($A240="","",SUMIFS(tExp[[Amount]],tExp[[Batch ID (if applicable)]],$A240))</f>
        <v/>
      </c>
      <c r="S240" s="41">
        <f>IF($A240="","",P240+Q240+R240)</f>
        <v/>
      </c>
      <c r="T240" s="41">
        <f>IF($A240="","",SUMIFS(tSales[[Total Revenue]],tSales[[Batch ID]],$A240))</f>
        <v/>
      </c>
      <c r="U240" s="41">
        <f>IF($A240="","",T240-S240)</f>
        <v/>
      </c>
      <c r="V240" s="29">
        <f>IF($A240="","",IFERROR(S240/(H240+I240),""))</f>
        <v/>
      </c>
      <c r="W240" s="29">
        <f>IF($A240="","",IF(K240=0,"",T240/K240))</f>
        <v/>
      </c>
      <c r="X240" s="42">
        <f>IF($A240="","",IFERROR(O240/(H240+I240),""))</f>
        <v/>
      </c>
      <c r="Y240" s="43">
        <f>IF($A240="","",IF(_xlfn.MAXIFS(tProd[[Date]],tProd[[Batch ID]],$A240,tProd[[Measurement Type]],"Weighing")=0,"",IFERROR(AVERAGEIFS(tProd[[Average Weight kg]],tProd[[Batch ID]],$A240,tProd[[Measurement Type]],"Weighing",tProd[[Date]],_xlfn.MAXIFS(tProd[[Date]],tProd[[Batch ID]],$A240,tProd[[Measurement Type]],"Weighing")),"")))</f>
        <v/>
      </c>
    </row>
    <row r="241">
      <c r="A241" s="27">
        <f>IFERROR(INDEX(tBatches[[Batch ID]],237)&amp;"","")</f>
        <v/>
      </c>
      <c r="B241" s="36">
        <f>IF($A241="","",INDEX(tBatches[[Pen ID]],237)&amp;"")</f>
        <v/>
      </c>
      <c r="C241" s="36">
        <f>IF($A241="","",INDEX(tBatches[[Animal Type]],237)&amp;"")</f>
        <v/>
      </c>
      <c r="D241" s="31">
        <f>IF($A241="","",INDEX(tBatches[[Batch Start Date]],237))</f>
        <v/>
      </c>
      <c r="E241" s="36">
        <f>IF($A241="","",INDEX(tBatches[[Status]],237)&amp;"")</f>
        <v/>
      </c>
      <c r="F241" s="31">
        <f>IF($A241="","",IF(N(INDEX(tBatches[[Closing Date]],237))=0,"",INDEX(tBatches[[Closing Date]],237)))</f>
        <v/>
      </c>
      <c r="G241" s="39">
        <f>IF($A241="","",INDEX(tBatches[[Age (days)]],237))</f>
        <v/>
      </c>
      <c r="H241" s="39">
        <f>IF($A241="","",N(INDEX(tBatches[[Initial Quantity]],237)))</f>
        <v/>
      </c>
      <c r="I241" s="39">
        <f>IF($A241="","",INDEX(tBatches[[Transfers In / Added]],237))</f>
        <v/>
      </c>
      <c r="J241" s="39">
        <f>IF($A241="","",INDEX(tBatches[[Deaths]],237))</f>
        <v/>
      </c>
      <c r="K241" s="39">
        <f>IF($A241="","",INDEX(tBatches[[Heads Sold]],237))</f>
        <v/>
      </c>
      <c r="L241" s="39">
        <f>IF($A241="","",INDEX(tBatches[[Transfers Out]],237))</f>
        <v/>
      </c>
      <c r="M241" s="39">
        <f>IF($A241="","",INDEX(tBatches[[Current Quantity]],237))</f>
        <v/>
      </c>
      <c r="N241" s="40">
        <f>IF($A241="","",IFERROR(J241/(H241+I241),0))</f>
        <v/>
      </c>
      <c r="O241" s="28">
        <f>IF($A241="","",SUMIFS(tFeedIss[[Quantity Issued in kg]],tFeedIss[[Batch ID]],$A241))</f>
        <v/>
      </c>
      <c r="P241" s="29">
        <f>IF($A241="","",SUMIFS(tFeedIss[[Total Cost]],tFeedIss[[Batch ID]],$A241))</f>
        <v/>
      </c>
      <c r="Q241" s="29">
        <f>IF($A241="","",SUMIFS(tDrugUse[[Total Cost]],tDrugUse[[Batch ID]],$A241))</f>
        <v/>
      </c>
      <c r="R241" s="29">
        <f>IF($A241="","",SUMIFS(tExp[[Amount]],tExp[[Batch ID (if applicable)]],$A241))</f>
        <v/>
      </c>
      <c r="S241" s="41">
        <f>IF($A241="","",P241+Q241+R241)</f>
        <v/>
      </c>
      <c r="T241" s="41">
        <f>IF($A241="","",SUMIFS(tSales[[Total Revenue]],tSales[[Batch ID]],$A241))</f>
        <v/>
      </c>
      <c r="U241" s="41">
        <f>IF($A241="","",T241-S241)</f>
        <v/>
      </c>
      <c r="V241" s="29">
        <f>IF($A241="","",IFERROR(S241/(H241+I241),""))</f>
        <v/>
      </c>
      <c r="W241" s="29">
        <f>IF($A241="","",IF(K241=0,"",T241/K241))</f>
        <v/>
      </c>
      <c r="X241" s="42">
        <f>IF($A241="","",IFERROR(O241/(H241+I241),""))</f>
        <v/>
      </c>
      <c r="Y241" s="43">
        <f>IF($A241="","",IF(_xlfn.MAXIFS(tProd[[Date]],tProd[[Batch ID]],$A241,tProd[[Measurement Type]],"Weighing")=0,"",IFERROR(AVERAGEIFS(tProd[[Average Weight kg]],tProd[[Batch ID]],$A241,tProd[[Measurement Type]],"Weighing",tProd[[Date]],_xlfn.MAXIFS(tProd[[Date]],tProd[[Batch ID]],$A241,tProd[[Measurement Type]],"Weighing")),"")))</f>
        <v/>
      </c>
    </row>
    <row r="242">
      <c r="A242" s="27">
        <f>IFERROR(INDEX(tBatches[[Batch ID]],238)&amp;"","")</f>
        <v/>
      </c>
      <c r="B242" s="36">
        <f>IF($A242="","",INDEX(tBatches[[Pen ID]],238)&amp;"")</f>
        <v/>
      </c>
      <c r="C242" s="36">
        <f>IF($A242="","",INDEX(tBatches[[Animal Type]],238)&amp;"")</f>
        <v/>
      </c>
      <c r="D242" s="31">
        <f>IF($A242="","",INDEX(tBatches[[Batch Start Date]],238))</f>
        <v/>
      </c>
      <c r="E242" s="36">
        <f>IF($A242="","",INDEX(tBatches[[Status]],238)&amp;"")</f>
        <v/>
      </c>
      <c r="F242" s="31">
        <f>IF($A242="","",IF(N(INDEX(tBatches[[Closing Date]],238))=0,"",INDEX(tBatches[[Closing Date]],238)))</f>
        <v/>
      </c>
      <c r="G242" s="39">
        <f>IF($A242="","",INDEX(tBatches[[Age (days)]],238))</f>
        <v/>
      </c>
      <c r="H242" s="39">
        <f>IF($A242="","",N(INDEX(tBatches[[Initial Quantity]],238)))</f>
        <v/>
      </c>
      <c r="I242" s="39">
        <f>IF($A242="","",INDEX(tBatches[[Transfers In / Added]],238))</f>
        <v/>
      </c>
      <c r="J242" s="39">
        <f>IF($A242="","",INDEX(tBatches[[Deaths]],238))</f>
        <v/>
      </c>
      <c r="K242" s="39">
        <f>IF($A242="","",INDEX(tBatches[[Heads Sold]],238))</f>
        <v/>
      </c>
      <c r="L242" s="39">
        <f>IF($A242="","",INDEX(tBatches[[Transfers Out]],238))</f>
        <v/>
      </c>
      <c r="M242" s="39">
        <f>IF($A242="","",INDEX(tBatches[[Current Quantity]],238))</f>
        <v/>
      </c>
      <c r="N242" s="40">
        <f>IF($A242="","",IFERROR(J242/(H242+I242),0))</f>
        <v/>
      </c>
      <c r="O242" s="28">
        <f>IF($A242="","",SUMIFS(tFeedIss[[Quantity Issued in kg]],tFeedIss[[Batch ID]],$A242))</f>
        <v/>
      </c>
      <c r="P242" s="29">
        <f>IF($A242="","",SUMIFS(tFeedIss[[Total Cost]],tFeedIss[[Batch ID]],$A242))</f>
        <v/>
      </c>
      <c r="Q242" s="29">
        <f>IF($A242="","",SUMIFS(tDrugUse[[Total Cost]],tDrugUse[[Batch ID]],$A242))</f>
        <v/>
      </c>
      <c r="R242" s="29">
        <f>IF($A242="","",SUMIFS(tExp[[Amount]],tExp[[Batch ID (if applicable)]],$A242))</f>
        <v/>
      </c>
      <c r="S242" s="41">
        <f>IF($A242="","",P242+Q242+R242)</f>
        <v/>
      </c>
      <c r="T242" s="41">
        <f>IF($A242="","",SUMIFS(tSales[[Total Revenue]],tSales[[Batch ID]],$A242))</f>
        <v/>
      </c>
      <c r="U242" s="41">
        <f>IF($A242="","",T242-S242)</f>
        <v/>
      </c>
      <c r="V242" s="29">
        <f>IF($A242="","",IFERROR(S242/(H242+I242),""))</f>
        <v/>
      </c>
      <c r="W242" s="29">
        <f>IF($A242="","",IF(K242=0,"",T242/K242))</f>
        <v/>
      </c>
      <c r="X242" s="42">
        <f>IF($A242="","",IFERROR(O242/(H242+I242),""))</f>
        <v/>
      </c>
      <c r="Y242" s="43">
        <f>IF($A242="","",IF(_xlfn.MAXIFS(tProd[[Date]],tProd[[Batch ID]],$A242,tProd[[Measurement Type]],"Weighing")=0,"",IFERROR(AVERAGEIFS(tProd[[Average Weight kg]],tProd[[Batch ID]],$A242,tProd[[Measurement Type]],"Weighing",tProd[[Date]],_xlfn.MAXIFS(tProd[[Date]],tProd[[Batch ID]],$A242,tProd[[Measurement Type]],"Weighing")),"")))</f>
        <v/>
      </c>
    </row>
    <row r="243">
      <c r="A243" s="27">
        <f>IFERROR(INDEX(tBatches[[Batch ID]],239)&amp;"","")</f>
        <v/>
      </c>
      <c r="B243" s="36">
        <f>IF($A243="","",INDEX(tBatches[[Pen ID]],239)&amp;"")</f>
        <v/>
      </c>
      <c r="C243" s="36">
        <f>IF($A243="","",INDEX(tBatches[[Animal Type]],239)&amp;"")</f>
        <v/>
      </c>
      <c r="D243" s="31">
        <f>IF($A243="","",INDEX(tBatches[[Batch Start Date]],239))</f>
        <v/>
      </c>
      <c r="E243" s="36">
        <f>IF($A243="","",INDEX(tBatches[[Status]],239)&amp;"")</f>
        <v/>
      </c>
      <c r="F243" s="31">
        <f>IF($A243="","",IF(N(INDEX(tBatches[[Closing Date]],239))=0,"",INDEX(tBatches[[Closing Date]],239)))</f>
        <v/>
      </c>
      <c r="G243" s="39">
        <f>IF($A243="","",INDEX(tBatches[[Age (days)]],239))</f>
        <v/>
      </c>
      <c r="H243" s="39">
        <f>IF($A243="","",N(INDEX(tBatches[[Initial Quantity]],239)))</f>
        <v/>
      </c>
      <c r="I243" s="39">
        <f>IF($A243="","",INDEX(tBatches[[Transfers In / Added]],239))</f>
        <v/>
      </c>
      <c r="J243" s="39">
        <f>IF($A243="","",INDEX(tBatches[[Deaths]],239))</f>
        <v/>
      </c>
      <c r="K243" s="39">
        <f>IF($A243="","",INDEX(tBatches[[Heads Sold]],239))</f>
        <v/>
      </c>
      <c r="L243" s="39">
        <f>IF($A243="","",INDEX(tBatches[[Transfers Out]],239))</f>
        <v/>
      </c>
      <c r="M243" s="39">
        <f>IF($A243="","",INDEX(tBatches[[Current Quantity]],239))</f>
        <v/>
      </c>
      <c r="N243" s="40">
        <f>IF($A243="","",IFERROR(J243/(H243+I243),0))</f>
        <v/>
      </c>
      <c r="O243" s="28">
        <f>IF($A243="","",SUMIFS(tFeedIss[[Quantity Issued in kg]],tFeedIss[[Batch ID]],$A243))</f>
        <v/>
      </c>
      <c r="P243" s="29">
        <f>IF($A243="","",SUMIFS(tFeedIss[[Total Cost]],tFeedIss[[Batch ID]],$A243))</f>
        <v/>
      </c>
      <c r="Q243" s="29">
        <f>IF($A243="","",SUMIFS(tDrugUse[[Total Cost]],tDrugUse[[Batch ID]],$A243))</f>
        <v/>
      </c>
      <c r="R243" s="29">
        <f>IF($A243="","",SUMIFS(tExp[[Amount]],tExp[[Batch ID (if applicable)]],$A243))</f>
        <v/>
      </c>
      <c r="S243" s="41">
        <f>IF($A243="","",P243+Q243+R243)</f>
        <v/>
      </c>
      <c r="T243" s="41">
        <f>IF($A243="","",SUMIFS(tSales[[Total Revenue]],tSales[[Batch ID]],$A243))</f>
        <v/>
      </c>
      <c r="U243" s="41">
        <f>IF($A243="","",T243-S243)</f>
        <v/>
      </c>
      <c r="V243" s="29">
        <f>IF($A243="","",IFERROR(S243/(H243+I243),""))</f>
        <v/>
      </c>
      <c r="W243" s="29">
        <f>IF($A243="","",IF(K243=0,"",T243/K243))</f>
        <v/>
      </c>
      <c r="X243" s="42">
        <f>IF($A243="","",IFERROR(O243/(H243+I243),""))</f>
        <v/>
      </c>
      <c r="Y243" s="43">
        <f>IF($A243="","",IF(_xlfn.MAXIFS(tProd[[Date]],tProd[[Batch ID]],$A243,tProd[[Measurement Type]],"Weighing")=0,"",IFERROR(AVERAGEIFS(tProd[[Average Weight kg]],tProd[[Batch ID]],$A243,tProd[[Measurement Type]],"Weighing",tProd[[Date]],_xlfn.MAXIFS(tProd[[Date]],tProd[[Batch ID]],$A243,tProd[[Measurement Type]],"Weighing")),"")))</f>
        <v/>
      </c>
    </row>
    <row r="244">
      <c r="A244" s="27">
        <f>IFERROR(INDEX(tBatches[[Batch ID]],240)&amp;"","")</f>
        <v/>
      </c>
      <c r="B244" s="36">
        <f>IF($A244="","",INDEX(tBatches[[Pen ID]],240)&amp;"")</f>
        <v/>
      </c>
      <c r="C244" s="36">
        <f>IF($A244="","",INDEX(tBatches[[Animal Type]],240)&amp;"")</f>
        <v/>
      </c>
      <c r="D244" s="31">
        <f>IF($A244="","",INDEX(tBatches[[Batch Start Date]],240))</f>
        <v/>
      </c>
      <c r="E244" s="36">
        <f>IF($A244="","",INDEX(tBatches[[Status]],240)&amp;"")</f>
        <v/>
      </c>
      <c r="F244" s="31">
        <f>IF($A244="","",IF(N(INDEX(tBatches[[Closing Date]],240))=0,"",INDEX(tBatches[[Closing Date]],240)))</f>
        <v/>
      </c>
      <c r="G244" s="39">
        <f>IF($A244="","",INDEX(tBatches[[Age (days)]],240))</f>
        <v/>
      </c>
      <c r="H244" s="39">
        <f>IF($A244="","",N(INDEX(tBatches[[Initial Quantity]],240)))</f>
        <v/>
      </c>
      <c r="I244" s="39">
        <f>IF($A244="","",INDEX(tBatches[[Transfers In / Added]],240))</f>
        <v/>
      </c>
      <c r="J244" s="39">
        <f>IF($A244="","",INDEX(tBatches[[Deaths]],240))</f>
        <v/>
      </c>
      <c r="K244" s="39">
        <f>IF($A244="","",INDEX(tBatches[[Heads Sold]],240))</f>
        <v/>
      </c>
      <c r="L244" s="39">
        <f>IF($A244="","",INDEX(tBatches[[Transfers Out]],240))</f>
        <v/>
      </c>
      <c r="M244" s="39">
        <f>IF($A244="","",INDEX(tBatches[[Current Quantity]],240))</f>
        <v/>
      </c>
      <c r="N244" s="40">
        <f>IF($A244="","",IFERROR(J244/(H244+I244),0))</f>
        <v/>
      </c>
      <c r="O244" s="28">
        <f>IF($A244="","",SUMIFS(tFeedIss[[Quantity Issued in kg]],tFeedIss[[Batch ID]],$A244))</f>
        <v/>
      </c>
      <c r="P244" s="29">
        <f>IF($A244="","",SUMIFS(tFeedIss[[Total Cost]],tFeedIss[[Batch ID]],$A244))</f>
        <v/>
      </c>
      <c r="Q244" s="29">
        <f>IF($A244="","",SUMIFS(tDrugUse[[Total Cost]],tDrugUse[[Batch ID]],$A244))</f>
        <v/>
      </c>
      <c r="R244" s="29">
        <f>IF($A244="","",SUMIFS(tExp[[Amount]],tExp[[Batch ID (if applicable)]],$A244))</f>
        <v/>
      </c>
      <c r="S244" s="41">
        <f>IF($A244="","",P244+Q244+R244)</f>
        <v/>
      </c>
      <c r="T244" s="41">
        <f>IF($A244="","",SUMIFS(tSales[[Total Revenue]],tSales[[Batch ID]],$A244))</f>
        <v/>
      </c>
      <c r="U244" s="41">
        <f>IF($A244="","",T244-S244)</f>
        <v/>
      </c>
      <c r="V244" s="29">
        <f>IF($A244="","",IFERROR(S244/(H244+I244),""))</f>
        <v/>
      </c>
      <c r="W244" s="29">
        <f>IF($A244="","",IF(K244=0,"",T244/K244))</f>
        <v/>
      </c>
      <c r="X244" s="42">
        <f>IF($A244="","",IFERROR(O244/(H244+I244),""))</f>
        <v/>
      </c>
      <c r="Y244" s="43">
        <f>IF($A244="","",IF(_xlfn.MAXIFS(tProd[[Date]],tProd[[Batch ID]],$A244,tProd[[Measurement Type]],"Weighing")=0,"",IFERROR(AVERAGEIFS(tProd[[Average Weight kg]],tProd[[Batch ID]],$A244,tProd[[Measurement Type]],"Weighing",tProd[[Date]],_xlfn.MAXIFS(tProd[[Date]],tProd[[Batch ID]],$A244,tProd[[Measurement Type]],"Weighing")),"")))</f>
        <v/>
      </c>
    </row>
    <row r="245">
      <c r="A245" s="27">
        <f>IFERROR(INDEX(tBatches[[Batch ID]],241)&amp;"","")</f>
        <v/>
      </c>
      <c r="B245" s="36">
        <f>IF($A245="","",INDEX(tBatches[[Pen ID]],241)&amp;"")</f>
        <v/>
      </c>
      <c r="C245" s="36">
        <f>IF($A245="","",INDEX(tBatches[[Animal Type]],241)&amp;"")</f>
        <v/>
      </c>
      <c r="D245" s="31">
        <f>IF($A245="","",INDEX(tBatches[[Batch Start Date]],241))</f>
        <v/>
      </c>
      <c r="E245" s="36">
        <f>IF($A245="","",INDEX(tBatches[[Status]],241)&amp;"")</f>
        <v/>
      </c>
      <c r="F245" s="31">
        <f>IF($A245="","",IF(N(INDEX(tBatches[[Closing Date]],241))=0,"",INDEX(tBatches[[Closing Date]],241)))</f>
        <v/>
      </c>
      <c r="G245" s="39">
        <f>IF($A245="","",INDEX(tBatches[[Age (days)]],241))</f>
        <v/>
      </c>
      <c r="H245" s="39">
        <f>IF($A245="","",N(INDEX(tBatches[[Initial Quantity]],241)))</f>
        <v/>
      </c>
      <c r="I245" s="39">
        <f>IF($A245="","",INDEX(tBatches[[Transfers In / Added]],241))</f>
        <v/>
      </c>
      <c r="J245" s="39">
        <f>IF($A245="","",INDEX(tBatches[[Deaths]],241))</f>
        <v/>
      </c>
      <c r="K245" s="39">
        <f>IF($A245="","",INDEX(tBatches[[Heads Sold]],241))</f>
        <v/>
      </c>
      <c r="L245" s="39">
        <f>IF($A245="","",INDEX(tBatches[[Transfers Out]],241))</f>
        <v/>
      </c>
      <c r="M245" s="39">
        <f>IF($A245="","",INDEX(tBatches[[Current Quantity]],241))</f>
        <v/>
      </c>
      <c r="N245" s="40">
        <f>IF($A245="","",IFERROR(J245/(H245+I245),0))</f>
        <v/>
      </c>
      <c r="O245" s="28">
        <f>IF($A245="","",SUMIFS(tFeedIss[[Quantity Issued in kg]],tFeedIss[[Batch ID]],$A245))</f>
        <v/>
      </c>
      <c r="P245" s="29">
        <f>IF($A245="","",SUMIFS(tFeedIss[[Total Cost]],tFeedIss[[Batch ID]],$A245))</f>
        <v/>
      </c>
      <c r="Q245" s="29">
        <f>IF($A245="","",SUMIFS(tDrugUse[[Total Cost]],tDrugUse[[Batch ID]],$A245))</f>
        <v/>
      </c>
      <c r="R245" s="29">
        <f>IF($A245="","",SUMIFS(tExp[[Amount]],tExp[[Batch ID (if applicable)]],$A245))</f>
        <v/>
      </c>
      <c r="S245" s="41">
        <f>IF($A245="","",P245+Q245+R245)</f>
        <v/>
      </c>
      <c r="T245" s="41">
        <f>IF($A245="","",SUMIFS(tSales[[Total Revenue]],tSales[[Batch ID]],$A245))</f>
        <v/>
      </c>
      <c r="U245" s="41">
        <f>IF($A245="","",T245-S245)</f>
        <v/>
      </c>
      <c r="V245" s="29">
        <f>IF($A245="","",IFERROR(S245/(H245+I245),""))</f>
        <v/>
      </c>
      <c r="W245" s="29">
        <f>IF($A245="","",IF(K245=0,"",T245/K245))</f>
        <v/>
      </c>
      <c r="X245" s="42">
        <f>IF($A245="","",IFERROR(O245/(H245+I245),""))</f>
        <v/>
      </c>
      <c r="Y245" s="43">
        <f>IF($A245="","",IF(_xlfn.MAXIFS(tProd[[Date]],tProd[[Batch ID]],$A245,tProd[[Measurement Type]],"Weighing")=0,"",IFERROR(AVERAGEIFS(tProd[[Average Weight kg]],tProd[[Batch ID]],$A245,tProd[[Measurement Type]],"Weighing",tProd[[Date]],_xlfn.MAXIFS(tProd[[Date]],tProd[[Batch ID]],$A245,tProd[[Measurement Type]],"Weighing")),"")))</f>
        <v/>
      </c>
    </row>
    <row r="246">
      <c r="A246" s="27">
        <f>IFERROR(INDEX(tBatches[[Batch ID]],242)&amp;"","")</f>
        <v/>
      </c>
      <c r="B246" s="36">
        <f>IF($A246="","",INDEX(tBatches[[Pen ID]],242)&amp;"")</f>
        <v/>
      </c>
      <c r="C246" s="36">
        <f>IF($A246="","",INDEX(tBatches[[Animal Type]],242)&amp;"")</f>
        <v/>
      </c>
      <c r="D246" s="31">
        <f>IF($A246="","",INDEX(tBatches[[Batch Start Date]],242))</f>
        <v/>
      </c>
      <c r="E246" s="36">
        <f>IF($A246="","",INDEX(tBatches[[Status]],242)&amp;"")</f>
        <v/>
      </c>
      <c r="F246" s="31">
        <f>IF($A246="","",IF(N(INDEX(tBatches[[Closing Date]],242))=0,"",INDEX(tBatches[[Closing Date]],242)))</f>
        <v/>
      </c>
      <c r="G246" s="39">
        <f>IF($A246="","",INDEX(tBatches[[Age (days)]],242))</f>
        <v/>
      </c>
      <c r="H246" s="39">
        <f>IF($A246="","",N(INDEX(tBatches[[Initial Quantity]],242)))</f>
        <v/>
      </c>
      <c r="I246" s="39">
        <f>IF($A246="","",INDEX(tBatches[[Transfers In / Added]],242))</f>
        <v/>
      </c>
      <c r="J246" s="39">
        <f>IF($A246="","",INDEX(tBatches[[Deaths]],242))</f>
        <v/>
      </c>
      <c r="K246" s="39">
        <f>IF($A246="","",INDEX(tBatches[[Heads Sold]],242))</f>
        <v/>
      </c>
      <c r="L246" s="39">
        <f>IF($A246="","",INDEX(tBatches[[Transfers Out]],242))</f>
        <v/>
      </c>
      <c r="M246" s="39">
        <f>IF($A246="","",INDEX(tBatches[[Current Quantity]],242))</f>
        <v/>
      </c>
      <c r="N246" s="40">
        <f>IF($A246="","",IFERROR(J246/(H246+I246),0))</f>
        <v/>
      </c>
      <c r="O246" s="28">
        <f>IF($A246="","",SUMIFS(tFeedIss[[Quantity Issued in kg]],tFeedIss[[Batch ID]],$A246))</f>
        <v/>
      </c>
      <c r="P246" s="29">
        <f>IF($A246="","",SUMIFS(tFeedIss[[Total Cost]],tFeedIss[[Batch ID]],$A246))</f>
        <v/>
      </c>
      <c r="Q246" s="29">
        <f>IF($A246="","",SUMIFS(tDrugUse[[Total Cost]],tDrugUse[[Batch ID]],$A246))</f>
        <v/>
      </c>
      <c r="R246" s="29">
        <f>IF($A246="","",SUMIFS(tExp[[Amount]],tExp[[Batch ID (if applicable)]],$A246))</f>
        <v/>
      </c>
      <c r="S246" s="41">
        <f>IF($A246="","",P246+Q246+R246)</f>
        <v/>
      </c>
      <c r="T246" s="41">
        <f>IF($A246="","",SUMIFS(tSales[[Total Revenue]],tSales[[Batch ID]],$A246))</f>
        <v/>
      </c>
      <c r="U246" s="41">
        <f>IF($A246="","",T246-S246)</f>
        <v/>
      </c>
      <c r="V246" s="29">
        <f>IF($A246="","",IFERROR(S246/(H246+I246),""))</f>
        <v/>
      </c>
      <c r="W246" s="29">
        <f>IF($A246="","",IF(K246=0,"",T246/K246))</f>
        <v/>
      </c>
      <c r="X246" s="42">
        <f>IF($A246="","",IFERROR(O246/(H246+I246),""))</f>
        <v/>
      </c>
      <c r="Y246" s="43">
        <f>IF($A246="","",IF(_xlfn.MAXIFS(tProd[[Date]],tProd[[Batch ID]],$A246,tProd[[Measurement Type]],"Weighing")=0,"",IFERROR(AVERAGEIFS(tProd[[Average Weight kg]],tProd[[Batch ID]],$A246,tProd[[Measurement Type]],"Weighing",tProd[[Date]],_xlfn.MAXIFS(tProd[[Date]],tProd[[Batch ID]],$A246,tProd[[Measurement Type]],"Weighing")),"")))</f>
        <v/>
      </c>
    </row>
    <row r="247">
      <c r="A247" s="27">
        <f>IFERROR(INDEX(tBatches[[Batch ID]],243)&amp;"","")</f>
        <v/>
      </c>
      <c r="B247" s="36">
        <f>IF($A247="","",INDEX(tBatches[[Pen ID]],243)&amp;"")</f>
        <v/>
      </c>
      <c r="C247" s="36">
        <f>IF($A247="","",INDEX(tBatches[[Animal Type]],243)&amp;"")</f>
        <v/>
      </c>
      <c r="D247" s="31">
        <f>IF($A247="","",INDEX(tBatches[[Batch Start Date]],243))</f>
        <v/>
      </c>
      <c r="E247" s="36">
        <f>IF($A247="","",INDEX(tBatches[[Status]],243)&amp;"")</f>
        <v/>
      </c>
      <c r="F247" s="31">
        <f>IF($A247="","",IF(N(INDEX(tBatches[[Closing Date]],243))=0,"",INDEX(tBatches[[Closing Date]],243)))</f>
        <v/>
      </c>
      <c r="G247" s="39">
        <f>IF($A247="","",INDEX(tBatches[[Age (days)]],243))</f>
        <v/>
      </c>
      <c r="H247" s="39">
        <f>IF($A247="","",N(INDEX(tBatches[[Initial Quantity]],243)))</f>
        <v/>
      </c>
      <c r="I247" s="39">
        <f>IF($A247="","",INDEX(tBatches[[Transfers In / Added]],243))</f>
        <v/>
      </c>
      <c r="J247" s="39">
        <f>IF($A247="","",INDEX(tBatches[[Deaths]],243))</f>
        <v/>
      </c>
      <c r="K247" s="39">
        <f>IF($A247="","",INDEX(tBatches[[Heads Sold]],243))</f>
        <v/>
      </c>
      <c r="L247" s="39">
        <f>IF($A247="","",INDEX(tBatches[[Transfers Out]],243))</f>
        <v/>
      </c>
      <c r="M247" s="39">
        <f>IF($A247="","",INDEX(tBatches[[Current Quantity]],243))</f>
        <v/>
      </c>
      <c r="N247" s="40">
        <f>IF($A247="","",IFERROR(J247/(H247+I247),0))</f>
        <v/>
      </c>
      <c r="O247" s="28">
        <f>IF($A247="","",SUMIFS(tFeedIss[[Quantity Issued in kg]],tFeedIss[[Batch ID]],$A247))</f>
        <v/>
      </c>
      <c r="P247" s="29">
        <f>IF($A247="","",SUMIFS(tFeedIss[[Total Cost]],tFeedIss[[Batch ID]],$A247))</f>
        <v/>
      </c>
      <c r="Q247" s="29">
        <f>IF($A247="","",SUMIFS(tDrugUse[[Total Cost]],tDrugUse[[Batch ID]],$A247))</f>
        <v/>
      </c>
      <c r="R247" s="29">
        <f>IF($A247="","",SUMIFS(tExp[[Amount]],tExp[[Batch ID (if applicable)]],$A247))</f>
        <v/>
      </c>
      <c r="S247" s="41">
        <f>IF($A247="","",P247+Q247+R247)</f>
        <v/>
      </c>
      <c r="T247" s="41">
        <f>IF($A247="","",SUMIFS(tSales[[Total Revenue]],tSales[[Batch ID]],$A247))</f>
        <v/>
      </c>
      <c r="U247" s="41">
        <f>IF($A247="","",T247-S247)</f>
        <v/>
      </c>
      <c r="V247" s="29">
        <f>IF($A247="","",IFERROR(S247/(H247+I247),""))</f>
        <v/>
      </c>
      <c r="W247" s="29">
        <f>IF($A247="","",IF(K247=0,"",T247/K247))</f>
        <v/>
      </c>
      <c r="X247" s="42">
        <f>IF($A247="","",IFERROR(O247/(H247+I247),""))</f>
        <v/>
      </c>
      <c r="Y247" s="43">
        <f>IF($A247="","",IF(_xlfn.MAXIFS(tProd[[Date]],tProd[[Batch ID]],$A247,tProd[[Measurement Type]],"Weighing")=0,"",IFERROR(AVERAGEIFS(tProd[[Average Weight kg]],tProd[[Batch ID]],$A247,tProd[[Measurement Type]],"Weighing",tProd[[Date]],_xlfn.MAXIFS(tProd[[Date]],tProd[[Batch ID]],$A247,tProd[[Measurement Type]],"Weighing")),"")))</f>
        <v/>
      </c>
    </row>
    <row r="248">
      <c r="A248" s="27">
        <f>IFERROR(INDEX(tBatches[[Batch ID]],244)&amp;"","")</f>
        <v/>
      </c>
      <c r="B248" s="36">
        <f>IF($A248="","",INDEX(tBatches[[Pen ID]],244)&amp;"")</f>
        <v/>
      </c>
      <c r="C248" s="36">
        <f>IF($A248="","",INDEX(tBatches[[Animal Type]],244)&amp;"")</f>
        <v/>
      </c>
      <c r="D248" s="31">
        <f>IF($A248="","",INDEX(tBatches[[Batch Start Date]],244))</f>
        <v/>
      </c>
      <c r="E248" s="36">
        <f>IF($A248="","",INDEX(tBatches[[Status]],244)&amp;"")</f>
        <v/>
      </c>
      <c r="F248" s="31">
        <f>IF($A248="","",IF(N(INDEX(tBatches[[Closing Date]],244))=0,"",INDEX(tBatches[[Closing Date]],244)))</f>
        <v/>
      </c>
      <c r="G248" s="39">
        <f>IF($A248="","",INDEX(tBatches[[Age (days)]],244))</f>
        <v/>
      </c>
      <c r="H248" s="39">
        <f>IF($A248="","",N(INDEX(tBatches[[Initial Quantity]],244)))</f>
        <v/>
      </c>
      <c r="I248" s="39">
        <f>IF($A248="","",INDEX(tBatches[[Transfers In / Added]],244))</f>
        <v/>
      </c>
      <c r="J248" s="39">
        <f>IF($A248="","",INDEX(tBatches[[Deaths]],244))</f>
        <v/>
      </c>
      <c r="K248" s="39">
        <f>IF($A248="","",INDEX(tBatches[[Heads Sold]],244))</f>
        <v/>
      </c>
      <c r="L248" s="39">
        <f>IF($A248="","",INDEX(tBatches[[Transfers Out]],244))</f>
        <v/>
      </c>
      <c r="M248" s="39">
        <f>IF($A248="","",INDEX(tBatches[[Current Quantity]],244))</f>
        <v/>
      </c>
      <c r="N248" s="40">
        <f>IF($A248="","",IFERROR(J248/(H248+I248),0))</f>
        <v/>
      </c>
      <c r="O248" s="28">
        <f>IF($A248="","",SUMIFS(tFeedIss[[Quantity Issued in kg]],tFeedIss[[Batch ID]],$A248))</f>
        <v/>
      </c>
      <c r="P248" s="29">
        <f>IF($A248="","",SUMIFS(tFeedIss[[Total Cost]],tFeedIss[[Batch ID]],$A248))</f>
        <v/>
      </c>
      <c r="Q248" s="29">
        <f>IF($A248="","",SUMIFS(tDrugUse[[Total Cost]],tDrugUse[[Batch ID]],$A248))</f>
        <v/>
      </c>
      <c r="R248" s="29">
        <f>IF($A248="","",SUMIFS(tExp[[Amount]],tExp[[Batch ID (if applicable)]],$A248))</f>
        <v/>
      </c>
      <c r="S248" s="41">
        <f>IF($A248="","",P248+Q248+R248)</f>
        <v/>
      </c>
      <c r="T248" s="41">
        <f>IF($A248="","",SUMIFS(tSales[[Total Revenue]],tSales[[Batch ID]],$A248))</f>
        <v/>
      </c>
      <c r="U248" s="41">
        <f>IF($A248="","",T248-S248)</f>
        <v/>
      </c>
      <c r="V248" s="29">
        <f>IF($A248="","",IFERROR(S248/(H248+I248),""))</f>
        <v/>
      </c>
      <c r="W248" s="29">
        <f>IF($A248="","",IF(K248=0,"",T248/K248))</f>
        <v/>
      </c>
      <c r="X248" s="42">
        <f>IF($A248="","",IFERROR(O248/(H248+I248),""))</f>
        <v/>
      </c>
      <c r="Y248" s="43">
        <f>IF($A248="","",IF(_xlfn.MAXIFS(tProd[[Date]],tProd[[Batch ID]],$A248,tProd[[Measurement Type]],"Weighing")=0,"",IFERROR(AVERAGEIFS(tProd[[Average Weight kg]],tProd[[Batch ID]],$A248,tProd[[Measurement Type]],"Weighing",tProd[[Date]],_xlfn.MAXIFS(tProd[[Date]],tProd[[Batch ID]],$A248,tProd[[Measurement Type]],"Weighing")),"")))</f>
        <v/>
      </c>
    </row>
    <row r="249">
      <c r="A249" s="27">
        <f>IFERROR(INDEX(tBatches[[Batch ID]],245)&amp;"","")</f>
        <v/>
      </c>
      <c r="B249" s="36">
        <f>IF($A249="","",INDEX(tBatches[[Pen ID]],245)&amp;"")</f>
        <v/>
      </c>
      <c r="C249" s="36">
        <f>IF($A249="","",INDEX(tBatches[[Animal Type]],245)&amp;"")</f>
        <v/>
      </c>
      <c r="D249" s="31">
        <f>IF($A249="","",INDEX(tBatches[[Batch Start Date]],245))</f>
        <v/>
      </c>
      <c r="E249" s="36">
        <f>IF($A249="","",INDEX(tBatches[[Status]],245)&amp;"")</f>
        <v/>
      </c>
      <c r="F249" s="31">
        <f>IF($A249="","",IF(N(INDEX(tBatches[[Closing Date]],245))=0,"",INDEX(tBatches[[Closing Date]],245)))</f>
        <v/>
      </c>
      <c r="G249" s="39">
        <f>IF($A249="","",INDEX(tBatches[[Age (days)]],245))</f>
        <v/>
      </c>
      <c r="H249" s="39">
        <f>IF($A249="","",N(INDEX(tBatches[[Initial Quantity]],245)))</f>
        <v/>
      </c>
      <c r="I249" s="39">
        <f>IF($A249="","",INDEX(tBatches[[Transfers In / Added]],245))</f>
        <v/>
      </c>
      <c r="J249" s="39">
        <f>IF($A249="","",INDEX(tBatches[[Deaths]],245))</f>
        <v/>
      </c>
      <c r="K249" s="39">
        <f>IF($A249="","",INDEX(tBatches[[Heads Sold]],245))</f>
        <v/>
      </c>
      <c r="L249" s="39">
        <f>IF($A249="","",INDEX(tBatches[[Transfers Out]],245))</f>
        <v/>
      </c>
      <c r="M249" s="39">
        <f>IF($A249="","",INDEX(tBatches[[Current Quantity]],245))</f>
        <v/>
      </c>
      <c r="N249" s="40">
        <f>IF($A249="","",IFERROR(J249/(H249+I249),0))</f>
        <v/>
      </c>
      <c r="O249" s="28">
        <f>IF($A249="","",SUMIFS(tFeedIss[[Quantity Issued in kg]],tFeedIss[[Batch ID]],$A249))</f>
        <v/>
      </c>
      <c r="P249" s="29">
        <f>IF($A249="","",SUMIFS(tFeedIss[[Total Cost]],tFeedIss[[Batch ID]],$A249))</f>
        <v/>
      </c>
      <c r="Q249" s="29">
        <f>IF($A249="","",SUMIFS(tDrugUse[[Total Cost]],tDrugUse[[Batch ID]],$A249))</f>
        <v/>
      </c>
      <c r="R249" s="29">
        <f>IF($A249="","",SUMIFS(tExp[[Amount]],tExp[[Batch ID (if applicable)]],$A249))</f>
        <v/>
      </c>
      <c r="S249" s="41">
        <f>IF($A249="","",P249+Q249+R249)</f>
        <v/>
      </c>
      <c r="T249" s="41">
        <f>IF($A249="","",SUMIFS(tSales[[Total Revenue]],tSales[[Batch ID]],$A249))</f>
        <v/>
      </c>
      <c r="U249" s="41">
        <f>IF($A249="","",T249-S249)</f>
        <v/>
      </c>
      <c r="V249" s="29">
        <f>IF($A249="","",IFERROR(S249/(H249+I249),""))</f>
        <v/>
      </c>
      <c r="W249" s="29">
        <f>IF($A249="","",IF(K249=0,"",T249/K249))</f>
        <v/>
      </c>
      <c r="X249" s="42">
        <f>IF($A249="","",IFERROR(O249/(H249+I249),""))</f>
        <v/>
      </c>
      <c r="Y249" s="43">
        <f>IF($A249="","",IF(_xlfn.MAXIFS(tProd[[Date]],tProd[[Batch ID]],$A249,tProd[[Measurement Type]],"Weighing")=0,"",IFERROR(AVERAGEIFS(tProd[[Average Weight kg]],tProd[[Batch ID]],$A249,tProd[[Measurement Type]],"Weighing",tProd[[Date]],_xlfn.MAXIFS(tProd[[Date]],tProd[[Batch ID]],$A249,tProd[[Measurement Type]],"Weighing")),"")))</f>
        <v/>
      </c>
    </row>
    <row r="250">
      <c r="A250" s="27">
        <f>IFERROR(INDEX(tBatches[[Batch ID]],246)&amp;"","")</f>
        <v/>
      </c>
      <c r="B250" s="36">
        <f>IF($A250="","",INDEX(tBatches[[Pen ID]],246)&amp;"")</f>
        <v/>
      </c>
      <c r="C250" s="36">
        <f>IF($A250="","",INDEX(tBatches[[Animal Type]],246)&amp;"")</f>
        <v/>
      </c>
      <c r="D250" s="31">
        <f>IF($A250="","",INDEX(tBatches[[Batch Start Date]],246))</f>
        <v/>
      </c>
      <c r="E250" s="36">
        <f>IF($A250="","",INDEX(tBatches[[Status]],246)&amp;"")</f>
        <v/>
      </c>
      <c r="F250" s="31">
        <f>IF($A250="","",IF(N(INDEX(tBatches[[Closing Date]],246))=0,"",INDEX(tBatches[[Closing Date]],246)))</f>
        <v/>
      </c>
      <c r="G250" s="39">
        <f>IF($A250="","",INDEX(tBatches[[Age (days)]],246))</f>
        <v/>
      </c>
      <c r="H250" s="39">
        <f>IF($A250="","",N(INDEX(tBatches[[Initial Quantity]],246)))</f>
        <v/>
      </c>
      <c r="I250" s="39">
        <f>IF($A250="","",INDEX(tBatches[[Transfers In / Added]],246))</f>
        <v/>
      </c>
      <c r="J250" s="39">
        <f>IF($A250="","",INDEX(tBatches[[Deaths]],246))</f>
        <v/>
      </c>
      <c r="K250" s="39">
        <f>IF($A250="","",INDEX(tBatches[[Heads Sold]],246))</f>
        <v/>
      </c>
      <c r="L250" s="39">
        <f>IF($A250="","",INDEX(tBatches[[Transfers Out]],246))</f>
        <v/>
      </c>
      <c r="M250" s="39">
        <f>IF($A250="","",INDEX(tBatches[[Current Quantity]],246))</f>
        <v/>
      </c>
      <c r="N250" s="40">
        <f>IF($A250="","",IFERROR(J250/(H250+I250),0))</f>
        <v/>
      </c>
      <c r="O250" s="28">
        <f>IF($A250="","",SUMIFS(tFeedIss[[Quantity Issued in kg]],tFeedIss[[Batch ID]],$A250))</f>
        <v/>
      </c>
      <c r="P250" s="29">
        <f>IF($A250="","",SUMIFS(tFeedIss[[Total Cost]],tFeedIss[[Batch ID]],$A250))</f>
        <v/>
      </c>
      <c r="Q250" s="29">
        <f>IF($A250="","",SUMIFS(tDrugUse[[Total Cost]],tDrugUse[[Batch ID]],$A250))</f>
        <v/>
      </c>
      <c r="R250" s="29">
        <f>IF($A250="","",SUMIFS(tExp[[Amount]],tExp[[Batch ID (if applicable)]],$A250))</f>
        <v/>
      </c>
      <c r="S250" s="41">
        <f>IF($A250="","",P250+Q250+R250)</f>
        <v/>
      </c>
      <c r="T250" s="41">
        <f>IF($A250="","",SUMIFS(tSales[[Total Revenue]],tSales[[Batch ID]],$A250))</f>
        <v/>
      </c>
      <c r="U250" s="41">
        <f>IF($A250="","",T250-S250)</f>
        <v/>
      </c>
      <c r="V250" s="29">
        <f>IF($A250="","",IFERROR(S250/(H250+I250),""))</f>
        <v/>
      </c>
      <c r="W250" s="29">
        <f>IF($A250="","",IF(K250=0,"",T250/K250))</f>
        <v/>
      </c>
      <c r="X250" s="42">
        <f>IF($A250="","",IFERROR(O250/(H250+I250),""))</f>
        <v/>
      </c>
      <c r="Y250" s="43">
        <f>IF($A250="","",IF(_xlfn.MAXIFS(tProd[[Date]],tProd[[Batch ID]],$A250,tProd[[Measurement Type]],"Weighing")=0,"",IFERROR(AVERAGEIFS(tProd[[Average Weight kg]],tProd[[Batch ID]],$A250,tProd[[Measurement Type]],"Weighing",tProd[[Date]],_xlfn.MAXIFS(tProd[[Date]],tProd[[Batch ID]],$A250,tProd[[Measurement Type]],"Weighing")),"")))</f>
        <v/>
      </c>
    </row>
    <row r="251">
      <c r="A251" s="27">
        <f>IFERROR(INDEX(tBatches[[Batch ID]],247)&amp;"","")</f>
        <v/>
      </c>
      <c r="B251" s="36">
        <f>IF($A251="","",INDEX(tBatches[[Pen ID]],247)&amp;"")</f>
        <v/>
      </c>
      <c r="C251" s="36">
        <f>IF($A251="","",INDEX(tBatches[[Animal Type]],247)&amp;"")</f>
        <v/>
      </c>
      <c r="D251" s="31">
        <f>IF($A251="","",INDEX(tBatches[[Batch Start Date]],247))</f>
        <v/>
      </c>
      <c r="E251" s="36">
        <f>IF($A251="","",INDEX(tBatches[[Status]],247)&amp;"")</f>
        <v/>
      </c>
      <c r="F251" s="31">
        <f>IF($A251="","",IF(N(INDEX(tBatches[[Closing Date]],247))=0,"",INDEX(tBatches[[Closing Date]],247)))</f>
        <v/>
      </c>
      <c r="G251" s="39">
        <f>IF($A251="","",INDEX(tBatches[[Age (days)]],247))</f>
        <v/>
      </c>
      <c r="H251" s="39">
        <f>IF($A251="","",N(INDEX(tBatches[[Initial Quantity]],247)))</f>
        <v/>
      </c>
      <c r="I251" s="39">
        <f>IF($A251="","",INDEX(tBatches[[Transfers In / Added]],247))</f>
        <v/>
      </c>
      <c r="J251" s="39">
        <f>IF($A251="","",INDEX(tBatches[[Deaths]],247))</f>
        <v/>
      </c>
      <c r="K251" s="39">
        <f>IF($A251="","",INDEX(tBatches[[Heads Sold]],247))</f>
        <v/>
      </c>
      <c r="L251" s="39">
        <f>IF($A251="","",INDEX(tBatches[[Transfers Out]],247))</f>
        <v/>
      </c>
      <c r="M251" s="39">
        <f>IF($A251="","",INDEX(tBatches[[Current Quantity]],247))</f>
        <v/>
      </c>
      <c r="N251" s="40">
        <f>IF($A251="","",IFERROR(J251/(H251+I251),0))</f>
        <v/>
      </c>
      <c r="O251" s="28">
        <f>IF($A251="","",SUMIFS(tFeedIss[[Quantity Issued in kg]],tFeedIss[[Batch ID]],$A251))</f>
        <v/>
      </c>
      <c r="P251" s="29">
        <f>IF($A251="","",SUMIFS(tFeedIss[[Total Cost]],tFeedIss[[Batch ID]],$A251))</f>
        <v/>
      </c>
      <c r="Q251" s="29">
        <f>IF($A251="","",SUMIFS(tDrugUse[[Total Cost]],tDrugUse[[Batch ID]],$A251))</f>
        <v/>
      </c>
      <c r="R251" s="29">
        <f>IF($A251="","",SUMIFS(tExp[[Amount]],tExp[[Batch ID (if applicable)]],$A251))</f>
        <v/>
      </c>
      <c r="S251" s="41">
        <f>IF($A251="","",P251+Q251+R251)</f>
        <v/>
      </c>
      <c r="T251" s="41">
        <f>IF($A251="","",SUMIFS(tSales[[Total Revenue]],tSales[[Batch ID]],$A251))</f>
        <v/>
      </c>
      <c r="U251" s="41">
        <f>IF($A251="","",T251-S251)</f>
        <v/>
      </c>
      <c r="V251" s="29">
        <f>IF($A251="","",IFERROR(S251/(H251+I251),""))</f>
        <v/>
      </c>
      <c r="W251" s="29">
        <f>IF($A251="","",IF(K251=0,"",T251/K251))</f>
        <v/>
      </c>
      <c r="X251" s="42">
        <f>IF($A251="","",IFERROR(O251/(H251+I251),""))</f>
        <v/>
      </c>
      <c r="Y251" s="43">
        <f>IF($A251="","",IF(_xlfn.MAXIFS(tProd[[Date]],tProd[[Batch ID]],$A251,tProd[[Measurement Type]],"Weighing")=0,"",IFERROR(AVERAGEIFS(tProd[[Average Weight kg]],tProd[[Batch ID]],$A251,tProd[[Measurement Type]],"Weighing",tProd[[Date]],_xlfn.MAXIFS(tProd[[Date]],tProd[[Batch ID]],$A251,tProd[[Measurement Type]],"Weighing")),"")))</f>
        <v/>
      </c>
    </row>
    <row r="252">
      <c r="A252" s="27">
        <f>IFERROR(INDEX(tBatches[[Batch ID]],248)&amp;"","")</f>
        <v/>
      </c>
      <c r="B252" s="36">
        <f>IF($A252="","",INDEX(tBatches[[Pen ID]],248)&amp;"")</f>
        <v/>
      </c>
      <c r="C252" s="36">
        <f>IF($A252="","",INDEX(tBatches[[Animal Type]],248)&amp;"")</f>
        <v/>
      </c>
      <c r="D252" s="31">
        <f>IF($A252="","",INDEX(tBatches[[Batch Start Date]],248))</f>
        <v/>
      </c>
      <c r="E252" s="36">
        <f>IF($A252="","",INDEX(tBatches[[Status]],248)&amp;"")</f>
        <v/>
      </c>
      <c r="F252" s="31">
        <f>IF($A252="","",IF(N(INDEX(tBatches[[Closing Date]],248))=0,"",INDEX(tBatches[[Closing Date]],248)))</f>
        <v/>
      </c>
      <c r="G252" s="39">
        <f>IF($A252="","",INDEX(tBatches[[Age (days)]],248))</f>
        <v/>
      </c>
      <c r="H252" s="39">
        <f>IF($A252="","",N(INDEX(tBatches[[Initial Quantity]],248)))</f>
        <v/>
      </c>
      <c r="I252" s="39">
        <f>IF($A252="","",INDEX(tBatches[[Transfers In / Added]],248))</f>
        <v/>
      </c>
      <c r="J252" s="39">
        <f>IF($A252="","",INDEX(tBatches[[Deaths]],248))</f>
        <v/>
      </c>
      <c r="K252" s="39">
        <f>IF($A252="","",INDEX(tBatches[[Heads Sold]],248))</f>
        <v/>
      </c>
      <c r="L252" s="39">
        <f>IF($A252="","",INDEX(tBatches[[Transfers Out]],248))</f>
        <v/>
      </c>
      <c r="M252" s="39">
        <f>IF($A252="","",INDEX(tBatches[[Current Quantity]],248))</f>
        <v/>
      </c>
      <c r="N252" s="40">
        <f>IF($A252="","",IFERROR(J252/(H252+I252),0))</f>
        <v/>
      </c>
      <c r="O252" s="28">
        <f>IF($A252="","",SUMIFS(tFeedIss[[Quantity Issued in kg]],tFeedIss[[Batch ID]],$A252))</f>
        <v/>
      </c>
      <c r="P252" s="29">
        <f>IF($A252="","",SUMIFS(tFeedIss[[Total Cost]],tFeedIss[[Batch ID]],$A252))</f>
        <v/>
      </c>
      <c r="Q252" s="29">
        <f>IF($A252="","",SUMIFS(tDrugUse[[Total Cost]],tDrugUse[[Batch ID]],$A252))</f>
        <v/>
      </c>
      <c r="R252" s="29">
        <f>IF($A252="","",SUMIFS(tExp[[Amount]],tExp[[Batch ID (if applicable)]],$A252))</f>
        <v/>
      </c>
      <c r="S252" s="41">
        <f>IF($A252="","",P252+Q252+R252)</f>
        <v/>
      </c>
      <c r="T252" s="41">
        <f>IF($A252="","",SUMIFS(tSales[[Total Revenue]],tSales[[Batch ID]],$A252))</f>
        <v/>
      </c>
      <c r="U252" s="41">
        <f>IF($A252="","",T252-S252)</f>
        <v/>
      </c>
      <c r="V252" s="29">
        <f>IF($A252="","",IFERROR(S252/(H252+I252),""))</f>
        <v/>
      </c>
      <c r="W252" s="29">
        <f>IF($A252="","",IF(K252=0,"",T252/K252))</f>
        <v/>
      </c>
      <c r="X252" s="42">
        <f>IF($A252="","",IFERROR(O252/(H252+I252),""))</f>
        <v/>
      </c>
      <c r="Y252" s="43">
        <f>IF($A252="","",IF(_xlfn.MAXIFS(tProd[[Date]],tProd[[Batch ID]],$A252,tProd[[Measurement Type]],"Weighing")=0,"",IFERROR(AVERAGEIFS(tProd[[Average Weight kg]],tProd[[Batch ID]],$A252,tProd[[Measurement Type]],"Weighing",tProd[[Date]],_xlfn.MAXIFS(tProd[[Date]],tProd[[Batch ID]],$A252,tProd[[Measurement Type]],"Weighing")),"")))</f>
        <v/>
      </c>
    </row>
    <row r="253">
      <c r="A253" s="27">
        <f>IFERROR(INDEX(tBatches[[Batch ID]],249)&amp;"","")</f>
        <v/>
      </c>
      <c r="B253" s="36">
        <f>IF($A253="","",INDEX(tBatches[[Pen ID]],249)&amp;"")</f>
        <v/>
      </c>
      <c r="C253" s="36">
        <f>IF($A253="","",INDEX(tBatches[[Animal Type]],249)&amp;"")</f>
        <v/>
      </c>
      <c r="D253" s="31">
        <f>IF($A253="","",INDEX(tBatches[[Batch Start Date]],249))</f>
        <v/>
      </c>
      <c r="E253" s="36">
        <f>IF($A253="","",INDEX(tBatches[[Status]],249)&amp;"")</f>
        <v/>
      </c>
      <c r="F253" s="31">
        <f>IF($A253="","",IF(N(INDEX(tBatches[[Closing Date]],249))=0,"",INDEX(tBatches[[Closing Date]],249)))</f>
        <v/>
      </c>
      <c r="G253" s="39">
        <f>IF($A253="","",INDEX(tBatches[[Age (days)]],249))</f>
        <v/>
      </c>
      <c r="H253" s="39">
        <f>IF($A253="","",N(INDEX(tBatches[[Initial Quantity]],249)))</f>
        <v/>
      </c>
      <c r="I253" s="39">
        <f>IF($A253="","",INDEX(tBatches[[Transfers In / Added]],249))</f>
        <v/>
      </c>
      <c r="J253" s="39">
        <f>IF($A253="","",INDEX(tBatches[[Deaths]],249))</f>
        <v/>
      </c>
      <c r="K253" s="39">
        <f>IF($A253="","",INDEX(tBatches[[Heads Sold]],249))</f>
        <v/>
      </c>
      <c r="L253" s="39">
        <f>IF($A253="","",INDEX(tBatches[[Transfers Out]],249))</f>
        <v/>
      </c>
      <c r="M253" s="39">
        <f>IF($A253="","",INDEX(tBatches[[Current Quantity]],249))</f>
        <v/>
      </c>
      <c r="N253" s="40">
        <f>IF($A253="","",IFERROR(J253/(H253+I253),0))</f>
        <v/>
      </c>
      <c r="O253" s="28">
        <f>IF($A253="","",SUMIFS(tFeedIss[[Quantity Issued in kg]],tFeedIss[[Batch ID]],$A253))</f>
        <v/>
      </c>
      <c r="P253" s="29">
        <f>IF($A253="","",SUMIFS(tFeedIss[[Total Cost]],tFeedIss[[Batch ID]],$A253))</f>
        <v/>
      </c>
      <c r="Q253" s="29">
        <f>IF($A253="","",SUMIFS(tDrugUse[[Total Cost]],tDrugUse[[Batch ID]],$A253))</f>
        <v/>
      </c>
      <c r="R253" s="29">
        <f>IF($A253="","",SUMIFS(tExp[[Amount]],tExp[[Batch ID (if applicable)]],$A253))</f>
        <v/>
      </c>
      <c r="S253" s="41">
        <f>IF($A253="","",P253+Q253+R253)</f>
        <v/>
      </c>
      <c r="T253" s="41">
        <f>IF($A253="","",SUMIFS(tSales[[Total Revenue]],tSales[[Batch ID]],$A253))</f>
        <v/>
      </c>
      <c r="U253" s="41">
        <f>IF($A253="","",T253-S253)</f>
        <v/>
      </c>
      <c r="V253" s="29">
        <f>IF($A253="","",IFERROR(S253/(H253+I253),""))</f>
        <v/>
      </c>
      <c r="W253" s="29">
        <f>IF($A253="","",IF(K253=0,"",T253/K253))</f>
        <v/>
      </c>
      <c r="X253" s="42">
        <f>IF($A253="","",IFERROR(O253/(H253+I253),""))</f>
        <v/>
      </c>
      <c r="Y253" s="43">
        <f>IF($A253="","",IF(_xlfn.MAXIFS(tProd[[Date]],tProd[[Batch ID]],$A253,tProd[[Measurement Type]],"Weighing")=0,"",IFERROR(AVERAGEIFS(tProd[[Average Weight kg]],tProd[[Batch ID]],$A253,tProd[[Measurement Type]],"Weighing",tProd[[Date]],_xlfn.MAXIFS(tProd[[Date]],tProd[[Batch ID]],$A253,tProd[[Measurement Type]],"Weighing")),"")))</f>
        <v/>
      </c>
    </row>
    <row r="254">
      <c r="A254" s="27">
        <f>IFERROR(INDEX(tBatches[[Batch ID]],250)&amp;"","")</f>
        <v/>
      </c>
      <c r="B254" s="36">
        <f>IF($A254="","",INDEX(tBatches[[Pen ID]],250)&amp;"")</f>
        <v/>
      </c>
      <c r="C254" s="36">
        <f>IF($A254="","",INDEX(tBatches[[Animal Type]],250)&amp;"")</f>
        <v/>
      </c>
      <c r="D254" s="31">
        <f>IF($A254="","",INDEX(tBatches[[Batch Start Date]],250))</f>
        <v/>
      </c>
      <c r="E254" s="36">
        <f>IF($A254="","",INDEX(tBatches[[Status]],250)&amp;"")</f>
        <v/>
      </c>
      <c r="F254" s="31">
        <f>IF($A254="","",IF(N(INDEX(tBatches[[Closing Date]],250))=0,"",INDEX(tBatches[[Closing Date]],250)))</f>
        <v/>
      </c>
      <c r="G254" s="39">
        <f>IF($A254="","",INDEX(tBatches[[Age (days)]],250))</f>
        <v/>
      </c>
      <c r="H254" s="39">
        <f>IF($A254="","",N(INDEX(tBatches[[Initial Quantity]],250)))</f>
        <v/>
      </c>
      <c r="I254" s="39">
        <f>IF($A254="","",INDEX(tBatches[[Transfers In / Added]],250))</f>
        <v/>
      </c>
      <c r="J254" s="39">
        <f>IF($A254="","",INDEX(tBatches[[Deaths]],250))</f>
        <v/>
      </c>
      <c r="K254" s="39">
        <f>IF($A254="","",INDEX(tBatches[[Heads Sold]],250))</f>
        <v/>
      </c>
      <c r="L254" s="39">
        <f>IF($A254="","",INDEX(tBatches[[Transfers Out]],250))</f>
        <v/>
      </c>
      <c r="M254" s="39">
        <f>IF($A254="","",INDEX(tBatches[[Current Quantity]],250))</f>
        <v/>
      </c>
      <c r="N254" s="40">
        <f>IF($A254="","",IFERROR(J254/(H254+I254),0))</f>
        <v/>
      </c>
      <c r="O254" s="28">
        <f>IF($A254="","",SUMIFS(tFeedIss[[Quantity Issued in kg]],tFeedIss[[Batch ID]],$A254))</f>
        <v/>
      </c>
      <c r="P254" s="29">
        <f>IF($A254="","",SUMIFS(tFeedIss[[Total Cost]],tFeedIss[[Batch ID]],$A254))</f>
        <v/>
      </c>
      <c r="Q254" s="29">
        <f>IF($A254="","",SUMIFS(tDrugUse[[Total Cost]],tDrugUse[[Batch ID]],$A254))</f>
        <v/>
      </c>
      <c r="R254" s="29">
        <f>IF($A254="","",SUMIFS(tExp[[Amount]],tExp[[Batch ID (if applicable)]],$A254))</f>
        <v/>
      </c>
      <c r="S254" s="41">
        <f>IF($A254="","",P254+Q254+R254)</f>
        <v/>
      </c>
      <c r="T254" s="41">
        <f>IF($A254="","",SUMIFS(tSales[[Total Revenue]],tSales[[Batch ID]],$A254))</f>
        <v/>
      </c>
      <c r="U254" s="41">
        <f>IF($A254="","",T254-S254)</f>
        <v/>
      </c>
      <c r="V254" s="29">
        <f>IF($A254="","",IFERROR(S254/(H254+I254),""))</f>
        <v/>
      </c>
      <c r="W254" s="29">
        <f>IF($A254="","",IF(K254=0,"",T254/K254))</f>
        <v/>
      </c>
      <c r="X254" s="42">
        <f>IF($A254="","",IFERROR(O254/(H254+I254),""))</f>
        <v/>
      </c>
      <c r="Y254" s="43">
        <f>IF($A254="","",IF(_xlfn.MAXIFS(tProd[[Date]],tProd[[Batch ID]],$A254,tProd[[Measurement Type]],"Weighing")=0,"",IFERROR(AVERAGEIFS(tProd[[Average Weight kg]],tProd[[Batch ID]],$A254,tProd[[Measurement Type]],"Weighing",tProd[[Date]],_xlfn.MAXIFS(tProd[[Date]],tProd[[Batch ID]],$A254,tProd[[Measurement Type]],"Weighing")),"")))</f>
        <v/>
      </c>
    </row>
    <row r="255">
      <c r="A255" s="27">
        <f>IFERROR(INDEX(tBatches[[Batch ID]],251)&amp;"","")</f>
        <v/>
      </c>
      <c r="B255" s="36">
        <f>IF($A255="","",INDEX(tBatches[[Pen ID]],251)&amp;"")</f>
        <v/>
      </c>
      <c r="C255" s="36">
        <f>IF($A255="","",INDEX(tBatches[[Animal Type]],251)&amp;"")</f>
        <v/>
      </c>
      <c r="D255" s="31">
        <f>IF($A255="","",INDEX(tBatches[[Batch Start Date]],251))</f>
        <v/>
      </c>
      <c r="E255" s="36">
        <f>IF($A255="","",INDEX(tBatches[[Status]],251)&amp;"")</f>
        <v/>
      </c>
      <c r="F255" s="31">
        <f>IF($A255="","",IF(N(INDEX(tBatches[[Closing Date]],251))=0,"",INDEX(tBatches[[Closing Date]],251)))</f>
        <v/>
      </c>
      <c r="G255" s="39">
        <f>IF($A255="","",INDEX(tBatches[[Age (days)]],251))</f>
        <v/>
      </c>
      <c r="H255" s="39">
        <f>IF($A255="","",N(INDEX(tBatches[[Initial Quantity]],251)))</f>
        <v/>
      </c>
      <c r="I255" s="39">
        <f>IF($A255="","",INDEX(tBatches[[Transfers In / Added]],251))</f>
        <v/>
      </c>
      <c r="J255" s="39">
        <f>IF($A255="","",INDEX(tBatches[[Deaths]],251))</f>
        <v/>
      </c>
      <c r="K255" s="39">
        <f>IF($A255="","",INDEX(tBatches[[Heads Sold]],251))</f>
        <v/>
      </c>
      <c r="L255" s="39">
        <f>IF($A255="","",INDEX(tBatches[[Transfers Out]],251))</f>
        <v/>
      </c>
      <c r="M255" s="39">
        <f>IF($A255="","",INDEX(tBatches[[Current Quantity]],251))</f>
        <v/>
      </c>
      <c r="N255" s="40">
        <f>IF($A255="","",IFERROR(J255/(H255+I255),0))</f>
        <v/>
      </c>
      <c r="O255" s="28">
        <f>IF($A255="","",SUMIFS(tFeedIss[[Quantity Issued in kg]],tFeedIss[[Batch ID]],$A255))</f>
        <v/>
      </c>
      <c r="P255" s="29">
        <f>IF($A255="","",SUMIFS(tFeedIss[[Total Cost]],tFeedIss[[Batch ID]],$A255))</f>
        <v/>
      </c>
      <c r="Q255" s="29">
        <f>IF($A255="","",SUMIFS(tDrugUse[[Total Cost]],tDrugUse[[Batch ID]],$A255))</f>
        <v/>
      </c>
      <c r="R255" s="29">
        <f>IF($A255="","",SUMIFS(tExp[[Amount]],tExp[[Batch ID (if applicable)]],$A255))</f>
        <v/>
      </c>
      <c r="S255" s="41">
        <f>IF($A255="","",P255+Q255+R255)</f>
        <v/>
      </c>
      <c r="T255" s="41">
        <f>IF($A255="","",SUMIFS(tSales[[Total Revenue]],tSales[[Batch ID]],$A255))</f>
        <v/>
      </c>
      <c r="U255" s="41">
        <f>IF($A255="","",T255-S255)</f>
        <v/>
      </c>
      <c r="V255" s="29">
        <f>IF($A255="","",IFERROR(S255/(H255+I255),""))</f>
        <v/>
      </c>
      <c r="W255" s="29">
        <f>IF($A255="","",IF(K255=0,"",T255/K255))</f>
        <v/>
      </c>
      <c r="X255" s="42">
        <f>IF($A255="","",IFERROR(O255/(H255+I255),""))</f>
        <v/>
      </c>
      <c r="Y255" s="43">
        <f>IF($A255="","",IF(_xlfn.MAXIFS(tProd[[Date]],tProd[[Batch ID]],$A255,tProd[[Measurement Type]],"Weighing")=0,"",IFERROR(AVERAGEIFS(tProd[[Average Weight kg]],tProd[[Batch ID]],$A255,tProd[[Measurement Type]],"Weighing",tProd[[Date]],_xlfn.MAXIFS(tProd[[Date]],tProd[[Batch ID]],$A255,tProd[[Measurement Type]],"Weighing")),"")))</f>
        <v/>
      </c>
    </row>
    <row r="256">
      <c r="A256" s="27">
        <f>IFERROR(INDEX(tBatches[[Batch ID]],252)&amp;"","")</f>
        <v/>
      </c>
      <c r="B256" s="36">
        <f>IF($A256="","",INDEX(tBatches[[Pen ID]],252)&amp;"")</f>
        <v/>
      </c>
      <c r="C256" s="36">
        <f>IF($A256="","",INDEX(tBatches[[Animal Type]],252)&amp;"")</f>
        <v/>
      </c>
      <c r="D256" s="31">
        <f>IF($A256="","",INDEX(tBatches[[Batch Start Date]],252))</f>
        <v/>
      </c>
      <c r="E256" s="36">
        <f>IF($A256="","",INDEX(tBatches[[Status]],252)&amp;"")</f>
        <v/>
      </c>
      <c r="F256" s="31">
        <f>IF($A256="","",IF(N(INDEX(tBatches[[Closing Date]],252))=0,"",INDEX(tBatches[[Closing Date]],252)))</f>
        <v/>
      </c>
      <c r="G256" s="39">
        <f>IF($A256="","",INDEX(tBatches[[Age (days)]],252))</f>
        <v/>
      </c>
      <c r="H256" s="39">
        <f>IF($A256="","",N(INDEX(tBatches[[Initial Quantity]],252)))</f>
        <v/>
      </c>
      <c r="I256" s="39">
        <f>IF($A256="","",INDEX(tBatches[[Transfers In / Added]],252))</f>
        <v/>
      </c>
      <c r="J256" s="39">
        <f>IF($A256="","",INDEX(tBatches[[Deaths]],252))</f>
        <v/>
      </c>
      <c r="K256" s="39">
        <f>IF($A256="","",INDEX(tBatches[[Heads Sold]],252))</f>
        <v/>
      </c>
      <c r="L256" s="39">
        <f>IF($A256="","",INDEX(tBatches[[Transfers Out]],252))</f>
        <v/>
      </c>
      <c r="M256" s="39">
        <f>IF($A256="","",INDEX(tBatches[[Current Quantity]],252))</f>
        <v/>
      </c>
      <c r="N256" s="40">
        <f>IF($A256="","",IFERROR(J256/(H256+I256),0))</f>
        <v/>
      </c>
      <c r="O256" s="28">
        <f>IF($A256="","",SUMIFS(tFeedIss[[Quantity Issued in kg]],tFeedIss[[Batch ID]],$A256))</f>
        <v/>
      </c>
      <c r="P256" s="29">
        <f>IF($A256="","",SUMIFS(tFeedIss[[Total Cost]],tFeedIss[[Batch ID]],$A256))</f>
        <v/>
      </c>
      <c r="Q256" s="29">
        <f>IF($A256="","",SUMIFS(tDrugUse[[Total Cost]],tDrugUse[[Batch ID]],$A256))</f>
        <v/>
      </c>
      <c r="R256" s="29">
        <f>IF($A256="","",SUMIFS(tExp[[Amount]],tExp[[Batch ID (if applicable)]],$A256))</f>
        <v/>
      </c>
      <c r="S256" s="41">
        <f>IF($A256="","",P256+Q256+R256)</f>
        <v/>
      </c>
      <c r="T256" s="41">
        <f>IF($A256="","",SUMIFS(tSales[[Total Revenue]],tSales[[Batch ID]],$A256))</f>
        <v/>
      </c>
      <c r="U256" s="41">
        <f>IF($A256="","",T256-S256)</f>
        <v/>
      </c>
      <c r="V256" s="29">
        <f>IF($A256="","",IFERROR(S256/(H256+I256),""))</f>
        <v/>
      </c>
      <c r="W256" s="29">
        <f>IF($A256="","",IF(K256=0,"",T256/K256))</f>
        <v/>
      </c>
      <c r="X256" s="42">
        <f>IF($A256="","",IFERROR(O256/(H256+I256),""))</f>
        <v/>
      </c>
      <c r="Y256" s="43">
        <f>IF($A256="","",IF(_xlfn.MAXIFS(tProd[[Date]],tProd[[Batch ID]],$A256,tProd[[Measurement Type]],"Weighing")=0,"",IFERROR(AVERAGEIFS(tProd[[Average Weight kg]],tProd[[Batch ID]],$A256,tProd[[Measurement Type]],"Weighing",tProd[[Date]],_xlfn.MAXIFS(tProd[[Date]],tProd[[Batch ID]],$A256,tProd[[Measurement Type]],"Weighing")),"")))</f>
        <v/>
      </c>
    </row>
    <row r="257">
      <c r="A257" s="27">
        <f>IFERROR(INDEX(tBatches[[Batch ID]],253)&amp;"","")</f>
        <v/>
      </c>
      <c r="B257" s="36">
        <f>IF($A257="","",INDEX(tBatches[[Pen ID]],253)&amp;"")</f>
        <v/>
      </c>
      <c r="C257" s="36">
        <f>IF($A257="","",INDEX(tBatches[[Animal Type]],253)&amp;"")</f>
        <v/>
      </c>
      <c r="D257" s="31">
        <f>IF($A257="","",INDEX(tBatches[[Batch Start Date]],253))</f>
        <v/>
      </c>
      <c r="E257" s="36">
        <f>IF($A257="","",INDEX(tBatches[[Status]],253)&amp;"")</f>
        <v/>
      </c>
      <c r="F257" s="31">
        <f>IF($A257="","",IF(N(INDEX(tBatches[[Closing Date]],253))=0,"",INDEX(tBatches[[Closing Date]],253)))</f>
        <v/>
      </c>
      <c r="G257" s="39">
        <f>IF($A257="","",INDEX(tBatches[[Age (days)]],253))</f>
        <v/>
      </c>
      <c r="H257" s="39">
        <f>IF($A257="","",N(INDEX(tBatches[[Initial Quantity]],253)))</f>
        <v/>
      </c>
      <c r="I257" s="39">
        <f>IF($A257="","",INDEX(tBatches[[Transfers In / Added]],253))</f>
        <v/>
      </c>
      <c r="J257" s="39">
        <f>IF($A257="","",INDEX(tBatches[[Deaths]],253))</f>
        <v/>
      </c>
      <c r="K257" s="39">
        <f>IF($A257="","",INDEX(tBatches[[Heads Sold]],253))</f>
        <v/>
      </c>
      <c r="L257" s="39">
        <f>IF($A257="","",INDEX(tBatches[[Transfers Out]],253))</f>
        <v/>
      </c>
      <c r="M257" s="39">
        <f>IF($A257="","",INDEX(tBatches[[Current Quantity]],253))</f>
        <v/>
      </c>
      <c r="N257" s="40">
        <f>IF($A257="","",IFERROR(J257/(H257+I257),0))</f>
        <v/>
      </c>
      <c r="O257" s="28">
        <f>IF($A257="","",SUMIFS(tFeedIss[[Quantity Issued in kg]],tFeedIss[[Batch ID]],$A257))</f>
        <v/>
      </c>
      <c r="P257" s="29">
        <f>IF($A257="","",SUMIFS(tFeedIss[[Total Cost]],tFeedIss[[Batch ID]],$A257))</f>
        <v/>
      </c>
      <c r="Q257" s="29">
        <f>IF($A257="","",SUMIFS(tDrugUse[[Total Cost]],tDrugUse[[Batch ID]],$A257))</f>
        <v/>
      </c>
      <c r="R257" s="29">
        <f>IF($A257="","",SUMIFS(tExp[[Amount]],tExp[[Batch ID (if applicable)]],$A257))</f>
        <v/>
      </c>
      <c r="S257" s="41">
        <f>IF($A257="","",P257+Q257+R257)</f>
        <v/>
      </c>
      <c r="T257" s="41">
        <f>IF($A257="","",SUMIFS(tSales[[Total Revenue]],tSales[[Batch ID]],$A257))</f>
        <v/>
      </c>
      <c r="U257" s="41">
        <f>IF($A257="","",T257-S257)</f>
        <v/>
      </c>
      <c r="V257" s="29">
        <f>IF($A257="","",IFERROR(S257/(H257+I257),""))</f>
        <v/>
      </c>
      <c r="W257" s="29">
        <f>IF($A257="","",IF(K257=0,"",T257/K257))</f>
        <v/>
      </c>
      <c r="X257" s="42">
        <f>IF($A257="","",IFERROR(O257/(H257+I257),""))</f>
        <v/>
      </c>
      <c r="Y257" s="43">
        <f>IF($A257="","",IF(_xlfn.MAXIFS(tProd[[Date]],tProd[[Batch ID]],$A257,tProd[[Measurement Type]],"Weighing")=0,"",IFERROR(AVERAGEIFS(tProd[[Average Weight kg]],tProd[[Batch ID]],$A257,tProd[[Measurement Type]],"Weighing",tProd[[Date]],_xlfn.MAXIFS(tProd[[Date]],tProd[[Batch ID]],$A257,tProd[[Measurement Type]],"Weighing")),"")))</f>
        <v/>
      </c>
    </row>
    <row r="258">
      <c r="A258" s="27">
        <f>IFERROR(INDEX(tBatches[[Batch ID]],254)&amp;"","")</f>
        <v/>
      </c>
      <c r="B258" s="36">
        <f>IF($A258="","",INDEX(tBatches[[Pen ID]],254)&amp;"")</f>
        <v/>
      </c>
      <c r="C258" s="36">
        <f>IF($A258="","",INDEX(tBatches[[Animal Type]],254)&amp;"")</f>
        <v/>
      </c>
      <c r="D258" s="31">
        <f>IF($A258="","",INDEX(tBatches[[Batch Start Date]],254))</f>
        <v/>
      </c>
      <c r="E258" s="36">
        <f>IF($A258="","",INDEX(tBatches[[Status]],254)&amp;"")</f>
        <v/>
      </c>
      <c r="F258" s="31">
        <f>IF($A258="","",IF(N(INDEX(tBatches[[Closing Date]],254))=0,"",INDEX(tBatches[[Closing Date]],254)))</f>
        <v/>
      </c>
      <c r="G258" s="39">
        <f>IF($A258="","",INDEX(tBatches[[Age (days)]],254))</f>
        <v/>
      </c>
      <c r="H258" s="39">
        <f>IF($A258="","",N(INDEX(tBatches[[Initial Quantity]],254)))</f>
        <v/>
      </c>
      <c r="I258" s="39">
        <f>IF($A258="","",INDEX(tBatches[[Transfers In / Added]],254))</f>
        <v/>
      </c>
      <c r="J258" s="39">
        <f>IF($A258="","",INDEX(tBatches[[Deaths]],254))</f>
        <v/>
      </c>
      <c r="K258" s="39">
        <f>IF($A258="","",INDEX(tBatches[[Heads Sold]],254))</f>
        <v/>
      </c>
      <c r="L258" s="39">
        <f>IF($A258="","",INDEX(tBatches[[Transfers Out]],254))</f>
        <v/>
      </c>
      <c r="M258" s="39">
        <f>IF($A258="","",INDEX(tBatches[[Current Quantity]],254))</f>
        <v/>
      </c>
      <c r="N258" s="40">
        <f>IF($A258="","",IFERROR(J258/(H258+I258),0))</f>
        <v/>
      </c>
      <c r="O258" s="28">
        <f>IF($A258="","",SUMIFS(tFeedIss[[Quantity Issued in kg]],tFeedIss[[Batch ID]],$A258))</f>
        <v/>
      </c>
      <c r="P258" s="29">
        <f>IF($A258="","",SUMIFS(tFeedIss[[Total Cost]],tFeedIss[[Batch ID]],$A258))</f>
        <v/>
      </c>
      <c r="Q258" s="29">
        <f>IF($A258="","",SUMIFS(tDrugUse[[Total Cost]],tDrugUse[[Batch ID]],$A258))</f>
        <v/>
      </c>
      <c r="R258" s="29">
        <f>IF($A258="","",SUMIFS(tExp[[Amount]],tExp[[Batch ID (if applicable)]],$A258))</f>
        <v/>
      </c>
      <c r="S258" s="41">
        <f>IF($A258="","",P258+Q258+R258)</f>
        <v/>
      </c>
      <c r="T258" s="41">
        <f>IF($A258="","",SUMIFS(tSales[[Total Revenue]],tSales[[Batch ID]],$A258))</f>
        <v/>
      </c>
      <c r="U258" s="41">
        <f>IF($A258="","",T258-S258)</f>
        <v/>
      </c>
      <c r="V258" s="29">
        <f>IF($A258="","",IFERROR(S258/(H258+I258),""))</f>
        <v/>
      </c>
      <c r="W258" s="29">
        <f>IF($A258="","",IF(K258=0,"",T258/K258))</f>
        <v/>
      </c>
      <c r="X258" s="42">
        <f>IF($A258="","",IFERROR(O258/(H258+I258),""))</f>
        <v/>
      </c>
      <c r="Y258" s="43">
        <f>IF($A258="","",IF(_xlfn.MAXIFS(tProd[[Date]],tProd[[Batch ID]],$A258,tProd[[Measurement Type]],"Weighing")=0,"",IFERROR(AVERAGEIFS(tProd[[Average Weight kg]],tProd[[Batch ID]],$A258,tProd[[Measurement Type]],"Weighing",tProd[[Date]],_xlfn.MAXIFS(tProd[[Date]],tProd[[Batch ID]],$A258,tProd[[Measurement Type]],"Weighing")),"")))</f>
        <v/>
      </c>
    </row>
    <row r="259">
      <c r="A259" s="27">
        <f>IFERROR(INDEX(tBatches[[Batch ID]],255)&amp;"","")</f>
        <v/>
      </c>
      <c r="B259" s="36">
        <f>IF($A259="","",INDEX(tBatches[[Pen ID]],255)&amp;"")</f>
        <v/>
      </c>
      <c r="C259" s="36">
        <f>IF($A259="","",INDEX(tBatches[[Animal Type]],255)&amp;"")</f>
        <v/>
      </c>
      <c r="D259" s="31">
        <f>IF($A259="","",INDEX(tBatches[[Batch Start Date]],255))</f>
        <v/>
      </c>
      <c r="E259" s="36">
        <f>IF($A259="","",INDEX(tBatches[[Status]],255)&amp;"")</f>
        <v/>
      </c>
      <c r="F259" s="31">
        <f>IF($A259="","",IF(N(INDEX(tBatches[[Closing Date]],255))=0,"",INDEX(tBatches[[Closing Date]],255)))</f>
        <v/>
      </c>
      <c r="G259" s="39">
        <f>IF($A259="","",INDEX(tBatches[[Age (days)]],255))</f>
        <v/>
      </c>
      <c r="H259" s="39">
        <f>IF($A259="","",N(INDEX(tBatches[[Initial Quantity]],255)))</f>
        <v/>
      </c>
      <c r="I259" s="39">
        <f>IF($A259="","",INDEX(tBatches[[Transfers In / Added]],255))</f>
        <v/>
      </c>
      <c r="J259" s="39">
        <f>IF($A259="","",INDEX(tBatches[[Deaths]],255))</f>
        <v/>
      </c>
      <c r="K259" s="39">
        <f>IF($A259="","",INDEX(tBatches[[Heads Sold]],255))</f>
        <v/>
      </c>
      <c r="L259" s="39">
        <f>IF($A259="","",INDEX(tBatches[[Transfers Out]],255))</f>
        <v/>
      </c>
      <c r="M259" s="39">
        <f>IF($A259="","",INDEX(tBatches[[Current Quantity]],255))</f>
        <v/>
      </c>
      <c r="N259" s="40">
        <f>IF($A259="","",IFERROR(J259/(H259+I259),0))</f>
        <v/>
      </c>
      <c r="O259" s="28">
        <f>IF($A259="","",SUMIFS(tFeedIss[[Quantity Issued in kg]],tFeedIss[[Batch ID]],$A259))</f>
        <v/>
      </c>
      <c r="P259" s="29">
        <f>IF($A259="","",SUMIFS(tFeedIss[[Total Cost]],tFeedIss[[Batch ID]],$A259))</f>
        <v/>
      </c>
      <c r="Q259" s="29">
        <f>IF($A259="","",SUMIFS(tDrugUse[[Total Cost]],tDrugUse[[Batch ID]],$A259))</f>
        <v/>
      </c>
      <c r="R259" s="29">
        <f>IF($A259="","",SUMIFS(tExp[[Amount]],tExp[[Batch ID (if applicable)]],$A259))</f>
        <v/>
      </c>
      <c r="S259" s="41">
        <f>IF($A259="","",P259+Q259+R259)</f>
        <v/>
      </c>
      <c r="T259" s="41">
        <f>IF($A259="","",SUMIFS(tSales[[Total Revenue]],tSales[[Batch ID]],$A259))</f>
        <v/>
      </c>
      <c r="U259" s="41">
        <f>IF($A259="","",T259-S259)</f>
        <v/>
      </c>
      <c r="V259" s="29">
        <f>IF($A259="","",IFERROR(S259/(H259+I259),""))</f>
        <v/>
      </c>
      <c r="W259" s="29">
        <f>IF($A259="","",IF(K259=0,"",T259/K259))</f>
        <v/>
      </c>
      <c r="X259" s="42">
        <f>IF($A259="","",IFERROR(O259/(H259+I259),""))</f>
        <v/>
      </c>
      <c r="Y259" s="43">
        <f>IF($A259="","",IF(_xlfn.MAXIFS(tProd[[Date]],tProd[[Batch ID]],$A259,tProd[[Measurement Type]],"Weighing")=0,"",IFERROR(AVERAGEIFS(tProd[[Average Weight kg]],tProd[[Batch ID]],$A259,tProd[[Measurement Type]],"Weighing",tProd[[Date]],_xlfn.MAXIFS(tProd[[Date]],tProd[[Batch ID]],$A259,tProd[[Measurement Type]],"Weighing")),"")))</f>
        <v/>
      </c>
    </row>
    <row r="260">
      <c r="A260" s="27">
        <f>IFERROR(INDEX(tBatches[[Batch ID]],256)&amp;"","")</f>
        <v/>
      </c>
      <c r="B260" s="36">
        <f>IF($A260="","",INDEX(tBatches[[Pen ID]],256)&amp;"")</f>
        <v/>
      </c>
      <c r="C260" s="36">
        <f>IF($A260="","",INDEX(tBatches[[Animal Type]],256)&amp;"")</f>
        <v/>
      </c>
      <c r="D260" s="31">
        <f>IF($A260="","",INDEX(tBatches[[Batch Start Date]],256))</f>
        <v/>
      </c>
      <c r="E260" s="36">
        <f>IF($A260="","",INDEX(tBatches[[Status]],256)&amp;"")</f>
        <v/>
      </c>
      <c r="F260" s="31">
        <f>IF($A260="","",IF(N(INDEX(tBatches[[Closing Date]],256))=0,"",INDEX(tBatches[[Closing Date]],256)))</f>
        <v/>
      </c>
      <c r="G260" s="39">
        <f>IF($A260="","",INDEX(tBatches[[Age (days)]],256))</f>
        <v/>
      </c>
      <c r="H260" s="39">
        <f>IF($A260="","",N(INDEX(tBatches[[Initial Quantity]],256)))</f>
        <v/>
      </c>
      <c r="I260" s="39">
        <f>IF($A260="","",INDEX(tBatches[[Transfers In / Added]],256))</f>
        <v/>
      </c>
      <c r="J260" s="39">
        <f>IF($A260="","",INDEX(tBatches[[Deaths]],256))</f>
        <v/>
      </c>
      <c r="K260" s="39">
        <f>IF($A260="","",INDEX(tBatches[[Heads Sold]],256))</f>
        <v/>
      </c>
      <c r="L260" s="39">
        <f>IF($A260="","",INDEX(tBatches[[Transfers Out]],256))</f>
        <v/>
      </c>
      <c r="M260" s="39">
        <f>IF($A260="","",INDEX(tBatches[[Current Quantity]],256))</f>
        <v/>
      </c>
      <c r="N260" s="40">
        <f>IF($A260="","",IFERROR(J260/(H260+I260),0))</f>
        <v/>
      </c>
      <c r="O260" s="28">
        <f>IF($A260="","",SUMIFS(tFeedIss[[Quantity Issued in kg]],tFeedIss[[Batch ID]],$A260))</f>
        <v/>
      </c>
      <c r="P260" s="29">
        <f>IF($A260="","",SUMIFS(tFeedIss[[Total Cost]],tFeedIss[[Batch ID]],$A260))</f>
        <v/>
      </c>
      <c r="Q260" s="29">
        <f>IF($A260="","",SUMIFS(tDrugUse[[Total Cost]],tDrugUse[[Batch ID]],$A260))</f>
        <v/>
      </c>
      <c r="R260" s="29">
        <f>IF($A260="","",SUMIFS(tExp[[Amount]],tExp[[Batch ID (if applicable)]],$A260))</f>
        <v/>
      </c>
      <c r="S260" s="41">
        <f>IF($A260="","",P260+Q260+R260)</f>
        <v/>
      </c>
      <c r="T260" s="41">
        <f>IF($A260="","",SUMIFS(tSales[[Total Revenue]],tSales[[Batch ID]],$A260))</f>
        <v/>
      </c>
      <c r="U260" s="41">
        <f>IF($A260="","",T260-S260)</f>
        <v/>
      </c>
      <c r="V260" s="29">
        <f>IF($A260="","",IFERROR(S260/(H260+I260),""))</f>
        <v/>
      </c>
      <c r="W260" s="29">
        <f>IF($A260="","",IF(K260=0,"",T260/K260))</f>
        <v/>
      </c>
      <c r="X260" s="42">
        <f>IF($A260="","",IFERROR(O260/(H260+I260),""))</f>
        <v/>
      </c>
      <c r="Y260" s="43">
        <f>IF($A260="","",IF(_xlfn.MAXIFS(tProd[[Date]],tProd[[Batch ID]],$A260,tProd[[Measurement Type]],"Weighing")=0,"",IFERROR(AVERAGEIFS(tProd[[Average Weight kg]],tProd[[Batch ID]],$A260,tProd[[Measurement Type]],"Weighing",tProd[[Date]],_xlfn.MAXIFS(tProd[[Date]],tProd[[Batch ID]],$A260,tProd[[Measurement Type]],"Weighing")),"")))</f>
        <v/>
      </c>
    </row>
    <row r="261">
      <c r="A261" s="27">
        <f>IFERROR(INDEX(tBatches[[Batch ID]],257)&amp;"","")</f>
        <v/>
      </c>
      <c r="B261" s="36">
        <f>IF($A261="","",INDEX(tBatches[[Pen ID]],257)&amp;"")</f>
        <v/>
      </c>
      <c r="C261" s="36">
        <f>IF($A261="","",INDEX(tBatches[[Animal Type]],257)&amp;"")</f>
        <v/>
      </c>
      <c r="D261" s="31">
        <f>IF($A261="","",INDEX(tBatches[[Batch Start Date]],257))</f>
        <v/>
      </c>
      <c r="E261" s="36">
        <f>IF($A261="","",INDEX(tBatches[[Status]],257)&amp;"")</f>
        <v/>
      </c>
      <c r="F261" s="31">
        <f>IF($A261="","",IF(N(INDEX(tBatches[[Closing Date]],257))=0,"",INDEX(tBatches[[Closing Date]],257)))</f>
        <v/>
      </c>
      <c r="G261" s="39">
        <f>IF($A261="","",INDEX(tBatches[[Age (days)]],257))</f>
        <v/>
      </c>
      <c r="H261" s="39">
        <f>IF($A261="","",N(INDEX(tBatches[[Initial Quantity]],257)))</f>
        <v/>
      </c>
      <c r="I261" s="39">
        <f>IF($A261="","",INDEX(tBatches[[Transfers In / Added]],257))</f>
        <v/>
      </c>
      <c r="J261" s="39">
        <f>IF($A261="","",INDEX(tBatches[[Deaths]],257))</f>
        <v/>
      </c>
      <c r="K261" s="39">
        <f>IF($A261="","",INDEX(tBatches[[Heads Sold]],257))</f>
        <v/>
      </c>
      <c r="L261" s="39">
        <f>IF($A261="","",INDEX(tBatches[[Transfers Out]],257))</f>
        <v/>
      </c>
      <c r="M261" s="39">
        <f>IF($A261="","",INDEX(tBatches[[Current Quantity]],257))</f>
        <v/>
      </c>
      <c r="N261" s="40">
        <f>IF($A261="","",IFERROR(J261/(H261+I261),0))</f>
        <v/>
      </c>
      <c r="O261" s="28">
        <f>IF($A261="","",SUMIFS(tFeedIss[[Quantity Issued in kg]],tFeedIss[[Batch ID]],$A261))</f>
        <v/>
      </c>
      <c r="P261" s="29">
        <f>IF($A261="","",SUMIFS(tFeedIss[[Total Cost]],tFeedIss[[Batch ID]],$A261))</f>
        <v/>
      </c>
      <c r="Q261" s="29">
        <f>IF($A261="","",SUMIFS(tDrugUse[[Total Cost]],tDrugUse[[Batch ID]],$A261))</f>
        <v/>
      </c>
      <c r="R261" s="29">
        <f>IF($A261="","",SUMIFS(tExp[[Amount]],tExp[[Batch ID (if applicable)]],$A261))</f>
        <v/>
      </c>
      <c r="S261" s="41">
        <f>IF($A261="","",P261+Q261+R261)</f>
        <v/>
      </c>
      <c r="T261" s="41">
        <f>IF($A261="","",SUMIFS(tSales[[Total Revenue]],tSales[[Batch ID]],$A261))</f>
        <v/>
      </c>
      <c r="U261" s="41">
        <f>IF($A261="","",T261-S261)</f>
        <v/>
      </c>
      <c r="V261" s="29">
        <f>IF($A261="","",IFERROR(S261/(H261+I261),""))</f>
        <v/>
      </c>
      <c r="W261" s="29">
        <f>IF($A261="","",IF(K261=0,"",T261/K261))</f>
        <v/>
      </c>
      <c r="X261" s="42">
        <f>IF($A261="","",IFERROR(O261/(H261+I261),""))</f>
        <v/>
      </c>
      <c r="Y261" s="43">
        <f>IF($A261="","",IF(_xlfn.MAXIFS(tProd[[Date]],tProd[[Batch ID]],$A261,tProd[[Measurement Type]],"Weighing")=0,"",IFERROR(AVERAGEIFS(tProd[[Average Weight kg]],tProd[[Batch ID]],$A261,tProd[[Measurement Type]],"Weighing",tProd[[Date]],_xlfn.MAXIFS(tProd[[Date]],tProd[[Batch ID]],$A261,tProd[[Measurement Type]],"Weighing")),"")))</f>
        <v/>
      </c>
    </row>
    <row r="262">
      <c r="A262" s="27">
        <f>IFERROR(INDEX(tBatches[[Batch ID]],258)&amp;"","")</f>
        <v/>
      </c>
      <c r="B262" s="36">
        <f>IF($A262="","",INDEX(tBatches[[Pen ID]],258)&amp;"")</f>
        <v/>
      </c>
      <c r="C262" s="36">
        <f>IF($A262="","",INDEX(tBatches[[Animal Type]],258)&amp;"")</f>
        <v/>
      </c>
      <c r="D262" s="31">
        <f>IF($A262="","",INDEX(tBatches[[Batch Start Date]],258))</f>
        <v/>
      </c>
      <c r="E262" s="36">
        <f>IF($A262="","",INDEX(tBatches[[Status]],258)&amp;"")</f>
        <v/>
      </c>
      <c r="F262" s="31">
        <f>IF($A262="","",IF(N(INDEX(tBatches[[Closing Date]],258))=0,"",INDEX(tBatches[[Closing Date]],258)))</f>
        <v/>
      </c>
      <c r="G262" s="39">
        <f>IF($A262="","",INDEX(tBatches[[Age (days)]],258))</f>
        <v/>
      </c>
      <c r="H262" s="39">
        <f>IF($A262="","",N(INDEX(tBatches[[Initial Quantity]],258)))</f>
        <v/>
      </c>
      <c r="I262" s="39">
        <f>IF($A262="","",INDEX(tBatches[[Transfers In / Added]],258))</f>
        <v/>
      </c>
      <c r="J262" s="39">
        <f>IF($A262="","",INDEX(tBatches[[Deaths]],258))</f>
        <v/>
      </c>
      <c r="K262" s="39">
        <f>IF($A262="","",INDEX(tBatches[[Heads Sold]],258))</f>
        <v/>
      </c>
      <c r="L262" s="39">
        <f>IF($A262="","",INDEX(tBatches[[Transfers Out]],258))</f>
        <v/>
      </c>
      <c r="M262" s="39">
        <f>IF($A262="","",INDEX(tBatches[[Current Quantity]],258))</f>
        <v/>
      </c>
      <c r="N262" s="40">
        <f>IF($A262="","",IFERROR(J262/(H262+I262),0))</f>
        <v/>
      </c>
      <c r="O262" s="28">
        <f>IF($A262="","",SUMIFS(tFeedIss[[Quantity Issued in kg]],tFeedIss[[Batch ID]],$A262))</f>
        <v/>
      </c>
      <c r="P262" s="29">
        <f>IF($A262="","",SUMIFS(tFeedIss[[Total Cost]],tFeedIss[[Batch ID]],$A262))</f>
        <v/>
      </c>
      <c r="Q262" s="29">
        <f>IF($A262="","",SUMIFS(tDrugUse[[Total Cost]],tDrugUse[[Batch ID]],$A262))</f>
        <v/>
      </c>
      <c r="R262" s="29">
        <f>IF($A262="","",SUMIFS(tExp[[Amount]],tExp[[Batch ID (if applicable)]],$A262))</f>
        <v/>
      </c>
      <c r="S262" s="41">
        <f>IF($A262="","",P262+Q262+R262)</f>
        <v/>
      </c>
      <c r="T262" s="41">
        <f>IF($A262="","",SUMIFS(tSales[[Total Revenue]],tSales[[Batch ID]],$A262))</f>
        <v/>
      </c>
      <c r="U262" s="41">
        <f>IF($A262="","",T262-S262)</f>
        <v/>
      </c>
      <c r="V262" s="29">
        <f>IF($A262="","",IFERROR(S262/(H262+I262),""))</f>
        <v/>
      </c>
      <c r="W262" s="29">
        <f>IF($A262="","",IF(K262=0,"",T262/K262))</f>
        <v/>
      </c>
      <c r="X262" s="42">
        <f>IF($A262="","",IFERROR(O262/(H262+I262),""))</f>
        <v/>
      </c>
      <c r="Y262" s="43">
        <f>IF($A262="","",IF(_xlfn.MAXIFS(tProd[[Date]],tProd[[Batch ID]],$A262,tProd[[Measurement Type]],"Weighing")=0,"",IFERROR(AVERAGEIFS(tProd[[Average Weight kg]],tProd[[Batch ID]],$A262,tProd[[Measurement Type]],"Weighing",tProd[[Date]],_xlfn.MAXIFS(tProd[[Date]],tProd[[Batch ID]],$A262,tProd[[Measurement Type]],"Weighing")),"")))</f>
        <v/>
      </c>
    </row>
    <row r="263">
      <c r="A263" s="27">
        <f>IFERROR(INDEX(tBatches[[Batch ID]],259)&amp;"","")</f>
        <v/>
      </c>
      <c r="B263" s="36">
        <f>IF($A263="","",INDEX(tBatches[[Pen ID]],259)&amp;"")</f>
        <v/>
      </c>
      <c r="C263" s="36">
        <f>IF($A263="","",INDEX(tBatches[[Animal Type]],259)&amp;"")</f>
        <v/>
      </c>
      <c r="D263" s="31">
        <f>IF($A263="","",INDEX(tBatches[[Batch Start Date]],259))</f>
        <v/>
      </c>
      <c r="E263" s="36">
        <f>IF($A263="","",INDEX(tBatches[[Status]],259)&amp;"")</f>
        <v/>
      </c>
      <c r="F263" s="31">
        <f>IF($A263="","",IF(N(INDEX(tBatches[[Closing Date]],259))=0,"",INDEX(tBatches[[Closing Date]],259)))</f>
        <v/>
      </c>
      <c r="G263" s="39">
        <f>IF($A263="","",INDEX(tBatches[[Age (days)]],259))</f>
        <v/>
      </c>
      <c r="H263" s="39">
        <f>IF($A263="","",N(INDEX(tBatches[[Initial Quantity]],259)))</f>
        <v/>
      </c>
      <c r="I263" s="39">
        <f>IF($A263="","",INDEX(tBatches[[Transfers In / Added]],259))</f>
        <v/>
      </c>
      <c r="J263" s="39">
        <f>IF($A263="","",INDEX(tBatches[[Deaths]],259))</f>
        <v/>
      </c>
      <c r="K263" s="39">
        <f>IF($A263="","",INDEX(tBatches[[Heads Sold]],259))</f>
        <v/>
      </c>
      <c r="L263" s="39">
        <f>IF($A263="","",INDEX(tBatches[[Transfers Out]],259))</f>
        <v/>
      </c>
      <c r="M263" s="39">
        <f>IF($A263="","",INDEX(tBatches[[Current Quantity]],259))</f>
        <v/>
      </c>
      <c r="N263" s="40">
        <f>IF($A263="","",IFERROR(J263/(H263+I263),0))</f>
        <v/>
      </c>
      <c r="O263" s="28">
        <f>IF($A263="","",SUMIFS(tFeedIss[[Quantity Issued in kg]],tFeedIss[[Batch ID]],$A263))</f>
        <v/>
      </c>
      <c r="P263" s="29">
        <f>IF($A263="","",SUMIFS(tFeedIss[[Total Cost]],tFeedIss[[Batch ID]],$A263))</f>
        <v/>
      </c>
      <c r="Q263" s="29">
        <f>IF($A263="","",SUMIFS(tDrugUse[[Total Cost]],tDrugUse[[Batch ID]],$A263))</f>
        <v/>
      </c>
      <c r="R263" s="29">
        <f>IF($A263="","",SUMIFS(tExp[[Amount]],tExp[[Batch ID (if applicable)]],$A263))</f>
        <v/>
      </c>
      <c r="S263" s="41">
        <f>IF($A263="","",P263+Q263+R263)</f>
        <v/>
      </c>
      <c r="T263" s="41">
        <f>IF($A263="","",SUMIFS(tSales[[Total Revenue]],tSales[[Batch ID]],$A263))</f>
        <v/>
      </c>
      <c r="U263" s="41">
        <f>IF($A263="","",T263-S263)</f>
        <v/>
      </c>
      <c r="V263" s="29">
        <f>IF($A263="","",IFERROR(S263/(H263+I263),""))</f>
        <v/>
      </c>
      <c r="W263" s="29">
        <f>IF($A263="","",IF(K263=0,"",T263/K263))</f>
        <v/>
      </c>
      <c r="X263" s="42">
        <f>IF($A263="","",IFERROR(O263/(H263+I263),""))</f>
        <v/>
      </c>
      <c r="Y263" s="43">
        <f>IF($A263="","",IF(_xlfn.MAXIFS(tProd[[Date]],tProd[[Batch ID]],$A263,tProd[[Measurement Type]],"Weighing")=0,"",IFERROR(AVERAGEIFS(tProd[[Average Weight kg]],tProd[[Batch ID]],$A263,tProd[[Measurement Type]],"Weighing",tProd[[Date]],_xlfn.MAXIFS(tProd[[Date]],tProd[[Batch ID]],$A263,tProd[[Measurement Type]],"Weighing")),"")))</f>
        <v/>
      </c>
    </row>
    <row r="264">
      <c r="A264" s="27">
        <f>IFERROR(INDEX(tBatches[[Batch ID]],260)&amp;"","")</f>
        <v/>
      </c>
      <c r="B264" s="36">
        <f>IF($A264="","",INDEX(tBatches[[Pen ID]],260)&amp;"")</f>
        <v/>
      </c>
      <c r="C264" s="36">
        <f>IF($A264="","",INDEX(tBatches[[Animal Type]],260)&amp;"")</f>
        <v/>
      </c>
      <c r="D264" s="31">
        <f>IF($A264="","",INDEX(tBatches[[Batch Start Date]],260))</f>
        <v/>
      </c>
      <c r="E264" s="36">
        <f>IF($A264="","",INDEX(tBatches[[Status]],260)&amp;"")</f>
        <v/>
      </c>
      <c r="F264" s="31">
        <f>IF($A264="","",IF(N(INDEX(tBatches[[Closing Date]],260))=0,"",INDEX(tBatches[[Closing Date]],260)))</f>
        <v/>
      </c>
      <c r="G264" s="39">
        <f>IF($A264="","",INDEX(tBatches[[Age (days)]],260))</f>
        <v/>
      </c>
      <c r="H264" s="39">
        <f>IF($A264="","",N(INDEX(tBatches[[Initial Quantity]],260)))</f>
        <v/>
      </c>
      <c r="I264" s="39">
        <f>IF($A264="","",INDEX(tBatches[[Transfers In / Added]],260))</f>
        <v/>
      </c>
      <c r="J264" s="39">
        <f>IF($A264="","",INDEX(tBatches[[Deaths]],260))</f>
        <v/>
      </c>
      <c r="K264" s="39">
        <f>IF($A264="","",INDEX(tBatches[[Heads Sold]],260))</f>
        <v/>
      </c>
      <c r="L264" s="39">
        <f>IF($A264="","",INDEX(tBatches[[Transfers Out]],260))</f>
        <v/>
      </c>
      <c r="M264" s="39">
        <f>IF($A264="","",INDEX(tBatches[[Current Quantity]],260))</f>
        <v/>
      </c>
      <c r="N264" s="40">
        <f>IF($A264="","",IFERROR(J264/(H264+I264),0))</f>
        <v/>
      </c>
      <c r="O264" s="28">
        <f>IF($A264="","",SUMIFS(tFeedIss[[Quantity Issued in kg]],tFeedIss[[Batch ID]],$A264))</f>
        <v/>
      </c>
      <c r="P264" s="29">
        <f>IF($A264="","",SUMIFS(tFeedIss[[Total Cost]],tFeedIss[[Batch ID]],$A264))</f>
        <v/>
      </c>
      <c r="Q264" s="29">
        <f>IF($A264="","",SUMIFS(tDrugUse[[Total Cost]],tDrugUse[[Batch ID]],$A264))</f>
        <v/>
      </c>
      <c r="R264" s="29">
        <f>IF($A264="","",SUMIFS(tExp[[Amount]],tExp[[Batch ID (if applicable)]],$A264))</f>
        <v/>
      </c>
      <c r="S264" s="41">
        <f>IF($A264="","",P264+Q264+R264)</f>
        <v/>
      </c>
      <c r="T264" s="41">
        <f>IF($A264="","",SUMIFS(tSales[[Total Revenue]],tSales[[Batch ID]],$A264))</f>
        <v/>
      </c>
      <c r="U264" s="41">
        <f>IF($A264="","",T264-S264)</f>
        <v/>
      </c>
      <c r="V264" s="29">
        <f>IF($A264="","",IFERROR(S264/(H264+I264),""))</f>
        <v/>
      </c>
      <c r="W264" s="29">
        <f>IF($A264="","",IF(K264=0,"",T264/K264))</f>
        <v/>
      </c>
      <c r="X264" s="42">
        <f>IF($A264="","",IFERROR(O264/(H264+I264),""))</f>
        <v/>
      </c>
      <c r="Y264" s="43">
        <f>IF($A264="","",IF(_xlfn.MAXIFS(tProd[[Date]],tProd[[Batch ID]],$A264,tProd[[Measurement Type]],"Weighing")=0,"",IFERROR(AVERAGEIFS(tProd[[Average Weight kg]],tProd[[Batch ID]],$A264,tProd[[Measurement Type]],"Weighing",tProd[[Date]],_xlfn.MAXIFS(tProd[[Date]],tProd[[Batch ID]],$A264,tProd[[Measurement Type]],"Weighing")),"")))</f>
        <v/>
      </c>
    </row>
    <row r="265">
      <c r="A265" s="27">
        <f>IFERROR(INDEX(tBatches[[Batch ID]],261)&amp;"","")</f>
        <v/>
      </c>
      <c r="B265" s="36">
        <f>IF($A265="","",INDEX(tBatches[[Pen ID]],261)&amp;"")</f>
        <v/>
      </c>
      <c r="C265" s="36">
        <f>IF($A265="","",INDEX(tBatches[[Animal Type]],261)&amp;"")</f>
        <v/>
      </c>
      <c r="D265" s="31">
        <f>IF($A265="","",INDEX(tBatches[[Batch Start Date]],261))</f>
        <v/>
      </c>
      <c r="E265" s="36">
        <f>IF($A265="","",INDEX(tBatches[[Status]],261)&amp;"")</f>
        <v/>
      </c>
      <c r="F265" s="31">
        <f>IF($A265="","",IF(N(INDEX(tBatches[[Closing Date]],261))=0,"",INDEX(tBatches[[Closing Date]],261)))</f>
        <v/>
      </c>
      <c r="G265" s="39">
        <f>IF($A265="","",INDEX(tBatches[[Age (days)]],261))</f>
        <v/>
      </c>
      <c r="H265" s="39">
        <f>IF($A265="","",N(INDEX(tBatches[[Initial Quantity]],261)))</f>
        <v/>
      </c>
      <c r="I265" s="39">
        <f>IF($A265="","",INDEX(tBatches[[Transfers In / Added]],261))</f>
        <v/>
      </c>
      <c r="J265" s="39">
        <f>IF($A265="","",INDEX(tBatches[[Deaths]],261))</f>
        <v/>
      </c>
      <c r="K265" s="39">
        <f>IF($A265="","",INDEX(tBatches[[Heads Sold]],261))</f>
        <v/>
      </c>
      <c r="L265" s="39">
        <f>IF($A265="","",INDEX(tBatches[[Transfers Out]],261))</f>
        <v/>
      </c>
      <c r="M265" s="39">
        <f>IF($A265="","",INDEX(tBatches[[Current Quantity]],261))</f>
        <v/>
      </c>
      <c r="N265" s="40">
        <f>IF($A265="","",IFERROR(J265/(H265+I265),0))</f>
        <v/>
      </c>
      <c r="O265" s="28">
        <f>IF($A265="","",SUMIFS(tFeedIss[[Quantity Issued in kg]],tFeedIss[[Batch ID]],$A265))</f>
        <v/>
      </c>
      <c r="P265" s="29">
        <f>IF($A265="","",SUMIFS(tFeedIss[[Total Cost]],tFeedIss[[Batch ID]],$A265))</f>
        <v/>
      </c>
      <c r="Q265" s="29">
        <f>IF($A265="","",SUMIFS(tDrugUse[[Total Cost]],tDrugUse[[Batch ID]],$A265))</f>
        <v/>
      </c>
      <c r="R265" s="29">
        <f>IF($A265="","",SUMIFS(tExp[[Amount]],tExp[[Batch ID (if applicable)]],$A265))</f>
        <v/>
      </c>
      <c r="S265" s="41">
        <f>IF($A265="","",P265+Q265+R265)</f>
        <v/>
      </c>
      <c r="T265" s="41">
        <f>IF($A265="","",SUMIFS(tSales[[Total Revenue]],tSales[[Batch ID]],$A265))</f>
        <v/>
      </c>
      <c r="U265" s="41">
        <f>IF($A265="","",T265-S265)</f>
        <v/>
      </c>
      <c r="V265" s="29">
        <f>IF($A265="","",IFERROR(S265/(H265+I265),""))</f>
        <v/>
      </c>
      <c r="W265" s="29">
        <f>IF($A265="","",IF(K265=0,"",T265/K265))</f>
        <v/>
      </c>
      <c r="X265" s="42">
        <f>IF($A265="","",IFERROR(O265/(H265+I265),""))</f>
        <v/>
      </c>
      <c r="Y265" s="43">
        <f>IF($A265="","",IF(_xlfn.MAXIFS(tProd[[Date]],tProd[[Batch ID]],$A265,tProd[[Measurement Type]],"Weighing")=0,"",IFERROR(AVERAGEIFS(tProd[[Average Weight kg]],tProd[[Batch ID]],$A265,tProd[[Measurement Type]],"Weighing",tProd[[Date]],_xlfn.MAXIFS(tProd[[Date]],tProd[[Batch ID]],$A265,tProd[[Measurement Type]],"Weighing")),"")))</f>
        <v/>
      </c>
    </row>
    <row r="266">
      <c r="A266" s="27">
        <f>IFERROR(INDEX(tBatches[[Batch ID]],262)&amp;"","")</f>
        <v/>
      </c>
      <c r="B266" s="36">
        <f>IF($A266="","",INDEX(tBatches[[Pen ID]],262)&amp;"")</f>
        <v/>
      </c>
      <c r="C266" s="36">
        <f>IF($A266="","",INDEX(tBatches[[Animal Type]],262)&amp;"")</f>
        <v/>
      </c>
      <c r="D266" s="31">
        <f>IF($A266="","",INDEX(tBatches[[Batch Start Date]],262))</f>
        <v/>
      </c>
      <c r="E266" s="36">
        <f>IF($A266="","",INDEX(tBatches[[Status]],262)&amp;"")</f>
        <v/>
      </c>
      <c r="F266" s="31">
        <f>IF($A266="","",IF(N(INDEX(tBatches[[Closing Date]],262))=0,"",INDEX(tBatches[[Closing Date]],262)))</f>
        <v/>
      </c>
      <c r="G266" s="39">
        <f>IF($A266="","",INDEX(tBatches[[Age (days)]],262))</f>
        <v/>
      </c>
      <c r="H266" s="39">
        <f>IF($A266="","",N(INDEX(tBatches[[Initial Quantity]],262)))</f>
        <v/>
      </c>
      <c r="I266" s="39">
        <f>IF($A266="","",INDEX(tBatches[[Transfers In / Added]],262))</f>
        <v/>
      </c>
      <c r="J266" s="39">
        <f>IF($A266="","",INDEX(tBatches[[Deaths]],262))</f>
        <v/>
      </c>
      <c r="K266" s="39">
        <f>IF($A266="","",INDEX(tBatches[[Heads Sold]],262))</f>
        <v/>
      </c>
      <c r="L266" s="39">
        <f>IF($A266="","",INDEX(tBatches[[Transfers Out]],262))</f>
        <v/>
      </c>
      <c r="M266" s="39">
        <f>IF($A266="","",INDEX(tBatches[[Current Quantity]],262))</f>
        <v/>
      </c>
      <c r="N266" s="40">
        <f>IF($A266="","",IFERROR(J266/(H266+I266),0))</f>
        <v/>
      </c>
      <c r="O266" s="28">
        <f>IF($A266="","",SUMIFS(tFeedIss[[Quantity Issued in kg]],tFeedIss[[Batch ID]],$A266))</f>
        <v/>
      </c>
      <c r="P266" s="29">
        <f>IF($A266="","",SUMIFS(tFeedIss[[Total Cost]],tFeedIss[[Batch ID]],$A266))</f>
        <v/>
      </c>
      <c r="Q266" s="29">
        <f>IF($A266="","",SUMIFS(tDrugUse[[Total Cost]],tDrugUse[[Batch ID]],$A266))</f>
        <v/>
      </c>
      <c r="R266" s="29">
        <f>IF($A266="","",SUMIFS(tExp[[Amount]],tExp[[Batch ID (if applicable)]],$A266))</f>
        <v/>
      </c>
      <c r="S266" s="41">
        <f>IF($A266="","",P266+Q266+R266)</f>
        <v/>
      </c>
      <c r="T266" s="41">
        <f>IF($A266="","",SUMIFS(tSales[[Total Revenue]],tSales[[Batch ID]],$A266))</f>
        <v/>
      </c>
      <c r="U266" s="41">
        <f>IF($A266="","",T266-S266)</f>
        <v/>
      </c>
      <c r="V266" s="29">
        <f>IF($A266="","",IFERROR(S266/(H266+I266),""))</f>
        <v/>
      </c>
      <c r="W266" s="29">
        <f>IF($A266="","",IF(K266=0,"",T266/K266))</f>
        <v/>
      </c>
      <c r="X266" s="42">
        <f>IF($A266="","",IFERROR(O266/(H266+I266),""))</f>
        <v/>
      </c>
      <c r="Y266" s="43">
        <f>IF($A266="","",IF(_xlfn.MAXIFS(tProd[[Date]],tProd[[Batch ID]],$A266,tProd[[Measurement Type]],"Weighing")=0,"",IFERROR(AVERAGEIFS(tProd[[Average Weight kg]],tProd[[Batch ID]],$A266,tProd[[Measurement Type]],"Weighing",tProd[[Date]],_xlfn.MAXIFS(tProd[[Date]],tProd[[Batch ID]],$A266,tProd[[Measurement Type]],"Weighing")),"")))</f>
        <v/>
      </c>
    </row>
    <row r="267">
      <c r="A267" s="27">
        <f>IFERROR(INDEX(tBatches[[Batch ID]],263)&amp;"","")</f>
        <v/>
      </c>
      <c r="B267" s="36">
        <f>IF($A267="","",INDEX(tBatches[[Pen ID]],263)&amp;"")</f>
        <v/>
      </c>
      <c r="C267" s="36">
        <f>IF($A267="","",INDEX(tBatches[[Animal Type]],263)&amp;"")</f>
        <v/>
      </c>
      <c r="D267" s="31">
        <f>IF($A267="","",INDEX(tBatches[[Batch Start Date]],263))</f>
        <v/>
      </c>
      <c r="E267" s="36">
        <f>IF($A267="","",INDEX(tBatches[[Status]],263)&amp;"")</f>
        <v/>
      </c>
      <c r="F267" s="31">
        <f>IF($A267="","",IF(N(INDEX(tBatches[[Closing Date]],263))=0,"",INDEX(tBatches[[Closing Date]],263)))</f>
        <v/>
      </c>
      <c r="G267" s="39">
        <f>IF($A267="","",INDEX(tBatches[[Age (days)]],263))</f>
        <v/>
      </c>
      <c r="H267" s="39">
        <f>IF($A267="","",N(INDEX(tBatches[[Initial Quantity]],263)))</f>
        <v/>
      </c>
      <c r="I267" s="39">
        <f>IF($A267="","",INDEX(tBatches[[Transfers In / Added]],263))</f>
        <v/>
      </c>
      <c r="J267" s="39">
        <f>IF($A267="","",INDEX(tBatches[[Deaths]],263))</f>
        <v/>
      </c>
      <c r="K267" s="39">
        <f>IF($A267="","",INDEX(tBatches[[Heads Sold]],263))</f>
        <v/>
      </c>
      <c r="L267" s="39">
        <f>IF($A267="","",INDEX(tBatches[[Transfers Out]],263))</f>
        <v/>
      </c>
      <c r="M267" s="39">
        <f>IF($A267="","",INDEX(tBatches[[Current Quantity]],263))</f>
        <v/>
      </c>
      <c r="N267" s="40">
        <f>IF($A267="","",IFERROR(J267/(H267+I267),0))</f>
        <v/>
      </c>
      <c r="O267" s="28">
        <f>IF($A267="","",SUMIFS(tFeedIss[[Quantity Issued in kg]],tFeedIss[[Batch ID]],$A267))</f>
        <v/>
      </c>
      <c r="P267" s="29">
        <f>IF($A267="","",SUMIFS(tFeedIss[[Total Cost]],tFeedIss[[Batch ID]],$A267))</f>
        <v/>
      </c>
      <c r="Q267" s="29">
        <f>IF($A267="","",SUMIFS(tDrugUse[[Total Cost]],tDrugUse[[Batch ID]],$A267))</f>
        <v/>
      </c>
      <c r="R267" s="29">
        <f>IF($A267="","",SUMIFS(tExp[[Amount]],tExp[[Batch ID (if applicable)]],$A267))</f>
        <v/>
      </c>
      <c r="S267" s="41">
        <f>IF($A267="","",P267+Q267+R267)</f>
        <v/>
      </c>
      <c r="T267" s="41">
        <f>IF($A267="","",SUMIFS(tSales[[Total Revenue]],tSales[[Batch ID]],$A267))</f>
        <v/>
      </c>
      <c r="U267" s="41">
        <f>IF($A267="","",T267-S267)</f>
        <v/>
      </c>
      <c r="V267" s="29">
        <f>IF($A267="","",IFERROR(S267/(H267+I267),""))</f>
        <v/>
      </c>
      <c r="W267" s="29">
        <f>IF($A267="","",IF(K267=0,"",T267/K267))</f>
        <v/>
      </c>
      <c r="X267" s="42">
        <f>IF($A267="","",IFERROR(O267/(H267+I267),""))</f>
        <v/>
      </c>
      <c r="Y267" s="43">
        <f>IF($A267="","",IF(_xlfn.MAXIFS(tProd[[Date]],tProd[[Batch ID]],$A267,tProd[[Measurement Type]],"Weighing")=0,"",IFERROR(AVERAGEIFS(tProd[[Average Weight kg]],tProd[[Batch ID]],$A267,tProd[[Measurement Type]],"Weighing",tProd[[Date]],_xlfn.MAXIFS(tProd[[Date]],tProd[[Batch ID]],$A267,tProd[[Measurement Type]],"Weighing")),"")))</f>
        <v/>
      </c>
    </row>
    <row r="268">
      <c r="A268" s="27">
        <f>IFERROR(INDEX(tBatches[[Batch ID]],264)&amp;"","")</f>
        <v/>
      </c>
      <c r="B268" s="36">
        <f>IF($A268="","",INDEX(tBatches[[Pen ID]],264)&amp;"")</f>
        <v/>
      </c>
      <c r="C268" s="36">
        <f>IF($A268="","",INDEX(tBatches[[Animal Type]],264)&amp;"")</f>
        <v/>
      </c>
      <c r="D268" s="31">
        <f>IF($A268="","",INDEX(tBatches[[Batch Start Date]],264))</f>
        <v/>
      </c>
      <c r="E268" s="36">
        <f>IF($A268="","",INDEX(tBatches[[Status]],264)&amp;"")</f>
        <v/>
      </c>
      <c r="F268" s="31">
        <f>IF($A268="","",IF(N(INDEX(tBatches[[Closing Date]],264))=0,"",INDEX(tBatches[[Closing Date]],264)))</f>
        <v/>
      </c>
      <c r="G268" s="39">
        <f>IF($A268="","",INDEX(tBatches[[Age (days)]],264))</f>
        <v/>
      </c>
      <c r="H268" s="39">
        <f>IF($A268="","",N(INDEX(tBatches[[Initial Quantity]],264)))</f>
        <v/>
      </c>
      <c r="I268" s="39">
        <f>IF($A268="","",INDEX(tBatches[[Transfers In / Added]],264))</f>
        <v/>
      </c>
      <c r="J268" s="39">
        <f>IF($A268="","",INDEX(tBatches[[Deaths]],264))</f>
        <v/>
      </c>
      <c r="K268" s="39">
        <f>IF($A268="","",INDEX(tBatches[[Heads Sold]],264))</f>
        <v/>
      </c>
      <c r="L268" s="39">
        <f>IF($A268="","",INDEX(tBatches[[Transfers Out]],264))</f>
        <v/>
      </c>
      <c r="M268" s="39">
        <f>IF($A268="","",INDEX(tBatches[[Current Quantity]],264))</f>
        <v/>
      </c>
      <c r="N268" s="40">
        <f>IF($A268="","",IFERROR(J268/(H268+I268),0))</f>
        <v/>
      </c>
      <c r="O268" s="28">
        <f>IF($A268="","",SUMIFS(tFeedIss[[Quantity Issued in kg]],tFeedIss[[Batch ID]],$A268))</f>
        <v/>
      </c>
      <c r="P268" s="29">
        <f>IF($A268="","",SUMIFS(tFeedIss[[Total Cost]],tFeedIss[[Batch ID]],$A268))</f>
        <v/>
      </c>
      <c r="Q268" s="29">
        <f>IF($A268="","",SUMIFS(tDrugUse[[Total Cost]],tDrugUse[[Batch ID]],$A268))</f>
        <v/>
      </c>
      <c r="R268" s="29">
        <f>IF($A268="","",SUMIFS(tExp[[Amount]],tExp[[Batch ID (if applicable)]],$A268))</f>
        <v/>
      </c>
      <c r="S268" s="41">
        <f>IF($A268="","",P268+Q268+R268)</f>
        <v/>
      </c>
      <c r="T268" s="41">
        <f>IF($A268="","",SUMIFS(tSales[[Total Revenue]],tSales[[Batch ID]],$A268))</f>
        <v/>
      </c>
      <c r="U268" s="41">
        <f>IF($A268="","",T268-S268)</f>
        <v/>
      </c>
      <c r="V268" s="29">
        <f>IF($A268="","",IFERROR(S268/(H268+I268),""))</f>
        <v/>
      </c>
      <c r="W268" s="29">
        <f>IF($A268="","",IF(K268=0,"",T268/K268))</f>
        <v/>
      </c>
      <c r="X268" s="42">
        <f>IF($A268="","",IFERROR(O268/(H268+I268),""))</f>
        <v/>
      </c>
      <c r="Y268" s="43">
        <f>IF($A268="","",IF(_xlfn.MAXIFS(tProd[[Date]],tProd[[Batch ID]],$A268,tProd[[Measurement Type]],"Weighing")=0,"",IFERROR(AVERAGEIFS(tProd[[Average Weight kg]],tProd[[Batch ID]],$A268,tProd[[Measurement Type]],"Weighing",tProd[[Date]],_xlfn.MAXIFS(tProd[[Date]],tProd[[Batch ID]],$A268,tProd[[Measurement Type]],"Weighing")),"")))</f>
        <v/>
      </c>
    </row>
    <row r="269">
      <c r="A269" s="27">
        <f>IFERROR(INDEX(tBatches[[Batch ID]],265)&amp;"","")</f>
        <v/>
      </c>
      <c r="B269" s="36">
        <f>IF($A269="","",INDEX(tBatches[[Pen ID]],265)&amp;"")</f>
        <v/>
      </c>
      <c r="C269" s="36">
        <f>IF($A269="","",INDEX(tBatches[[Animal Type]],265)&amp;"")</f>
        <v/>
      </c>
      <c r="D269" s="31">
        <f>IF($A269="","",INDEX(tBatches[[Batch Start Date]],265))</f>
        <v/>
      </c>
      <c r="E269" s="36">
        <f>IF($A269="","",INDEX(tBatches[[Status]],265)&amp;"")</f>
        <v/>
      </c>
      <c r="F269" s="31">
        <f>IF($A269="","",IF(N(INDEX(tBatches[[Closing Date]],265))=0,"",INDEX(tBatches[[Closing Date]],265)))</f>
        <v/>
      </c>
      <c r="G269" s="39">
        <f>IF($A269="","",INDEX(tBatches[[Age (days)]],265))</f>
        <v/>
      </c>
      <c r="H269" s="39">
        <f>IF($A269="","",N(INDEX(tBatches[[Initial Quantity]],265)))</f>
        <v/>
      </c>
      <c r="I269" s="39">
        <f>IF($A269="","",INDEX(tBatches[[Transfers In / Added]],265))</f>
        <v/>
      </c>
      <c r="J269" s="39">
        <f>IF($A269="","",INDEX(tBatches[[Deaths]],265))</f>
        <v/>
      </c>
      <c r="K269" s="39">
        <f>IF($A269="","",INDEX(tBatches[[Heads Sold]],265))</f>
        <v/>
      </c>
      <c r="L269" s="39">
        <f>IF($A269="","",INDEX(tBatches[[Transfers Out]],265))</f>
        <v/>
      </c>
      <c r="M269" s="39">
        <f>IF($A269="","",INDEX(tBatches[[Current Quantity]],265))</f>
        <v/>
      </c>
      <c r="N269" s="40">
        <f>IF($A269="","",IFERROR(J269/(H269+I269),0))</f>
        <v/>
      </c>
      <c r="O269" s="28">
        <f>IF($A269="","",SUMIFS(tFeedIss[[Quantity Issued in kg]],tFeedIss[[Batch ID]],$A269))</f>
        <v/>
      </c>
      <c r="P269" s="29">
        <f>IF($A269="","",SUMIFS(tFeedIss[[Total Cost]],tFeedIss[[Batch ID]],$A269))</f>
        <v/>
      </c>
      <c r="Q269" s="29">
        <f>IF($A269="","",SUMIFS(tDrugUse[[Total Cost]],tDrugUse[[Batch ID]],$A269))</f>
        <v/>
      </c>
      <c r="R269" s="29">
        <f>IF($A269="","",SUMIFS(tExp[[Amount]],tExp[[Batch ID (if applicable)]],$A269))</f>
        <v/>
      </c>
      <c r="S269" s="41">
        <f>IF($A269="","",P269+Q269+R269)</f>
        <v/>
      </c>
      <c r="T269" s="41">
        <f>IF($A269="","",SUMIFS(tSales[[Total Revenue]],tSales[[Batch ID]],$A269))</f>
        <v/>
      </c>
      <c r="U269" s="41">
        <f>IF($A269="","",T269-S269)</f>
        <v/>
      </c>
      <c r="V269" s="29">
        <f>IF($A269="","",IFERROR(S269/(H269+I269),""))</f>
        <v/>
      </c>
      <c r="W269" s="29">
        <f>IF($A269="","",IF(K269=0,"",T269/K269))</f>
        <v/>
      </c>
      <c r="X269" s="42">
        <f>IF($A269="","",IFERROR(O269/(H269+I269),""))</f>
        <v/>
      </c>
      <c r="Y269" s="43">
        <f>IF($A269="","",IF(_xlfn.MAXIFS(tProd[[Date]],tProd[[Batch ID]],$A269,tProd[[Measurement Type]],"Weighing")=0,"",IFERROR(AVERAGEIFS(tProd[[Average Weight kg]],tProd[[Batch ID]],$A269,tProd[[Measurement Type]],"Weighing",tProd[[Date]],_xlfn.MAXIFS(tProd[[Date]],tProd[[Batch ID]],$A269,tProd[[Measurement Type]],"Weighing")),"")))</f>
        <v/>
      </c>
    </row>
    <row r="270">
      <c r="A270" s="27">
        <f>IFERROR(INDEX(tBatches[[Batch ID]],266)&amp;"","")</f>
        <v/>
      </c>
      <c r="B270" s="36">
        <f>IF($A270="","",INDEX(tBatches[[Pen ID]],266)&amp;"")</f>
        <v/>
      </c>
      <c r="C270" s="36">
        <f>IF($A270="","",INDEX(tBatches[[Animal Type]],266)&amp;"")</f>
        <v/>
      </c>
      <c r="D270" s="31">
        <f>IF($A270="","",INDEX(tBatches[[Batch Start Date]],266))</f>
        <v/>
      </c>
      <c r="E270" s="36">
        <f>IF($A270="","",INDEX(tBatches[[Status]],266)&amp;"")</f>
        <v/>
      </c>
      <c r="F270" s="31">
        <f>IF($A270="","",IF(N(INDEX(tBatches[[Closing Date]],266))=0,"",INDEX(tBatches[[Closing Date]],266)))</f>
        <v/>
      </c>
      <c r="G270" s="39">
        <f>IF($A270="","",INDEX(tBatches[[Age (days)]],266))</f>
        <v/>
      </c>
      <c r="H270" s="39">
        <f>IF($A270="","",N(INDEX(tBatches[[Initial Quantity]],266)))</f>
        <v/>
      </c>
      <c r="I270" s="39">
        <f>IF($A270="","",INDEX(tBatches[[Transfers In / Added]],266))</f>
        <v/>
      </c>
      <c r="J270" s="39">
        <f>IF($A270="","",INDEX(tBatches[[Deaths]],266))</f>
        <v/>
      </c>
      <c r="K270" s="39">
        <f>IF($A270="","",INDEX(tBatches[[Heads Sold]],266))</f>
        <v/>
      </c>
      <c r="L270" s="39">
        <f>IF($A270="","",INDEX(tBatches[[Transfers Out]],266))</f>
        <v/>
      </c>
      <c r="M270" s="39">
        <f>IF($A270="","",INDEX(tBatches[[Current Quantity]],266))</f>
        <v/>
      </c>
      <c r="N270" s="40">
        <f>IF($A270="","",IFERROR(J270/(H270+I270),0))</f>
        <v/>
      </c>
      <c r="O270" s="28">
        <f>IF($A270="","",SUMIFS(tFeedIss[[Quantity Issued in kg]],tFeedIss[[Batch ID]],$A270))</f>
        <v/>
      </c>
      <c r="P270" s="29">
        <f>IF($A270="","",SUMIFS(tFeedIss[[Total Cost]],tFeedIss[[Batch ID]],$A270))</f>
        <v/>
      </c>
      <c r="Q270" s="29">
        <f>IF($A270="","",SUMIFS(tDrugUse[[Total Cost]],tDrugUse[[Batch ID]],$A270))</f>
        <v/>
      </c>
      <c r="R270" s="29">
        <f>IF($A270="","",SUMIFS(tExp[[Amount]],tExp[[Batch ID (if applicable)]],$A270))</f>
        <v/>
      </c>
      <c r="S270" s="41">
        <f>IF($A270="","",P270+Q270+R270)</f>
        <v/>
      </c>
      <c r="T270" s="41">
        <f>IF($A270="","",SUMIFS(tSales[[Total Revenue]],tSales[[Batch ID]],$A270))</f>
        <v/>
      </c>
      <c r="U270" s="41">
        <f>IF($A270="","",T270-S270)</f>
        <v/>
      </c>
      <c r="V270" s="29">
        <f>IF($A270="","",IFERROR(S270/(H270+I270),""))</f>
        <v/>
      </c>
      <c r="W270" s="29">
        <f>IF($A270="","",IF(K270=0,"",T270/K270))</f>
        <v/>
      </c>
      <c r="X270" s="42">
        <f>IF($A270="","",IFERROR(O270/(H270+I270),""))</f>
        <v/>
      </c>
      <c r="Y270" s="43">
        <f>IF($A270="","",IF(_xlfn.MAXIFS(tProd[[Date]],tProd[[Batch ID]],$A270,tProd[[Measurement Type]],"Weighing")=0,"",IFERROR(AVERAGEIFS(tProd[[Average Weight kg]],tProd[[Batch ID]],$A270,tProd[[Measurement Type]],"Weighing",tProd[[Date]],_xlfn.MAXIFS(tProd[[Date]],tProd[[Batch ID]],$A270,tProd[[Measurement Type]],"Weighing")),"")))</f>
        <v/>
      </c>
    </row>
    <row r="271">
      <c r="A271" s="27">
        <f>IFERROR(INDEX(tBatches[[Batch ID]],267)&amp;"","")</f>
        <v/>
      </c>
      <c r="B271" s="36">
        <f>IF($A271="","",INDEX(tBatches[[Pen ID]],267)&amp;"")</f>
        <v/>
      </c>
      <c r="C271" s="36">
        <f>IF($A271="","",INDEX(tBatches[[Animal Type]],267)&amp;"")</f>
        <v/>
      </c>
      <c r="D271" s="31">
        <f>IF($A271="","",INDEX(tBatches[[Batch Start Date]],267))</f>
        <v/>
      </c>
      <c r="E271" s="36">
        <f>IF($A271="","",INDEX(tBatches[[Status]],267)&amp;"")</f>
        <v/>
      </c>
      <c r="F271" s="31">
        <f>IF($A271="","",IF(N(INDEX(tBatches[[Closing Date]],267))=0,"",INDEX(tBatches[[Closing Date]],267)))</f>
        <v/>
      </c>
      <c r="G271" s="39">
        <f>IF($A271="","",INDEX(tBatches[[Age (days)]],267))</f>
        <v/>
      </c>
      <c r="H271" s="39">
        <f>IF($A271="","",N(INDEX(tBatches[[Initial Quantity]],267)))</f>
        <v/>
      </c>
      <c r="I271" s="39">
        <f>IF($A271="","",INDEX(tBatches[[Transfers In / Added]],267))</f>
        <v/>
      </c>
      <c r="J271" s="39">
        <f>IF($A271="","",INDEX(tBatches[[Deaths]],267))</f>
        <v/>
      </c>
      <c r="K271" s="39">
        <f>IF($A271="","",INDEX(tBatches[[Heads Sold]],267))</f>
        <v/>
      </c>
      <c r="L271" s="39">
        <f>IF($A271="","",INDEX(tBatches[[Transfers Out]],267))</f>
        <v/>
      </c>
      <c r="M271" s="39">
        <f>IF($A271="","",INDEX(tBatches[[Current Quantity]],267))</f>
        <v/>
      </c>
      <c r="N271" s="40">
        <f>IF($A271="","",IFERROR(J271/(H271+I271),0))</f>
        <v/>
      </c>
      <c r="O271" s="28">
        <f>IF($A271="","",SUMIFS(tFeedIss[[Quantity Issued in kg]],tFeedIss[[Batch ID]],$A271))</f>
        <v/>
      </c>
      <c r="P271" s="29">
        <f>IF($A271="","",SUMIFS(tFeedIss[[Total Cost]],tFeedIss[[Batch ID]],$A271))</f>
        <v/>
      </c>
      <c r="Q271" s="29">
        <f>IF($A271="","",SUMIFS(tDrugUse[[Total Cost]],tDrugUse[[Batch ID]],$A271))</f>
        <v/>
      </c>
      <c r="R271" s="29">
        <f>IF($A271="","",SUMIFS(tExp[[Amount]],tExp[[Batch ID (if applicable)]],$A271))</f>
        <v/>
      </c>
      <c r="S271" s="41">
        <f>IF($A271="","",P271+Q271+R271)</f>
        <v/>
      </c>
      <c r="T271" s="41">
        <f>IF($A271="","",SUMIFS(tSales[[Total Revenue]],tSales[[Batch ID]],$A271))</f>
        <v/>
      </c>
      <c r="U271" s="41">
        <f>IF($A271="","",T271-S271)</f>
        <v/>
      </c>
      <c r="V271" s="29">
        <f>IF($A271="","",IFERROR(S271/(H271+I271),""))</f>
        <v/>
      </c>
      <c r="W271" s="29">
        <f>IF($A271="","",IF(K271=0,"",T271/K271))</f>
        <v/>
      </c>
      <c r="X271" s="42">
        <f>IF($A271="","",IFERROR(O271/(H271+I271),""))</f>
        <v/>
      </c>
      <c r="Y271" s="43">
        <f>IF($A271="","",IF(_xlfn.MAXIFS(tProd[[Date]],tProd[[Batch ID]],$A271,tProd[[Measurement Type]],"Weighing")=0,"",IFERROR(AVERAGEIFS(tProd[[Average Weight kg]],tProd[[Batch ID]],$A271,tProd[[Measurement Type]],"Weighing",tProd[[Date]],_xlfn.MAXIFS(tProd[[Date]],tProd[[Batch ID]],$A271,tProd[[Measurement Type]],"Weighing")),"")))</f>
        <v/>
      </c>
    </row>
    <row r="272">
      <c r="A272" s="27">
        <f>IFERROR(INDEX(tBatches[[Batch ID]],268)&amp;"","")</f>
        <v/>
      </c>
      <c r="B272" s="36">
        <f>IF($A272="","",INDEX(tBatches[[Pen ID]],268)&amp;"")</f>
        <v/>
      </c>
      <c r="C272" s="36">
        <f>IF($A272="","",INDEX(tBatches[[Animal Type]],268)&amp;"")</f>
        <v/>
      </c>
      <c r="D272" s="31">
        <f>IF($A272="","",INDEX(tBatches[[Batch Start Date]],268))</f>
        <v/>
      </c>
      <c r="E272" s="36">
        <f>IF($A272="","",INDEX(tBatches[[Status]],268)&amp;"")</f>
        <v/>
      </c>
      <c r="F272" s="31">
        <f>IF($A272="","",IF(N(INDEX(tBatches[[Closing Date]],268))=0,"",INDEX(tBatches[[Closing Date]],268)))</f>
        <v/>
      </c>
      <c r="G272" s="39">
        <f>IF($A272="","",INDEX(tBatches[[Age (days)]],268))</f>
        <v/>
      </c>
      <c r="H272" s="39">
        <f>IF($A272="","",N(INDEX(tBatches[[Initial Quantity]],268)))</f>
        <v/>
      </c>
      <c r="I272" s="39">
        <f>IF($A272="","",INDEX(tBatches[[Transfers In / Added]],268))</f>
        <v/>
      </c>
      <c r="J272" s="39">
        <f>IF($A272="","",INDEX(tBatches[[Deaths]],268))</f>
        <v/>
      </c>
      <c r="K272" s="39">
        <f>IF($A272="","",INDEX(tBatches[[Heads Sold]],268))</f>
        <v/>
      </c>
      <c r="L272" s="39">
        <f>IF($A272="","",INDEX(tBatches[[Transfers Out]],268))</f>
        <v/>
      </c>
      <c r="M272" s="39">
        <f>IF($A272="","",INDEX(tBatches[[Current Quantity]],268))</f>
        <v/>
      </c>
      <c r="N272" s="40">
        <f>IF($A272="","",IFERROR(J272/(H272+I272),0))</f>
        <v/>
      </c>
      <c r="O272" s="28">
        <f>IF($A272="","",SUMIFS(tFeedIss[[Quantity Issued in kg]],tFeedIss[[Batch ID]],$A272))</f>
        <v/>
      </c>
      <c r="P272" s="29">
        <f>IF($A272="","",SUMIFS(tFeedIss[[Total Cost]],tFeedIss[[Batch ID]],$A272))</f>
        <v/>
      </c>
      <c r="Q272" s="29">
        <f>IF($A272="","",SUMIFS(tDrugUse[[Total Cost]],tDrugUse[[Batch ID]],$A272))</f>
        <v/>
      </c>
      <c r="R272" s="29">
        <f>IF($A272="","",SUMIFS(tExp[[Amount]],tExp[[Batch ID (if applicable)]],$A272))</f>
        <v/>
      </c>
      <c r="S272" s="41">
        <f>IF($A272="","",P272+Q272+R272)</f>
        <v/>
      </c>
      <c r="T272" s="41">
        <f>IF($A272="","",SUMIFS(tSales[[Total Revenue]],tSales[[Batch ID]],$A272))</f>
        <v/>
      </c>
      <c r="U272" s="41">
        <f>IF($A272="","",T272-S272)</f>
        <v/>
      </c>
      <c r="V272" s="29">
        <f>IF($A272="","",IFERROR(S272/(H272+I272),""))</f>
        <v/>
      </c>
      <c r="W272" s="29">
        <f>IF($A272="","",IF(K272=0,"",T272/K272))</f>
        <v/>
      </c>
      <c r="X272" s="42">
        <f>IF($A272="","",IFERROR(O272/(H272+I272),""))</f>
        <v/>
      </c>
      <c r="Y272" s="43">
        <f>IF($A272="","",IF(_xlfn.MAXIFS(tProd[[Date]],tProd[[Batch ID]],$A272,tProd[[Measurement Type]],"Weighing")=0,"",IFERROR(AVERAGEIFS(tProd[[Average Weight kg]],tProd[[Batch ID]],$A272,tProd[[Measurement Type]],"Weighing",tProd[[Date]],_xlfn.MAXIFS(tProd[[Date]],tProd[[Batch ID]],$A272,tProd[[Measurement Type]],"Weighing")),"")))</f>
        <v/>
      </c>
    </row>
    <row r="273">
      <c r="A273" s="27">
        <f>IFERROR(INDEX(tBatches[[Batch ID]],269)&amp;"","")</f>
        <v/>
      </c>
      <c r="B273" s="36">
        <f>IF($A273="","",INDEX(tBatches[[Pen ID]],269)&amp;"")</f>
        <v/>
      </c>
      <c r="C273" s="36">
        <f>IF($A273="","",INDEX(tBatches[[Animal Type]],269)&amp;"")</f>
        <v/>
      </c>
      <c r="D273" s="31">
        <f>IF($A273="","",INDEX(tBatches[[Batch Start Date]],269))</f>
        <v/>
      </c>
      <c r="E273" s="36">
        <f>IF($A273="","",INDEX(tBatches[[Status]],269)&amp;"")</f>
        <v/>
      </c>
      <c r="F273" s="31">
        <f>IF($A273="","",IF(N(INDEX(tBatches[[Closing Date]],269))=0,"",INDEX(tBatches[[Closing Date]],269)))</f>
        <v/>
      </c>
      <c r="G273" s="39">
        <f>IF($A273="","",INDEX(tBatches[[Age (days)]],269))</f>
        <v/>
      </c>
      <c r="H273" s="39">
        <f>IF($A273="","",N(INDEX(tBatches[[Initial Quantity]],269)))</f>
        <v/>
      </c>
      <c r="I273" s="39">
        <f>IF($A273="","",INDEX(tBatches[[Transfers In / Added]],269))</f>
        <v/>
      </c>
      <c r="J273" s="39">
        <f>IF($A273="","",INDEX(tBatches[[Deaths]],269))</f>
        <v/>
      </c>
      <c r="K273" s="39">
        <f>IF($A273="","",INDEX(tBatches[[Heads Sold]],269))</f>
        <v/>
      </c>
      <c r="L273" s="39">
        <f>IF($A273="","",INDEX(tBatches[[Transfers Out]],269))</f>
        <v/>
      </c>
      <c r="M273" s="39">
        <f>IF($A273="","",INDEX(tBatches[[Current Quantity]],269))</f>
        <v/>
      </c>
      <c r="N273" s="40">
        <f>IF($A273="","",IFERROR(J273/(H273+I273),0))</f>
        <v/>
      </c>
      <c r="O273" s="28">
        <f>IF($A273="","",SUMIFS(tFeedIss[[Quantity Issued in kg]],tFeedIss[[Batch ID]],$A273))</f>
        <v/>
      </c>
      <c r="P273" s="29">
        <f>IF($A273="","",SUMIFS(tFeedIss[[Total Cost]],tFeedIss[[Batch ID]],$A273))</f>
        <v/>
      </c>
      <c r="Q273" s="29">
        <f>IF($A273="","",SUMIFS(tDrugUse[[Total Cost]],tDrugUse[[Batch ID]],$A273))</f>
        <v/>
      </c>
      <c r="R273" s="29">
        <f>IF($A273="","",SUMIFS(tExp[[Amount]],tExp[[Batch ID (if applicable)]],$A273))</f>
        <v/>
      </c>
      <c r="S273" s="41">
        <f>IF($A273="","",P273+Q273+R273)</f>
        <v/>
      </c>
      <c r="T273" s="41">
        <f>IF($A273="","",SUMIFS(tSales[[Total Revenue]],tSales[[Batch ID]],$A273))</f>
        <v/>
      </c>
      <c r="U273" s="41">
        <f>IF($A273="","",T273-S273)</f>
        <v/>
      </c>
      <c r="V273" s="29">
        <f>IF($A273="","",IFERROR(S273/(H273+I273),""))</f>
        <v/>
      </c>
      <c r="W273" s="29">
        <f>IF($A273="","",IF(K273=0,"",T273/K273))</f>
        <v/>
      </c>
      <c r="X273" s="42">
        <f>IF($A273="","",IFERROR(O273/(H273+I273),""))</f>
        <v/>
      </c>
      <c r="Y273" s="43">
        <f>IF($A273="","",IF(_xlfn.MAXIFS(tProd[[Date]],tProd[[Batch ID]],$A273,tProd[[Measurement Type]],"Weighing")=0,"",IFERROR(AVERAGEIFS(tProd[[Average Weight kg]],tProd[[Batch ID]],$A273,tProd[[Measurement Type]],"Weighing",tProd[[Date]],_xlfn.MAXIFS(tProd[[Date]],tProd[[Batch ID]],$A273,tProd[[Measurement Type]],"Weighing")),"")))</f>
        <v/>
      </c>
    </row>
    <row r="274">
      <c r="A274" s="27">
        <f>IFERROR(INDEX(tBatches[[Batch ID]],270)&amp;"","")</f>
        <v/>
      </c>
      <c r="B274" s="36">
        <f>IF($A274="","",INDEX(tBatches[[Pen ID]],270)&amp;"")</f>
        <v/>
      </c>
      <c r="C274" s="36">
        <f>IF($A274="","",INDEX(tBatches[[Animal Type]],270)&amp;"")</f>
        <v/>
      </c>
      <c r="D274" s="31">
        <f>IF($A274="","",INDEX(tBatches[[Batch Start Date]],270))</f>
        <v/>
      </c>
      <c r="E274" s="36">
        <f>IF($A274="","",INDEX(tBatches[[Status]],270)&amp;"")</f>
        <v/>
      </c>
      <c r="F274" s="31">
        <f>IF($A274="","",IF(N(INDEX(tBatches[[Closing Date]],270))=0,"",INDEX(tBatches[[Closing Date]],270)))</f>
        <v/>
      </c>
      <c r="G274" s="39">
        <f>IF($A274="","",INDEX(tBatches[[Age (days)]],270))</f>
        <v/>
      </c>
      <c r="H274" s="39">
        <f>IF($A274="","",N(INDEX(tBatches[[Initial Quantity]],270)))</f>
        <v/>
      </c>
      <c r="I274" s="39">
        <f>IF($A274="","",INDEX(tBatches[[Transfers In / Added]],270))</f>
        <v/>
      </c>
      <c r="J274" s="39">
        <f>IF($A274="","",INDEX(tBatches[[Deaths]],270))</f>
        <v/>
      </c>
      <c r="K274" s="39">
        <f>IF($A274="","",INDEX(tBatches[[Heads Sold]],270))</f>
        <v/>
      </c>
      <c r="L274" s="39">
        <f>IF($A274="","",INDEX(tBatches[[Transfers Out]],270))</f>
        <v/>
      </c>
      <c r="M274" s="39">
        <f>IF($A274="","",INDEX(tBatches[[Current Quantity]],270))</f>
        <v/>
      </c>
      <c r="N274" s="40">
        <f>IF($A274="","",IFERROR(J274/(H274+I274),0))</f>
        <v/>
      </c>
      <c r="O274" s="28">
        <f>IF($A274="","",SUMIFS(tFeedIss[[Quantity Issued in kg]],tFeedIss[[Batch ID]],$A274))</f>
        <v/>
      </c>
      <c r="P274" s="29">
        <f>IF($A274="","",SUMIFS(tFeedIss[[Total Cost]],tFeedIss[[Batch ID]],$A274))</f>
        <v/>
      </c>
      <c r="Q274" s="29">
        <f>IF($A274="","",SUMIFS(tDrugUse[[Total Cost]],tDrugUse[[Batch ID]],$A274))</f>
        <v/>
      </c>
      <c r="R274" s="29">
        <f>IF($A274="","",SUMIFS(tExp[[Amount]],tExp[[Batch ID (if applicable)]],$A274))</f>
        <v/>
      </c>
      <c r="S274" s="41">
        <f>IF($A274="","",P274+Q274+R274)</f>
        <v/>
      </c>
      <c r="T274" s="41">
        <f>IF($A274="","",SUMIFS(tSales[[Total Revenue]],tSales[[Batch ID]],$A274))</f>
        <v/>
      </c>
      <c r="U274" s="41">
        <f>IF($A274="","",T274-S274)</f>
        <v/>
      </c>
      <c r="V274" s="29">
        <f>IF($A274="","",IFERROR(S274/(H274+I274),""))</f>
        <v/>
      </c>
      <c r="W274" s="29">
        <f>IF($A274="","",IF(K274=0,"",T274/K274))</f>
        <v/>
      </c>
      <c r="X274" s="42">
        <f>IF($A274="","",IFERROR(O274/(H274+I274),""))</f>
        <v/>
      </c>
      <c r="Y274" s="43">
        <f>IF($A274="","",IF(_xlfn.MAXIFS(tProd[[Date]],tProd[[Batch ID]],$A274,tProd[[Measurement Type]],"Weighing")=0,"",IFERROR(AVERAGEIFS(tProd[[Average Weight kg]],tProd[[Batch ID]],$A274,tProd[[Measurement Type]],"Weighing",tProd[[Date]],_xlfn.MAXIFS(tProd[[Date]],tProd[[Batch ID]],$A274,tProd[[Measurement Type]],"Weighing")),"")))</f>
        <v/>
      </c>
    </row>
    <row r="275">
      <c r="A275" s="27">
        <f>IFERROR(INDEX(tBatches[[Batch ID]],271)&amp;"","")</f>
        <v/>
      </c>
      <c r="B275" s="36">
        <f>IF($A275="","",INDEX(tBatches[[Pen ID]],271)&amp;"")</f>
        <v/>
      </c>
      <c r="C275" s="36">
        <f>IF($A275="","",INDEX(tBatches[[Animal Type]],271)&amp;"")</f>
        <v/>
      </c>
      <c r="D275" s="31">
        <f>IF($A275="","",INDEX(tBatches[[Batch Start Date]],271))</f>
        <v/>
      </c>
      <c r="E275" s="36">
        <f>IF($A275="","",INDEX(tBatches[[Status]],271)&amp;"")</f>
        <v/>
      </c>
      <c r="F275" s="31">
        <f>IF($A275="","",IF(N(INDEX(tBatches[[Closing Date]],271))=0,"",INDEX(tBatches[[Closing Date]],271)))</f>
        <v/>
      </c>
      <c r="G275" s="39">
        <f>IF($A275="","",INDEX(tBatches[[Age (days)]],271))</f>
        <v/>
      </c>
      <c r="H275" s="39">
        <f>IF($A275="","",N(INDEX(tBatches[[Initial Quantity]],271)))</f>
        <v/>
      </c>
      <c r="I275" s="39">
        <f>IF($A275="","",INDEX(tBatches[[Transfers In / Added]],271))</f>
        <v/>
      </c>
      <c r="J275" s="39">
        <f>IF($A275="","",INDEX(tBatches[[Deaths]],271))</f>
        <v/>
      </c>
      <c r="K275" s="39">
        <f>IF($A275="","",INDEX(tBatches[[Heads Sold]],271))</f>
        <v/>
      </c>
      <c r="L275" s="39">
        <f>IF($A275="","",INDEX(tBatches[[Transfers Out]],271))</f>
        <v/>
      </c>
      <c r="M275" s="39">
        <f>IF($A275="","",INDEX(tBatches[[Current Quantity]],271))</f>
        <v/>
      </c>
      <c r="N275" s="40">
        <f>IF($A275="","",IFERROR(J275/(H275+I275),0))</f>
        <v/>
      </c>
      <c r="O275" s="28">
        <f>IF($A275="","",SUMIFS(tFeedIss[[Quantity Issued in kg]],tFeedIss[[Batch ID]],$A275))</f>
        <v/>
      </c>
      <c r="P275" s="29">
        <f>IF($A275="","",SUMIFS(tFeedIss[[Total Cost]],tFeedIss[[Batch ID]],$A275))</f>
        <v/>
      </c>
      <c r="Q275" s="29">
        <f>IF($A275="","",SUMIFS(tDrugUse[[Total Cost]],tDrugUse[[Batch ID]],$A275))</f>
        <v/>
      </c>
      <c r="R275" s="29">
        <f>IF($A275="","",SUMIFS(tExp[[Amount]],tExp[[Batch ID (if applicable)]],$A275))</f>
        <v/>
      </c>
      <c r="S275" s="41">
        <f>IF($A275="","",P275+Q275+R275)</f>
        <v/>
      </c>
      <c r="T275" s="41">
        <f>IF($A275="","",SUMIFS(tSales[[Total Revenue]],tSales[[Batch ID]],$A275))</f>
        <v/>
      </c>
      <c r="U275" s="41">
        <f>IF($A275="","",T275-S275)</f>
        <v/>
      </c>
      <c r="V275" s="29">
        <f>IF($A275="","",IFERROR(S275/(H275+I275),""))</f>
        <v/>
      </c>
      <c r="W275" s="29">
        <f>IF($A275="","",IF(K275=0,"",T275/K275))</f>
        <v/>
      </c>
      <c r="X275" s="42">
        <f>IF($A275="","",IFERROR(O275/(H275+I275),""))</f>
        <v/>
      </c>
      <c r="Y275" s="43">
        <f>IF($A275="","",IF(_xlfn.MAXIFS(tProd[[Date]],tProd[[Batch ID]],$A275,tProd[[Measurement Type]],"Weighing")=0,"",IFERROR(AVERAGEIFS(tProd[[Average Weight kg]],tProd[[Batch ID]],$A275,tProd[[Measurement Type]],"Weighing",tProd[[Date]],_xlfn.MAXIFS(tProd[[Date]],tProd[[Batch ID]],$A275,tProd[[Measurement Type]],"Weighing")),"")))</f>
        <v/>
      </c>
    </row>
    <row r="276">
      <c r="A276" s="27">
        <f>IFERROR(INDEX(tBatches[[Batch ID]],272)&amp;"","")</f>
        <v/>
      </c>
      <c r="B276" s="36">
        <f>IF($A276="","",INDEX(tBatches[[Pen ID]],272)&amp;"")</f>
        <v/>
      </c>
      <c r="C276" s="36">
        <f>IF($A276="","",INDEX(tBatches[[Animal Type]],272)&amp;"")</f>
        <v/>
      </c>
      <c r="D276" s="31">
        <f>IF($A276="","",INDEX(tBatches[[Batch Start Date]],272))</f>
        <v/>
      </c>
      <c r="E276" s="36">
        <f>IF($A276="","",INDEX(tBatches[[Status]],272)&amp;"")</f>
        <v/>
      </c>
      <c r="F276" s="31">
        <f>IF($A276="","",IF(N(INDEX(tBatches[[Closing Date]],272))=0,"",INDEX(tBatches[[Closing Date]],272)))</f>
        <v/>
      </c>
      <c r="G276" s="39">
        <f>IF($A276="","",INDEX(tBatches[[Age (days)]],272))</f>
        <v/>
      </c>
      <c r="H276" s="39">
        <f>IF($A276="","",N(INDEX(tBatches[[Initial Quantity]],272)))</f>
        <v/>
      </c>
      <c r="I276" s="39">
        <f>IF($A276="","",INDEX(tBatches[[Transfers In / Added]],272))</f>
        <v/>
      </c>
      <c r="J276" s="39">
        <f>IF($A276="","",INDEX(tBatches[[Deaths]],272))</f>
        <v/>
      </c>
      <c r="K276" s="39">
        <f>IF($A276="","",INDEX(tBatches[[Heads Sold]],272))</f>
        <v/>
      </c>
      <c r="L276" s="39">
        <f>IF($A276="","",INDEX(tBatches[[Transfers Out]],272))</f>
        <v/>
      </c>
      <c r="M276" s="39">
        <f>IF($A276="","",INDEX(tBatches[[Current Quantity]],272))</f>
        <v/>
      </c>
      <c r="N276" s="40">
        <f>IF($A276="","",IFERROR(J276/(H276+I276),0))</f>
        <v/>
      </c>
      <c r="O276" s="28">
        <f>IF($A276="","",SUMIFS(tFeedIss[[Quantity Issued in kg]],tFeedIss[[Batch ID]],$A276))</f>
        <v/>
      </c>
      <c r="P276" s="29">
        <f>IF($A276="","",SUMIFS(tFeedIss[[Total Cost]],tFeedIss[[Batch ID]],$A276))</f>
        <v/>
      </c>
      <c r="Q276" s="29">
        <f>IF($A276="","",SUMIFS(tDrugUse[[Total Cost]],tDrugUse[[Batch ID]],$A276))</f>
        <v/>
      </c>
      <c r="R276" s="29">
        <f>IF($A276="","",SUMIFS(tExp[[Amount]],tExp[[Batch ID (if applicable)]],$A276))</f>
        <v/>
      </c>
      <c r="S276" s="41">
        <f>IF($A276="","",P276+Q276+R276)</f>
        <v/>
      </c>
      <c r="T276" s="41">
        <f>IF($A276="","",SUMIFS(tSales[[Total Revenue]],tSales[[Batch ID]],$A276))</f>
        <v/>
      </c>
      <c r="U276" s="41">
        <f>IF($A276="","",T276-S276)</f>
        <v/>
      </c>
      <c r="V276" s="29">
        <f>IF($A276="","",IFERROR(S276/(H276+I276),""))</f>
        <v/>
      </c>
      <c r="W276" s="29">
        <f>IF($A276="","",IF(K276=0,"",T276/K276))</f>
        <v/>
      </c>
      <c r="X276" s="42">
        <f>IF($A276="","",IFERROR(O276/(H276+I276),""))</f>
        <v/>
      </c>
      <c r="Y276" s="43">
        <f>IF($A276="","",IF(_xlfn.MAXIFS(tProd[[Date]],tProd[[Batch ID]],$A276,tProd[[Measurement Type]],"Weighing")=0,"",IFERROR(AVERAGEIFS(tProd[[Average Weight kg]],tProd[[Batch ID]],$A276,tProd[[Measurement Type]],"Weighing",tProd[[Date]],_xlfn.MAXIFS(tProd[[Date]],tProd[[Batch ID]],$A276,tProd[[Measurement Type]],"Weighing")),"")))</f>
        <v/>
      </c>
    </row>
    <row r="277">
      <c r="A277" s="27">
        <f>IFERROR(INDEX(tBatches[[Batch ID]],273)&amp;"","")</f>
        <v/>
      </c>
      <c r="B277" s="36">
        <f>IF($A277="","",INDEX(tBatches[[Pen ID]],273)&amp;"")</f>
        <v/>
      </c>
      <c r="C277" s="36">
        <f>IF($A277="","",INDEX(tBatches[[Animal Type]],273)&amp;"")</f>
        <v/>
      </c>
      <c r="D277" s="31">
        <f>IF($A277="","",INDEX(tBatches[[Batch Start Date]],273))</f>
        <v/>
      </c>
      <c r="E277" s="36">
        <f>IF($A277="","",INDEX(tBatches[[Status]],273)&amp;"")</f>
        <v/>
      </c>
      <c r="F277" s="31">
        <f>IF($A277="","",IF(N(INDEX(tBatches[[Closing Date]],273))=0,"",INDEX(tBatches[[Closing Date]],273)))</f>
        <v/>
      </c>
      <c r="G277" s="39">
        <f>IF($A277="","",INDEX(tBatches[[Age (days)]],273))</f>
        <v/>
      </c>
      <c r="H277" s="39">
        <f>IF($A277="","",N(INDEX(tBatches[[Initial Quantity]],273)))</f>
        <v/>
      </c>
      <c r="I277" s="39">
        <f>IF($A277="","",INDEX(tBatches[[Transfers In / Added]],273))</f>
        <v/>
      </c>
      <c r="J277" s="39">
        <f>IF($A277="","",INDEX(tBatches[[Deaths]],273))</f>
        <v/>
      </c>
      <c r="K277" s="39">
        <f>IF($A277="","",INDEX(tBatches[[Heads Sold]],273))</f>
        <v/>
      </c>
      <c r="L277" s="39">
        <f>IF($A277="","",INDEX(tBatches[[Transfers Out]],273))</f>
        <v/>
      </c>
      <c r="M277" s="39">
        <f>IF($A277="","",INDEX(tBatches[[Current Quantity]],273))</f>
        <v/>
      </c>
      <c r="N277" s="40">
        <f>IF($A277="","",IFERROR(J277/(H277+I277),0))</f>
        <v/>
      </c>
      <c r="O277" s="28">
        <f>IF($A277="","",SUMIFS(tFeedIss[[Quantity Issued in kg]],tFeedIss[[Batch ID]],$A277))</f>
        <v/>
      </c>
      <c r="P277" s="29">
        <f>IF($A277="","",SUMIFS(tFeedIss[[Total Cost]],tFeedIss[[Batch ID]],$A277))</f>
        <v/>
      </c>
      <c r="Q277" s="29">
        <f>IF($A277="","",SUMIFS(tDrugUse[[Total Cost]],tDrugUse[[Batch ID]],$A277))</f>
        <v/>
      </c>
      <c r="R277" s="29">
        <f>IF($A277="","",SUMIFS(tExp[[Amount]],tExp[[Batch ID (if applicable)]],$A277))</f>
        <v/>
      </c>
      <c r="S277" s="41">
        <f>IF($A277="","",P277+Q277+R277)</f>
        <v/>
      </c>
      <c r="T277" s="41">
        <f>IF($A277="","",SUMIFS(tSales[[Total Revenue]],tSales[[Batch ID]],$A277))</f>
        <v/>
      </c>
      <c r="U277" s="41">
        <f>IF($A277="","",T277-S277)</f>
        <v/>
      </c>
      <c r="V277" s="29">
        <f>IF($A277="","",IFERROR(S277/(H277+I277),""))</f>
        <v/>
      </c>
      <c r="W277" s="29">
        <f>IF($A277="","",IF(K277=0,"",T277/K277))</f>
        <v/>
      </c>
      <c r="X277" s="42">
        <f>IF($A277="","",IFERROR(O277/(H277+I277),""))</f>
        <v/>
      </c>
      <c r="Y277" s="43">
        <f>IF($A277="","",IF(_xlfn.MAXIFS(tProd[[Date]],tProd[[Batch ID]],$A277,tProd[[Measurement Type]],"Weighing")=0,"",IFERROR(AVERAGEIFS(tProd[[Average Weight kg]],tProd[[Batch ID]],$A277,tProd[[Measurement Type]],"Weighing",tProd[[Date]],_xlfn.MAXIFS(tProd[[Date]],tProd[[Batch ID]],$A277,tProd[[Measurement Type]],"Weighing")),"")))</f>
        <v/>
      </c>
    </row>
    <row r="278">
      <c r="A278" s="27">
        <f>IFERROR(INDEX(tBatches[[Batch ID]],274)&amp;"","")</f>
        <v/>
      </c>
      <c r="B278" s="36">
        <f>IF($A278="","",INDEX(tBatches[[Pen ID]],274)&amp;"")</f>
        <v/>
      </c>
      <c r="C278" s="36">
        <f>IF($A278="","",INDEX(tBatches[[Animal Type]],274)&amp;"")</f>
        <v/>
      </c>
      <c r="D278" s="31">
        <f>IF($A278="","",INDEX(tBatches[[Batch Start Date]],274))</f>
        <v/>
      </c>
      <c r="E278" s="36">
        <f>IF($A278="","",INDEX(tBatches[[Status]],274)&amp;"")</f>
        <v/>
      </c>
      <c r="F278" s="31">
        <f>IF($A278="","",IF(N(INDEX(tBatches[[Closing Date]],274))=0,"",INDEX(tBatches[[Closing Date]],274)))</f>
        <v/>
      </c>
      <c r="G278" s="39">
        <f>IF($A278="","",INDEX(tBatches[[Age (days)]],274))</f>
        <v/>
      </c>
      <c r="H278" s="39">
        <f>IF($A278="","",N(INDEX(tBatches[[Initial Quantity]],274)))</f>
        <v/>
      </c>
      <c r="I278" s="39">
        <f>IF($A278="","",INDEX(tBatches[[Transfers In / Added]],274))</f>
        <v/>
      </c>
      <c r="J278" s="39">
        <f>IF($A278="","",INDEX(tBatches[[Deaths]],274))</f>
        <v/>
      </c>
      <c r="K278" s="39">
        <f>IF($A278="","",INDEX(tBatches[[Heads Sold]],274))</f>
        <v/>
      </c>
      <c r="L278" s="39">
        <f>IF($A278="","",INDEX(tBatches[[Transfers Out]],274))</f>
        <v/>
      </c>
      <c r="M278" s="39">
        <f>IF($A278="","",INDEX(tBatches[[Current Quantity]],274))</f>
        <v/>
      </c>
      <c r="N278" s="40">
        <f>IF($A278="","",IFERROR(J278/(H278+I278),0))</f>
        <v/>
      </c>
      <c r="O278" s="28">
        <f>IF($A278="","",SUMIFS(tFeedIss[[Quantity Issued in kg]],tFeedIss[[Batch ID]],$A278))</f>
        <v/>
      </c>
      <c r="P278" s="29">
        <f>IF($A278="","",SUMIFS(tFeedIss[[Total Cost]],tFeedIss[[Batch ID]],$A278))</f>
        <v/>
      </c>
      <c r="Q278" s="29">
        <f>IF($A278="","",SUMIFS(tDrugUse[[Total Cost]],tDrugUse[[Batch ID]],$A278))</f>
        <v/>
      </c>
      <c r="R278" s="29">
        <f>IF($A278="","",SUMIFS(tExp[[Amount]],tExp[[Batch ID (if applicable)]],$A278))</f>
        <v/>
      </c>
      <c r="S278" s="41">
        <f>IF($A278="","",P278+Q278+R278)</f>
        <v/>
      </c>
      <c r="T278" s="41">
        <f>IF($A278="","",SUMIFS(tSales[[Total Revenue]],tSales[[Batch ID]],$A278))</f>
        <v/>
      </c>
      <c r="U278" s="41">
        <f>IF($A278="","",T278-S278)</f>
        <v/>
      </c>
      <c r="V278" s="29">
        <f>IF($A278="","",IFERROR(S278/(H278+I278),""))</f>
        <v/>
      </c>
      <c r="W278" s="29">
        <f>IF($A278="","",IF(K278=0,"",T278/K278))</f>
        <v/>
      </c>
      <c r="X278" s="42">
        <f>IF($A278="","",IFERROR(O278/(H278+I278),""))</f>
        <v/>
      </c>
      <c r="Y278" s="43">
        <f>IF($A278="","",IF(_xlfn.MAXIFS(tProd[[Date]],tProd[[Batch ID]],$A278,tProd[[Measurement Type]],"Weighing")=0,"",IFERROR(AVERAGEIFS(tProd[[Average Weight kg]],tProd[[Batch ID]],$A278,tProd[[Measurement Type]],"Weighing",tProd[[Date]],_xlfn.MAXIFS(tProd[[Date]],tProd[[Batch ID]],$A278,tProd[[Measurement Type]],"Weighing")),"")))</f>
        <v/>
      </c>
    </row>
    <row r="279">
      <c r="A279" s="27">
        <f>IFERROR(INDEX(tBatches[[Batch ID]],275)&amp;"","")</f>
        <v/>
      </c>
      <c r="B279" s="36">
        <f>IF($A279="","",INDEX(tBatches[[Pen ID]],275)&amp;"")</f>
        <v/>
      </c>
      <c r="C279" s="36">
        <f>IF($A279="","",INDEX(tBatches[[Animal Type]],275)&amp;"")</f>
        <v/>
      </c>
      <c r="D279" s="31">
        <f>IF($A279="","",INDEX(tBatches[[Batch Start Date]],275))</f>
        <v/>
      </c>
      <c r="E279" s="36">
        <f>IF($A279="","",INDEX(tBatches[[Status]],275)&amp;"")</f>
        <v/>
      </c>
      <c r="F279" s="31">
        <f>IF($A279="","",IF(N(INDEX(tBatches[[Closing Date]],275))=0,"",INDEX(tBatches[[Closing Date]],275)))</f>
        <v/>
      </c>
      <c r="G279" s="39">
        <f>IF($A279="","",INDEX(tBatches[[Age (days)]],275))</f>
        <v/>
      </c>
      <c r="H279" s="39">
        <f>IF($A279="","",N(INDEX(tBatches[[Initial Quantity]],275)))</f>
        <v/>
      </c>
      <c r="I279" s="39">
        <f>IF($A279="","",INDEX(tBatches[[Transfers In / Added]],275))</f>
        <v/>
      </c>
      <c r="J279" s="39">
        <f>IF($A279="","",INDEX(tBatches[[Deaths]],275))</f>
        <v/>
      </c>
      <c r="K279" s="39">
        <f>IF($A279="","",INDEX(tBatches[[Heads Sold]],275))</f>
        <v/>
      </c>
      <c r="L279" s="39">
        <f>IF($A279="","",INDEX(tBatches[[Transfers Out]],275))</f>
        <v/>
      </c>
      <c r="M279" s="39">
        <f>IF($A279="","",INDEX(tBatches[[Current Quantity]],275))</f>
        <v/>
      </c>
      <c r="N279" s="40">
        <f>IF($A279="","",IFERROR(J279/(H279+I279),0))</f>
        <v/>
      </c>
      <c r="O279" s="28">
        <f>IF($A279="","",SUMIFS(tFeedIss[[Quantity Issued in kg]],tFeedIss[[Batch ID]],$A279))</f>
        <v/>
      </c>
      <c r="P279" s="29">
        <f>IF($A279="","",SUMIFS(tFeedIss[[Total Cost]],tFeedIss[[Batch ID]],$A279))</f>
        <v/>
      </c>
      <c r="Q279" s="29">
        <f>IF($A279="","",SUMIFS(tDrugUse[[Total Cost]],tDrugUse[[Batch ID]],$A279))</f>
        <v/>
      </c>
      <c r="R279" s="29">
        <f>IF($A279="","",SUMIFS(tExp[[Amount]],tExp[[Batch ID (if applicable)]],$A279))</f>
        <v/>
      </c>
      <c r="S279" s="41">
        <f>IF($A279="","",P279+Q279+R279)</f>
        <v/>
      </c>
      <c r="T279" s="41">
        <f>IF($A279="","",SUMIFS(tSales[[Total Revenue]],tSales[[Batch ID]],$A279))</f>
        <v/>
      </c>
      <c r="U279" s="41">
        <f>IF($A279="","",T279-S279)</f>
        <v/>
      </c>
      <c r="V279" s="29">
        <f>IF($A279="","",IFERROR(S279/(H279+I279),""))</f>
        <v/>
      </c>
      <c r="W279" s="29">
        <f>IF($A279="","",IF(K279=0,"",T279/K279))</f>
        <v/>
      </c>
      <c r="X279" s="42">
        <f>IF($A279="","",IFERROR(O279/(H279+I279),""))</f>
        <v/>
      </c>
      <c r="Y279" s="43">
        <f>IF($A279="","",IF(_xlfn.MAXIFS(tProd[[Date]],tProd[[Batch ID]],$A279,tProd[[Measurement Type]],"Weighing")=0,"",IFERROR(AVERAGEIFS(tProd[[Average Weight kg]],tProd[[Batch ID]],$A279,tProd[[Measurement Type]],"Weighing",tProd[[Date]],_xlfn.MAXIFS(tProd[[Date]],tProd[[Batch ID]],$A279,tProd[[Measurement Type]],"Weighing")),"")))</f>
        <v/>
      </c>
    </row>
    <row r="280">
      <c r="A280" s="27">
        <f>IFERROR(INDEX(tBatches[[Batch ID]],276)&amp;"","")</f>
        <v/>
      </c>
      <c r="B280" s="36">
        <f>IF($A280="","",INDEX(tBatches[[Pen ID]],276)&amp;"")</f>
        <v/>
      </c>
      <c r="C280" s="36">
        <f>IF($A280="","",INDEX(tBatches[[Animal Type]],276)&amp;"")</f>
        <v/>
      </c>
      <c r="D280" s="31">
        <f>IF($A280="","",INDEX(tBatches[[Batch Start Date]],276))</f>
        <v/>
      </c>
      <c r="E280" s="36">
        <f>IF($A280="","",INDEX(tBatches[[Status]],276)&amp;"")</f>
        <v/>
      </c>
      <c r="F280" s="31">
        <f>IF($A280="","",IF(N(INDEX(tBatches[[Closing Date]],276))=0,"",INDEX(tBatches[[Closing Date]],276)))</f>
        <v/>
      </c>
      <c r="G280" s="39">
        <f>IF($A280="","",INDEX(tBatches[[Age (days)]],276))</f>
        <v/>
      </c>
      <c r="H280" s="39">
        <f>IF($A280="","",N(INDEX(tBatches[[Initial Quantity]],276)))</f>
        <v/>
      </c>
      <c r="I280" s="39">
        <f>IF($A280="","",INDEX(tBatches[[Transfers In / Added]],276))</f>
        <v/>
      </c>
      <c r="J280" s="39">
        <f>IF($A280="","",INDEX(tBatches[[Deaths]],276))</f>
        <v/>
      </c>
      <c r="K280" s="39">
        <f>IF($A280="","",INDEX(tBatches[[Heads Sold]],276))</f>
        <v/>
      </c>
      <c r="L280" s="39">
        <f>IF($A280="","",INDEX(tBatches[[Transfers Out]],276))</f>
        <v/>
      </c>
      <c r="M280" s="39">
        <f>IF($A280="","",INDEX(tBatches[[Current Quantity]],276))</f>
        <v/>
      </c>
      <c r="N280" s="40">
        <f>IF($A280="","",IFERROR(J280/(H280+I280),0))</f>
        <v/>
      </c>
      <c r="O280" s="28">
        <f>IF($A280="","",SUMIFS(tFeedIss[[Quantity Issued in kg]],tFeedIss[[Batch ID]],$A280))</f>
        <v/>
      </c>
      <c r="P280" s="29">
        <f>IF($A280="","",SUMIFS(tFeedIss[[Total Cost]],tFeedIss[[Batch ID]],$A280))</f>
        <v/>
      </c>
      <c r="Q280" s="29">
        <f>IF($A280="","",SUMIFS(tDrugUse[[Total Cost]],tDrugUse[[Batch ID]],$A280))</f>
        <v/>
      </c>
      <c r="R280" s="29">
        <f>IF($A280="","",SUMIFS(tExp[[Amount]],tExp[[Batch ID (if applicable)]],$A280))</f>
        <v/>
      </c>
      <c r="S280" s="41">
        <f>IF($A280="","",P280+Q280+R280)</f>
        <v/>
      </c>
      <c r="T280" s="41">
        <f>IF($A280="","",SUMIFS(tSales[[Total Revenue]],tSales[[Batch ID]],$A280))</f>
        <v/>
      </c>
      <c r="U280" s="41">
        <f>IF($A280="","",T280-S280)</f>
        <v/>
      </c>
      <c r="V280" s="29">
        <f>IF($A280="","",IFERROR(S280/(H280+I280),""))</f>
        <v/>
      </c>
      <c r="W280" s="29">
        <f>IF($A280="","",IF(K280=0,"",T280/K280))</f>
        <v/>
      </c>
      <c r="X280" s="42">
        <f>IF($A280="","",IFERROR(O280/(H280+I280),""))</f>
        <v/>
      </c>
      <c r="Y280" s="43">
        <f>IF($A280="","",IF(_xlfn.MAXIFS(tProd[[Date]],tProd[[Batch ID]],$A280,tProd[[Measurement Type]],"Weighing")=0,"",IFERROR(AVERAGEIFS(tProd[[Average Weight kg]],tProd[[Batch ID]],$A280,tProd[[Measurement Type]],"Weighing",tProd[[Date]],_xlfn.MAXIFS(tProd[[Date]],tProd[[Batch ID]],$A280,tProd[[Measurement Type]],"Weighing")),"")))</f>
        <v/>
      </c>
    </row>
    <row r="281">
      <c r="A281" s="27">
        <f>IFERROR(INDEX(tBatches[[Batch ID]],277)&amp;"","")</f>
        <v/>
      </c>
      <c r="B281" s="36">
        <f>IF($A281="","",INDEX(tBatches[[Pen ID]],277)&amp;"")</f>
        <v/>
      </c>
      <c r="C281" s="36">
        <f>IF($A281="","",INDEX(tBatches[[Animal Type]],277)&amp;"")</f>
        <v/>
      </c>
      <c r="D281" s="31">
        <f>IF($A281="","",INDEX(tBatches[[Batch Start Date]],277))</f>
        <v/>
      </c>
      <c r="E281" s="36">
        <f>IF($A281="","",INDEX(tBatches[[Status]],277)&amp;"")</f>
        <v/>
      </c>
      <c r="F281" s="31">
        <f>IF($A281="","",IF(N(INDEX(tBatches[[Closing Date]],277))=0,"",INDEX(tBatches[[Closing Date]],277)))</f>
        <v/>
      </c>
      <c r="G281" s="39">
        <f>IF($A281="","",INDEX(tBatches[[Age (days)]],277))</f>
        <v/>
      </c>
      <c r="H281" s="39">
        <f>IF($A281="","",N(INDEX(tBatches[[Initial Quantity]],277)))</f>
        <v/>
      </c>
      <c r="I281" s="39">
        <f>IF($A281="","",INDEX(tBatches[[Transfers In / Added]],277))</f>
        <v/>
      </c>
      <c r="J281" s="39">
        <f>IF($A281="","",INDEX(tBatches[[Deaths]],277))</f>
        <v/>
      </c>
      <c r="K281" s="39">
        <f>IF($A281="","",INDEX(tBatches[[Heads Sold]],277))</f>
        <v/>
      </c>
      <c r="L281" s="39">
        <f>IF($A281="","",INDEX(tBatches[[Transfers Out]],277))</f>
        <v/>
      </c>
      <c r="M281" s="39">
        <f>IF($A281="","",INDEX(tBatches[[Current Quantity]],277))</f>
        <v/>
      </c>
      <c r="N281" s="40">
        <f>IF($A281="","",IFERROR(J281/(H281+I281),0))</f>
        <v/>
      </c>
      <c r="O281" s="28">
        <f>IF($A281="","",SUMIFS(tFeedIss[[Quantity Issued in kg]],tFeedIss[[Batch ID]],$A281))</f>
        <v/>
      </c>
      <c r="P281" s="29">
        <f>IF($A281="","",SUMIFS(tFeedIss[[Total Cost]],tFeedIss[[Batch ID]],$A281))</f>
        <v/>
      </c>
      <c r="Q281" s="29">
        <f>IF($A281="","",SUMIFS(tDrugUse[[Total Cost]],tDrugUse[[Batch ID]],$A281))</f>
        <v/>
      </c>
      <c r="R281" s="29">
        <f>IF($A281="","",SUMIFS(tExp[[Amount]],tExp[[Batch ID (if applicable)]],$A281))</f>
        <v/>
      </c>
      <c r="S281" s="41">
        <f>IF($A281="","",P281+Q281+R281)</f>
        <v/>
      </c>
      <c r="T281" s="41">
        <f>IF($A281="","",SUMIFS(tSales[[Total Revenue]],tSales[[Batch ID]],$A281))</f>
        <v/>
      </c>
      <c r="U281" s="41">
        <f>IF($A281="","",T281-S281)</f>
        <v/>
      </c>
      <c r="V281" s="29">
        <f>IF($A281="","",IFERROR(S281/(H281+I281),""))</f>
        <v/>
      </c>
      <c r="W281" s="29">
        <f>IF($A281="","",IF(K281=0,"",T281/K281))</f>
        <v/>
      </c>
      <c r="X281" s="42">
        <f>IF($A281="","",IFERROR(O281/(H281+I281),""))</f>
        <v/>
      </c>
      <c r="Y281" s="43">
        <f>IF($A281="","",IF(_xlfn.MAXIFS(tProd[[Date]],tProd[[Batch ID]],$A281,tProd[[Measurement Type]],"Weighing")=0,"",IFERROR(AVERAGEIFS(tProd[[Average Weight kg]],tProd[[Batch ID]],$A281,tProd[[Measurement Type]],"Weighing",tProd[[Date]],_xlfn.MAXIFS(tProd[[Date]],tProd[[Batch ID]],$A281,tProd[[Measurement Type]],"Weighing")),"")))</f>
        <v/>
      </c>
    </row>
    <row r="282">
      <c r="A282" s="27">
        <f>IFERROR(INDEX(tBatches[[Batch ID]],278)&amp;"","")</f>
        <v/>
      </c>
      <c r="B282" s="36">
        <f>IF($A282="","",INDEX(tBatches[[Pen ID]],278)&amp;"")</f>
        <v/>
      </c>
      <c r="C282" s="36">
        <f>IF($A282="","",INDEX(tBatches[[Animal Type]],278)&amp;"")</f>
        <v/>
      </c>
      <c r="D282" s="31">
        <f>IF($A282="","",INDEX(tBatches[[Batch Start Date]],278))</f>
        <v/>
      </c>
      <c r="E282" s="36">
        <f>IF($A282="","",INDEX(tBatches[[Status]],278)&amp;"")</f>
        <v/>
      </c>
      <c r="F282" s="31">
        <f>IF($A282="","",IF(N(INDEX(tBatches[[Closing Date]],278))=0,"",INDEX(tBatches[[Closing Date]],278)))</f>
        <v/>
      </c>
      <c r="G282" s="39">
        <f>IF($A282="","",INDEX(tBatches[[Age (days)]],278))</f>
        <v/>
      </c>
      <c r="H282" s="39">
        <f>IF($A282="","",N(INDEX(tBatches[[Initial Quantity]],278)))</f>
        <v/>
      </c>
      <c r="I282" s="39">
        <f>IF($A282="","",INDEX(tBatches[[Transfers In / Added]],278))</f>
        <v/>
      </c>
      <c r="J282" s="39">
        <f>IF($A282="","",INDEX(tBatches[[Deaths]],278))</f>
        <v/>
      </c>
      <c r="K282" s="39">
        <f>IF($A282="","",INDEX(tBatches[[Heads Sold]],278))</f>
        <v/>
      </c>
      <c r="L282" s="39">
        <f>IF($A282="","",INDEX(tBatches[[Transfers Out]],278))</f>
        <v/>
      </c>
      <c r="M282" s="39">
        <f>IF($A282="","",INDEX(tBatches[[Current Quantity]],278))</f>
        <v/>
      </c>
      <c r="N282" s="40">
        <f>IF($A282="","",IFERROR(J282/(H282+I282),0))</f>
        <v/>
      </c>
      <c r="O282" s="28">
        <f>IF($A282="","",SUMIFS(tFeedIss[[Quantity Issued in kg]],tFeedIss[[Batch ID]],$A282))</f>
        <v/>
      </c>
      <c r="P282" s="29">
        <f>IF($A282="","",SUMIFS(tFeedIss[[Total Cost]],tFeedIss[[Batch ID]],$A282))</f>
        <v/>
      </c>
      <c r="Q282" s="29">
        <f>IF($A282="","",SUMIFS(tDrugUse[[Total Cost]],tDrugUse[[Batch ID]],$A282))</f>
        <v/>
      </c>
      <c r="R282" s="29">
        <f>IF($A282="","",SUMIFS(tExp[[Amount]],tExp[[Batch ID (if applicable)]],$A282))</f>
        <v/>
      </c>
      <c r="S282" s="41">
        <f>IF($A282="","",P282+Q282+R282)</f>
        <v/>
      </c>
      <c r="T282" s="41">
        <f>IF($A282="","",SUMIFS(tSales[[Total Revenue]],tSales[[Batch ID]],$A282))</f>
        <v/>
      </c>
      <c r="U282" s="41">
        <f>IF($A282="","",T282-S282)</f>
        <v/>
      </c>
      <c r="V282" s="29">
        <f>IF($A282="","",IFERROR(S282/(H282+I282),""))</f>
        <v/>
      </c>
      <c r="W282" s="29">
        <f>IF($A282="","",IF(K282=0,"",T282/K282))</f>
        <v/>
      </c>
      <c r="X282" s="42">
        <f>IF($A282="","",IFERROR(O282/(H282+I282),""))</f>
        <v/>
      </c>
      <c r="Y282" s="43">
        <f>IF($A282="","",IF(_xlfn.MAXIFS(tProd[[Date]],tProd[[Batch ID]],$A282,tProd[[Measurement Type]],"Weighing")=0,"",IFERROR(AVERAGEIFS(tProd[[Average Weight kg]],tProd[[Batch ID]],$A282,tProd[[Measurement Type]],"Weighing",tProd[[Date]],_xlfn.MAXIFS(tProd[[Date]],tProd[[Batch ID]],$A282,tProd[[Measurement Type]],"Weighing")),"")))</f>
        <v/>
      </c>
    </row>
    <row r="283">
      <c r="A283" s="27">
        <f>IFERROR(INDEX(tBatches[[Batch ID]],279)&amp;"","")</f>
        <v/>
      </c>
      <c r="B283" s="36">
        <f>IF($A283="","",INDEX(tBatches[[Pen ID]],279)&amp;"")</f>
        <v/>
      </c>
      <c r="C283" s="36">
        <f>IF($A283="","",INDEX(tBatches[[Animal Type]],279)&amp;"")</f>
        <v/>
      </c>
      <c r="D283" s="31">
        <f>IF($A283="","",INDEX(tBatches[[Batch Start Date]],279))</f>
        <v/>
      </c>
      <c r="E283" s="36">
        <f>IF($A283="","",INDEX(tBatches[[Status]],279)&amp;"")</f>
        <v/>
      </c>
      <c r="F283" s="31">
        <f>IF($A283="","",IF(N(INDEX(tBatches[[Closing Date]],279))=0,"",INDEX(tBatches[[Closing Date]],279)))</f>
        <v/>
      </c>
      <c r="G283" s="39">
        <f>IF($A283="","",INDEX(tBatches[[Age (days)]],279))</f>
        <v/>
      </c>
      <c r="H283" s="39">
        <f>IF($A283="","",N(INDEX(tBatches[[Initial Quantity]],279)))</f>
        <v/>
      </c>
      <c r="I283" s="39">
        <f>IF($A283="","",INDEX(tBatches[[Transfers In / Added]],279))</f>
        <v/>
      </c>
      <c r="J283" s="39">
        <f>IF($A283="","",INDEX(tBatches[[Deaths]],279))</f>
        <v/>
      </c>
      <c r="K283" s="39">
        <f>IF($A283="","",INDEX(tBatches[[Heads Sold]],279))</f>
        <v/>
      </c>
      <c r="L283" s="39">
        <f>IF($A283="","",INDEX(tBatches[[Transfers Out]],279))</f>
        <v/>
      </c>
      <c r="M283" s="39">
        <f>IF($A283="","",INDEX(tBatches[[Current Quantity]],279))</f>
        <v/>
      </c>
      <c r="N283" s="40">
        <f>IF($A283="","",IFERROR(J283/(H283+I283),0))</f>
        <v/>
      </c>
      <c r="O283" s="28">
        <f>IF($A283="","",SUMIFS(tFeedIss[[Quantity Issued in kg]],tFeedIss[[Batch ID]],$A283))</f>
        <v/>
      </c>
      <c r="P283" s="29">
        <f>IF($A283="","",SUMIFS(tFeedIss[[Total Cost]],tFeedIss[[Batch ID]],$A283))</f>
        <v/>
      </c>
      <c r="Q283" s="29">
        <f>IF($A283="","",SUMIFS(tDrugUse[[Total Cost]],tDrugUse[[Batch ID]],$A283))</f>
        <v/>
      </c>
      <c r="R283" s="29">
        <f>IF($A283="","",SUMIFS(tExp[[Amount]],tExp[[Batch ID (if applicable)]],$A283))</f>
        <v/>
      </c>
      <c r="S283" s="41">
        <f>IF($A283="","",P283+Q283+R283)</f>
        <v/>
      </c>
      <c r="T283" s="41">
        <f>IF($A283="","",SUMIFS(tSales[[Total Revenue]],tSales[[Batch ID]],$A283))</f>
        <v/>
      </c>
      <c r="U283" s="41">
        <f>IF($A283="","",T283-S283)</f>
        <v/>
      </c>
      <c r="V283" s="29">
        <f>IF($A283="","",IFERROR(S283/(H283+I283),""))</f>
        <v/>
      </c>
      <c r="W283" s="29">
        <f>IF($A283="","",IF(K283=0,"",T283/K283))</f>
        <v/>
      </c>
      <c r="X283" s="42">
        <f>IF($A283="","",IFERROR(O283/(H283+I283),""))</f>
        <v/>
      </c>
      <c r="Y283" s="43">
        <f>IF($A283="","",IF(_xlfn.MAXIFS(tProd[[Date]],tProd[[Batch ID]],$A283,tProd[[Measurement Type]],"Weighing")=0,"",IFERROR(AVERAGEIFS(tProd[[Average Weight kg]],tProd[[Batch ID]],$A283,tProd[[Measurement Type]],"Weighing",tProd[[Date]],_xlfn.MAXIFS(tProd[[Date]],tProd[[Batch ID]],$A283,tProd[[Measurement Type]],"Weighing")),"")))</f>
        <v/>
      </c>
    </row>
    <row r="284">
      <c r="A284" s="27">
        <f>IFERROR(INDEX(tBatches[[Batch ID]],280)&amp;"","")</f>
        <v/>
      </c>
      <c r="B284" s="36">
        <f>IF($A284="","",INDEX(tBatches[[Pen ID]],280)&amp;"")</f>
        <v/>
      </c>
      <c r="C284" s="36">
        <f>IF($A284="","",INDEX(tBatches[[Animal Type]],280)&amp;"")</f>
        <v/>
      </c>
      <c r="D284" s="31">
        <f>IF($A284="","",INDEX(tBatches[[Batch Start Date]],280))</f>
        <v/>
      </c>
      <c r="E284" s="36">
        <f>IF($A284="","",INDEX(tBatches[[Status]],280)&amp;"")</f>
        <v/>
      </c>
      <c r="F284" s="31">
        <f>IF($A284="","",IF(N(INDEX(tBatches[[Closing Date]],280))=0,"",INDEX(tBatches[[Closing Date]],280)))</f>
        <v/>
      </c>
      <c r="G284" s="39">
        <f>IF($A284="","",INDEX(tBatches[[Age (days)]],280))</f>
        <v/>
      </c>
      <c r="H284" s="39">
        <f>IF($A284="","",N(INDEX(tBatches[[Initial Quantity]],280)))</f>
        <v/>
      </c>
      <c r="I284" s="39">
        <f>IF($A284="","",INDEX(tBatches[[Transfers In / Added]],280))</f>
        <v/>
      </c>
      <c r="J284" s="39">
        <f>IF($A284="","",INDEX(tBatches[[Deaths]],280))</f>
        <v/>
      </c>
      <c r="K284" s="39">
        <f>IF($A284="","",INDEX(tBatches[[Heads Sold]],280))</f>
        <v/>
      </c>
      <c r="L284" s="39">
        <f>IF($A284="","",INDEX(tBatches[[Transfers Out]],280))</f>
        <v/>
      </c>
      <c r="M284" s="39">
        <f>IF($A284="","",INDEX(tBatches[[Current Quantity]],280))</f>
        <v/>
      </c>
      <c r="N284" s="40">
        <f>IF($A284="","",IFERROR(J284/(H284+I284),0))</f>
        <v/>
      </c>
      <c r="O284" s="28">
        <f>IF($A284="","",SUMIFS(tFeedIss[[Quantity Issued in kg]],tFeedIss[[Batch ID]],$A284))</f>
        <v/>
      </c>
      <c r="P284" s="29">
        <f>IF($A284="","",SUMIFS(tFeedIss[[Total Cost]],tFeedIss[[Batch ID]],$A284))</f>
        <v/>
      </c>
      <c r="Q284" s="29">
        <f>IF($A284="","",SUMIFS(tDrugUse[[Total Cost]],tDrugUse[[Batch ID]],$A284))</f>
        <v/>
      </c>
      <c r="R284" s="29">
        <f>IF($A284="","",SUMIFS(tExp[[Amount]],tExp[[Batch ID (if applicable)]],$A284))</f>
        <v/>
      </c>
      <c r="S284" s="41">
        <f>IF($A284="","",P284+Q284+R284)</f>
        <v/>
      </c>
      <c r="T284" s="41">
        <f>IF($A284="","",SUMIFS(tSales[[Total Revenue]],tSales[[Batch ID]],$A284))</f>
        <v/>
      </c>
      <c r="U284" s="41">
        <f>IF($A284="","",T284-S284)</f>
        <v/>
      </c>
      <c r="V284" s="29">
        <f>IF($A284="","",IFERROR(S284/(H284+I284),""))</f>
        <v/>
      </c>
      <c r="W284" s="29">
        <f>IF($A284="","",IF(K284=0,"",T284/K284))</f>
        <v/>
      </c>
      <c r="X284" s="42">
        <f>IF($A284="","",IFERROR(O284/(H284+I284),""))</f>
        <v/>
      </c>
      <c r="Y284" s="43">
        <f>IF($A284="","",IF(_xlfn.MAXIFS(tProd[[Date]],tProd[[Batch ID]],$A284,tProd[[Measurement Type]],"Weighing")=0,"",IFERROR(AVERAGEIFS(tProd[[Average Weight kg]],tProd[[Batch ID]],$A284,tProd[[Measurement Type]],"Weighing",tProd[[Date]],_xlfn.MAXIFS(tProd[[Date]],tProd[[Batch ID]],$A284,tProd[[Measurement Type]],"Weighing")),"")))</f>
        <v/>
      </c>
    </row>
    <row r="285">
      <c r="A285" s="27">
        <f>IFERROR(INDEX(tBatches[[Batch ID]],281)&amp;"","")</f>
        <v/>
      </c>
      <c r="B285" s="36">
        <f>IF($A285="","",INDEX(tBatches[[Pen ID]],281)&amp;"")</f>
        <v/>
      </c>
      <c r="C285" s="36">
        <f>IF($A285="","",INDEX(tBatches[[Animal Type]],281)&amp;"")</f>
        <v/>
      </c>
      <c r="D285" s="31">
        <f>IF($A285="","",INDEX(tBatches[[Batch Start Date]],281))</f>
        <v/>
      </c>
      <c r="E285" s="36">
        <f>IF($A285="","",INDEX(tBatches[[Status]],281)&amp;"")</f>
        <v/>
      </c>
      <c r="F285" s="31">
        <f>IF($A285="","",IF(N(INDEX(tBatches[[Closing Date]],281))=0,"",INDEX(tBatches[[Closing Date]],281)))</f>
        <v/>
      </c>
      <c r="G285" s="39">
        <f>IF($A285="","",INDEX(tBatches[[Age (days)]],281))</f>
        <v/>
      </c>
      <c r="H285" s="39">
        <f>IF($A285="","",N(INDEX(tBatches[[Initial Quantity]],281)))</f>
        <v/>
      </c>
      <c r="I285" s="39">
        <f>IF($A285="","",INDEX(tBatches[[Transfers In / Added]],281))</f>
        <v/>
      </c>
      <c r="J285" s="39">
        <f>IF($A285="","",INDEX(tBatches[[Deaths]],281))</f>
        <v/>
      </c>
      <c r="K285" s="39">
        <f>IF($A285="","",INDEX(tBatches[[Heads Sold]],281))</f>
        <v/>
      </c>
      <c r="L285" s="39">
        <f>IF($A285="","",INDEX(tBatches[[Transfers Out]],281))</f>
        <v/>
      </c>
      <c r="M285" s="39">
        <f>IF($A285="","",INDEX(tBatches[[Current Quantity]],281))</f>
        <v/>
      </c>
      <c r="N285" s="40">
        <f>IF($A285="","",IFERROR(J285/(H285+I285),0))</f>
        <v/>
      </c>
      <c r="O285" s="28">
        <f>IF($A285="","",SUMIFS(tFeedIss[[Quantity Issued in kg]],tFeedIss[[Batch ID]],$A285))</f>
        <v/>
      </c>
      <c r="P285" s="29">
        <f>IF($A285="","",SUMIFS(tFeedIss[[Total Cost]],tFeedIss[[Batch ID]],$A285))</f>
        <v/>
      </c>
      <c r="Q285" s="29">
        <f>IF($A285="","",SUMIFS(tDrugUse[[Total Cost]],tDrugUse[[Batch ID]],$A285))</f>
        <v/>
      </c>
      <c r="R285" s="29">
        <f>IF($A285="","",SUMIFS(tExp[[Amount]],tExp[[Batch ID (if applicable)]],$A285))</f>
        <v/>
      </c>
      <c r="S285" s="41">
        <f>IF($A285="","",P285+Q285+R285)</f>
        <v/>
      </c>
      <c r="T285" s="41">
        <f>IF($A285="","",SUMIFS(tSales[[Total Revenue]],tSales[[Batch ID]],$A285))</f>
        <v/>
      </c>
      <c r="U285" s="41">
        <f>IF($A285="","",T285-S285)</f>
        <v/>
      </c>
      <c r="V285" s="29">
        <f>IF($A285="","",IFERROR(S285/(H285+I285),""))</f>
        <v/>
      </c>
      <c r="W285" s="29">
        <f>IF($A285="","",IF(K285=0,"",T285/K285))</f>
        <v/>
      </c>
      <c r="X285" s="42">
        <f>IF($A285="","",IFERROR(O285/(H285+I285),""))</f>
        <v/>
      </c>
      <c r="Y285" s="43">
        <f>IF($A285="","",IF(_xlfn.MAXIFS(tProd[[Date]],tProd[[Batch ID]],$A285,tProd[[Measurement Type]],"Weighing")=0,"",IFERROR(AVERAGEIFS(tProd[[Average Weight kg]],tProd[[Batch ID]],$A285,tProd[[Measurement Type]],"Weighing",tProd[[Date]],_xlfn.MAXIFS(tProd[[Date]],tProd[[Batch ID]],$A285,tProd[[Measurement Type]],"Weighing")),"")))</f>
        <v/>
      </c>
    </row>
    <row r="286">
      <c r="A286" s="27">
        <f>IFERROR(INDEX(tBatches[[Batch ID]],282)&amp;"","")</f>
        <v/>
      </c>
      <c r="B286" s="36">
        <f>IF($A286="","",INDEX(tBatches[[Pen ID]],282)&amp;"")</f>
        <v/>
      </c>
      <c r="C286" s="36">
        <f>IF($A286="","",INDEX(tBatches[[Animal Type]],282)&amp;"")</f>
        <v/>
      </c>
      <c r="D286" s="31">
        <f>IF($A286="","",INDEX(tBatches[[Batch Start Date]],282))</f>
        <v/>
      </c>
      <c r="E286" s="36">
        <f>IF($A286="","",INDEX(tBatches[[Status]],282)&amp;"")</f>
        <v/>
      </c>
      <c r="F286" s="31">
        <f>IF($A286="","",IF(N(INDEX(tBatches[[Closing Date]],282))=0,"",INDEX(tBatches[[Closing Date]],282)))</f>
        <v/>
      </c>
      <c r="G286" s="39">
        <f>IF($A286="","",INDEX(tBatches[[Age (days)]],282))</f>
        <v/>
      </c>
      <c r="H286" s="39">
        <f>IF($A286="","",N(INDEX(tBatches[[Initial Quantity]],282)))</f>
        <v/>
      </c>
      <c r="I286" s="39">
        <f>IF($A286="","",INDEX(tBatches[[Transfers In / Added]],282))</f>
        <v/>
      </c>
      <c r="J286" s="39">
        <f>IF($A286="","",INDEX(tBatches[[Deaths]],282))</f>
        <v/>
      </c>
      <c r="K286" s="39">
        <f>IF($A286="","",INDEX(tBatches[[Heads Sold]],282))</f>
        <v/>
      </c>
      <c r="L286" s="39">
        <f>IF($A286="","",INDEX(tBatches[[Transfers Out]],282))</f>
        <v/>
      </c>
      <c r="M286" s="39">
        <f>IF($A286="","",INDEX(tBatches[[Current Quantity]],282))</f>
        <v/>
      </c>
      <c r="N286" s="40">
        <f>IF($A286="","",IFERROR(J286/(H286+I286),0))</f>
        <v/>
      </c>
      <c r="O286" s="28">
        <f>IF($A286="","",SUMIFS(tFeedIss[[Quantity Issued in kg]],tFeedIss[[Batch ID]],$A286))</f>
        <v/>
      </c>
      <c r="P286" s="29">
        <f>IF($A286="","",SUMIFS(tFeedIss[[Total Cost]],tFeedIss[[Batch ID]],$A286))</f>
        <v/>
      </c>
      <c r="Q286" s="29">
        <f>IF($A286="","",SUMIFS(tDrugUse[[Total Cost]],tDrugUse[[Batch ID]],$A286))</f>
        <v/>
      </c>
      <c r="R286" s="29">
        <f>IF($A286="","",SUMIFS(tExp[[Amount]],tExp[[Batch ID (if applicable)]],$A286))</f>
        <v/>
      </c>
      <c r="S286" s="41">
        <f>IF($A286="","",P286+Q286+R286)</f>
        <v/>
      </c>
      <c r="T286" s="41">
        <f>IF($A286="","",SUMIFS(tSales[[Total Revenue]],tSales[[Batch ID]],$A286))</f>
        <v/>
      </c>
      <c r="U286" s="41">
        <f>IF($A286="","",T286-S286)</f>
        <v/>
      </c>
      <c r="V286" s="29">
        <f>IF($A286="","",IFERROR(S286/(H286+I286),""))</f>
        <v/>
      </c>
      <c r="W286" s="29">
        <f>IF($A286="","",IF(K286=0,"",T286/K286))</f>
        <v/>
      </c>
      <c r="X286" s="42">
        <f>IF($A286="","",IFERROR(O286/(H286+I286),""))</f>
        <v/>
      </c>
      <c r="Y286" s="43">
        <f>IF($A286="","",IF(_xlfn.MAXIFS(tProd[[Date]],tProd[[Batch ID]],$A286,tProd[[Measurement Type]],"Weighing")=0,"",IFERROR(AVERAGEIFS(tProd[[Average Weight kg]],tProd[[Batch ID]],$A286,tProd[[Measurement Type]],"Weighing",tProd[[Date]],_xlfn.MAXIFS(tProd[[Date]],tProd[[Batch ID]],$A286,tProd[[Measurement Type]],"Weighing")),"")))</f>
        <v/>
      </c>
    </row>
    <row r="287">
      <c r="A287" s="27">
        <f>IFERROR(INDEX(tBatches[[Batch ID]],283)&amp;"","")</f>
        <v/>
      </c>
      <c r="B287" s="36">
        <f>IF($A287="","",INDEX(tBatches[[Pen ID]],283)&amp;"")</f>
        <v/>
      </c>
      <c r="C287" s="36">
        <f>IF($A287="","",INDEX(tBatches[[Animal Type]],283)&amp;"")</f>
        <v/>
      </c>
      <c r="D287" s="31">
        <f>IF($A287="","",INDEX(tBatches[[Batch Start Date]],283))</f>
        <v/>
      </c>
      <c r="E287" s="36">
        <f>IF($A287="","",INDEX(tBatches[[Status]],283)&amp;"")</f>
        <v/>
      </c>
      <c r="F287" s="31">
        <f>IF($A287="","",IF(N(INDEX(tBatches[[Closing Date]],283))=0,"",INDEX(tBatches[[Closing Date]],283)))</f>
        <v/>
      </c>
      <c r="G287" s="39">
        <f>IF($A287="","",INDEX(tBatches[[Age (days)]],283))</f>
        <v/>
      </c>
      <c r="H287" s="39">
        <f>IF($A287="","",N(INDEX(tBatches[[Initial Quantity]],283)))</f>
        <v/>
      </c>
      <c r="I287" s="39">
        <f>IF($A287="","",INDEX(tBatches[[Transfers In / Added]],283))</f>
        <v/>
      </c>
      <c r="J287" s="39">
        <f>IF($A287="","",INDEX(tBatches[[Deaths]],283))</f>
        <v/>
      </c>
      <c r="K287" s="39">
        <f>IF($A287="","",INDEX(tBatches[[Heads Sold]],283))</f>
        <v/>
      </c>
      <c r="L287" s="39">
        <f>IF($A287="","",INDEX(tBatches[[Transfers Out]],283))</f>
        <v/>
      </c>
      <c r="M287" s="39">
        <f>IF($A287="","",INDEX(tBatches[[Current Quantity]],283))</f>
        <v/>
      </c>
      <c r="N287" s="40">
        <f>IF($A287="","",IFERROR(J287/(H287+I287),0))</f>
        <v/>
      </c>
      <c r="O287" s="28">
        <f>IF($A287="","",SUMIFS(tFeedIss[[Quantity Issued in kg]],tFeedIss[[Batch ID]],$A287))</f>
        <v/>
      </c>
      <c r="P287" s="29">
        <f>IF($A287="","",SUMIFS(tFeedIss[[Total Cost]],tFeedIss[[Batch ID]],$A287))</f>
        <v/>
      </c>
      <c r="Q287" s="29">
        <f>IF($A287="","",SUMIFS(tDrugUse[[Total Cost]],tDrugUse[[Batch ID]],$A287))</f>
        <v/>
      </c>
      <c r="R287" s="29">
        <f>IF($A287="","",SUMIFS(tExp[[Amount]],tExp[[Batch ID (if applicable)]],$A287))</f>
        <v/>
      </c>
      <c r="S287" s="41">
        <f>IF($A287="","",P287+Q287+R287)</f>
        <v/>
      </c>
      <c r="T287" s="41">
        <f>IF($A287="","",SUMIFS(tSales[[Total Revenue]],tSales[[Batch ID]],$A287))</f>
        <v/>
      </c>
      <c r="U287" s="41">
        <f>IF($A287="","",T287-S287)</f>
        <v/>
      </c>
      <c r="V287" s="29">
        <f>IF($A287="","",IFERROR(S287/(H287+I287),""))</f>
        <v/>
      </c>
      <c r="W287" s="29">
        <f>IF($A287="","",IF(K287=0,"",T287/K287))</f>
        <v/>
      </c>
      <c r="X287" s="42">
        <f>IF($A287="","",IFERROR(O287/(H287+I287),""))</f>
        <v/>
      </c>
      <c r="Y287" s="43">
        <f>IF($A287="","",IF(_xlfn.MAXIFS(tProd[[Date]],tProd[[Batch ID]],$A287,tProd[[Measurement Type]],"Weighing")=0,"",IFERROR(AVERAGEIFS(tProd[[Average Weight kg]],tProd[[Batch ID]],$A287,tProd[[Measurement Type]],"Weighing",tProd[[Date]],_xlfn.MAXIFS(tProd[[Date]],tProd[[Batch ID]],$A287,tProd[[Measurement Type]],"Weighing")),"")))</f>
        <v/>
      </c>
    </row>
    <row r="288">
      <c r="A288" s="27">
        <f>IFERROR(INDEX(tBatches[[Batch ID]],284)&amp;"","")</f>
        <v/>
      </c>
      <c r="B288" s="36">
        <f>IF($A288="","",INDEX(tBatches[[Pen ID]],284)&amp;"")</f>
        <v/>
      </c>
      <c r="C288" s="36">
        <f>IF($A288="","",INDEX(tBatches[[Animal Type]],284)&amp;"")</f>
        <v/>
      </c>
      <c r="D288" s="31">
        <f>IF($A288="","",INDEX(tBatches[[Batch Start Date]],284))</f>
        <v/>
      </c>
      <c r="E288" s="36">
        <f>IF($A288="","",INDEX(tBatches[[Status]],284)&amp;"")</f>
        <v/>
      </c>
      <c r="F288" s="31">
        <f>IF($A288="","",IF(N(INDEX(tBatches[[Closing Date]],284))=0,"",INDEX(tBatches[[Closing Date]],284)))</f>
        <v/>
      </c>
      <c r="G288" s="39">
        <f>IF($A288="","",INDEX(tBatches[[Age (days)]],284))</f>
        <v/>
      </c>
      <c r="H288" s="39">
        <f>IF($A288="","",N(INDEX(tBatches[[Initial Quantity]],284)))</f>
        <v/>
      </c>
      <c r="I288" s="39">
        <f>IF($A288="","",INDEX(tBatches[[Transfers In / Added]],284))</f>
        <v/>
      </c>
      <c r="J288" s="39">
        <f>IF($A288="","",INDEX(tBatches[[Deaths]],284))</f>
        <v/>
      </c>
      <c r="K288" s="39">
        <f>IF($A288="","",INDEX(tBatches[[Heads Sold]],284))</f>
        <v/>
      </c>
      <c r="L288" s="39">
        <f>IF($A288="","",INDEX(tBatches[[Transfers Out]],284))</f>
        <v/>
      </c>
      <c r="M288" s="39">
        <f>IF($A288="","",INDEX(tBatches[[Current Quantity]],284))</f>
        <v/>
      </c>
      <c r="N288" s="40">
        <f>IF($A288="","",IFERROR(J288/(H288+I288),0))</f>
        <v/>
      </c>
      <c r="O288" s="28">
        <f>IF($A288="","",SUMIFS(tFeedIss[[Quantity Issued in kg]],tFeedIss[[Batch ID]],$A288))</f>
        <v/>
      </c>
      <c r="P288" s="29">
        <f>IF($A288="","",SUMIFS(tFeedIss[[Total Cost]],tFeedIss[[Batch ID]],$A288))</f>
        <v/>
      </c>
      <c r="Q288" s="29">
        <f>IF($A288="","",SUMIFS(tDrugUse[[Total Cost]],tDrugUse[[Batch ID]],$A288))</f>
        <v/>
      </c>
      <c r="R288" s="29">
        <f>IF($A288="","",SUMIFS(tExp[[Amount]],tExp[[Batch ID (if applicable)]],$A288))</f>
        <v/>
      </c>
      <c r="S288" s="41">
        <f>IF($A288="","",P288+Q288+R288)</f>
        <v/>
      </c>
      <c r="T288" s="41">
        <f>IF($A288="","",SUMIFS(tSales[[Total Revenue]],tSales[[Batch ID]],$A288))</f>
        <v/>
      </c>
      <c r="U288" s="41">
        <f>IF($A288="","",T288-S288)</f>
        <v/>
      </c>
      <c r="V288" s="29">
        <f>IF($A288="","",IFERROR(S288/(H288+I288),""))</f>
        <v/>
      </c>
      <c r="W288" s="29">
        <f>IF($A288="","",IF(K288=0,"",T288/K288))</f>
        <v/>
      </c>
      <c r="X288" s="42">
        <f>IF($A288="","",IFERROR(O288/(H288+I288),""))</f>
        <v/>
      </c>
      <c r="Y288" s="43">
        <f>IF($A288="","",IF(_xlfn.MAXIFS(tProd[[Date]],tProd[[Batch ID]],$A288,tProd[[Measurement Type]],"Weighing")=0,"",IFERROR(AVERAGEIFS(tProd[[Average Weight kg]],tProd[[Batch ID]],$A288,tProd[[Measurement Type]],"Weighing",tProd[[Date]],_xlfn.MAXIFS(tProd[[Date]],tProd[[Batch ID]],$A288,tProd[[Measurement Type]],"Weighing")),"")))</f>
        <v/>
      </c>
    </row>
    <row r="289">
      <c r="A289" s="27">
        <f>IFERROR(INDEX(tBatches[[Batch ID]],285)&amp;"","")</f>
        <v/>
      </c>
      <c r="B289" s="36">
        <f>IF($A289="","",INDEX(tBatches[[Pen ID]],285)&amp;"")</f>
        <v/>
      </c>
      <c r="C289" s="36">
        <f>IF($A289="","",INDEX(tBatches[[Animal Type]],285)&amp;"")</f>
        <v/>
      </c>
      <c r="D289" s="31">
        <f>IF($A289="","",INDEX(tBatches[[Batch Start Date]],285))</f>
        <v/>
      </c>
      <c r="E289" s="36">
        <f>IF($A289="","",INDEX(tBatches[[Status]],285)&amp;"")</f>
        <v/>
      </c>
      <c r="F289" s="31">
        <f>IF($A289="","",IF(N(INDEX(tBatches[[Closing Date]],285))=0,"",INDEX(tBatches[[Closing Date]],285)))</f>
        <v/>
      </c>
      <c r="G289" s="39">
        <f>IF($A289="","",INDEX(tBatches[[Age (days)]],285))</f>
        <v/>
      </c>
      <c r="H289" s="39">
        <f>IF($A289="","",N(INDEX(tBatches[[Initial Quantity]],285)))</f>
        <v/>
      </c>
      <c r="I289" s="39">
        <f>IF($A289="","",INDEX(tBatches[[Transfers In / Added]],285))</f>
        <v/>
      </c>
      <c r="J289" s="39">
        <f>IF($A289="","",INDEX(tBatches[[Deaths]],285))</f>
        <v/>
      </c>
      <c r="K289" s="39">
        <f>IF($A289="","",INDEX(tBatches[[Heads Sold]],285))</f>
        <v/>
      </c>
      <c r="L289" s="39">
        <f>IF($A289="","",INDEX(tBatches[[Transfers Out]],285))</f>
        <v/>
      </c>
      <c r="M289" s="39">
        <f>IF($A289="","",INDEX(tBatches[[Current Quantity]],285))</f>
        <v/>
      </c>
      <c r="N289" s="40">
        <f>IF($A289="","",IFERROR(J289/(H289+I289),0))</f>
        <v/>
      </c>
      <c r="O289" s="28">
        <f>IF($A289="","",SUMIFS(tFeedIss[[Quantity Issued in kg]],tFeedIss[[Batch ID]],$A289))</f>
        <v/>
      </c>
      <c r="P289" s="29">
        <f>IF($A289="","",SUMIFS(tFeedIss[[Total Cost]],tFeedIss[[Batch ID]],$A289))</f>
        <v/>
      </c>
      <c r="Q289" s="29">
        <f>IF($A289="","",SUMIFS(tDrugUse[[Total Cost]],tDrugUse[[Batch ID]],$A289))</f>
        <v/>
      </c>
      <c r="R289" s="29">
        <f>IF($A289="","",SUMIFS(tExp[[Amount]],tExp[[Batch ID (if applicable)]],$A289))</f>
        <v/>
      </c>
      <c r="S289" s="41">
        <f>IF($A289="","",P289+Q289+R289)</f>
        <v/>
      </c>
      <c r="T289" s="41">
        <f>IF($A289="","",SUMIFS(tSales[[Total Revenue]],tSales[[Batch ID]],$A289))</f>
        <v/>
      </c>
      <c r="U289" s="41">
        <f>IF($A289="","",T289-S289)</f>
        <v/>
      </c>
      <c r="V289" s="29">
        <f>IF($A289="","",IFERROR(S289/(H289+I289),""))</f>
        <v/>
      </c>
      <c r="W289" s="29">
        <f>IF($A289="","",IF(K289=0,"",T289/K289))</f>
        <v/>
      </c>
      <c r="X289" s="42">
        <f>IF($A289="","",IFERROR(O289/(H289+I289),""))</f>
        <v/>
      </c>
      <c r="Y289" s="43">
        <f>IF($A289="","",IF(_xlfn.MAXIFS(tProd[[Date]],tProd[[Batch ID]],$A289,tProd[[Measurement Type]],"Weighing")=0,"",IFERROR(AVERAGEIFS(tProd[[Average Weight kg]],tProd[[Batch ID]],$A289,tProd[[Measurement Type]],"Weighing",tProd[[Date]],_xlfn.MAXIFS(tProd[[Date]],tProd[[Batch ID]],$A289,tProd[[Measurement Type]],"Weighing")),"")))</f>
        <v/>
      </c>
    </row>
    <row r="290">
      <c r="A290" s="27">
        <f>IFERROR(INDEX(tBatches[[Batch ID]],286)&amp;"","")</f>
        <v/>
      </c>
      <c r="B290" s="36">
        <f>IF($A290="","",INDEX(tBatches[[Pen ID]],286)&amp;"")</f>
        <v/>
      </c>
      <c r="C290" s="36">
        <f>IF($A290="","",INDEX(tBatches[[Animal Type]],286)&amp;"")</f>
        <v/>
      </c>
      <c r="D290" s="31">
        <f>IF($A290="","",INDEX(tBatches[[Batch Start Date]],286))</f>
        <v/>
      </c>
      <c r="E290" s="36">
        <f>IF($A290="","",INDEX(tBatches[[Status]],286)&amp;"")</f>
        <v/>
      </c>
      <c r="F290" s="31">
        <f>IF($A290="","",IF(N(INDEX(tBatches[[Closing Date]],286))=0,"",INDEX(tBatches[[Closing Date]],286)))</f>
        <v/>
      </c>
      <c r="G290" s="39">
        <f>IF($A290="","",INDEX(tBatches[[Age (days)]],286))</f>
        <v/>
      </c>
      <c r="H290" s="39">
        <f>IF($A290="","",N(INDEX(tBatches[[Initial Quantity]],286)))</f>
        <v/>
      </c>
      <c r="I290" s="39">
        <f>IF($A290="","",INDEX(tBatches[[Transfers In / Added]],286))</f>
        <v/>
      </c>
      <c r="J290" s="39">
        <f>IF($A290="","",INDEX(tBatches[[Deaths]],286))</f>
        <v/>
      </c>
      <c r="K290" s="39">
        <f>IF($A290="","",INDEX(tBatches[[Heads Sold]],286))</f>
        <v/>
      </c>
      <c r="L290" s="39">
        <f>IF($A290="","",INDEX(tBatches[[Transfers Out]],286))</f>
        <v/>
      </c>
      <c r="M290" s="39">
        <f>IF($A290="","",INDEX(tBatches[[Current Quantity]],286))</f>
        <v/>
      </c>
      <c r="N290" s="40">
        <f>IF($A290="","",IFERROR(J290/(H290+I290),0))</f>
        <v/>
      </c>
      <c r="O290" s="28">
        <f>IF($A290="","",SUMIFS(tFeedIss[[Quantity Issued in kg]],tFeedIss[[Batch ID]],$A290))</f>
        <v/>
      </c>
      <c r="P290" s="29">
        <f>IF($A290="","",SUMIFS(tFeedIss[[Total Cost]],tFeedIss[[Batch ID]],$A290))</f>
        <v/>
      </c>
      <c r="Q290" s="29">
        <f>IF($A290="","",SUMIFS(tDrugUse[[Total Cost]],tDrugUse[[Batch ID]],$A290))</f>
        <v/>
      </c>
      <c r="R290" s="29">
        <f>IF($A290="","",SUMIFS(tExp[[Amount]],tExp[[Batch ID (if applicable)]],$A290))</f>
        <v/>
      </c>
      <c r="S290" s="41">
        <f>IF($A290="","",P290+Q290+R290)</f>
        <v/>
      </c>
      <c r="T290" s="41">
        <f>IF($A290="","",SUMIFS(tSales[[Total Revenue]],tSales[[Batch ID]],$A290))</f>
        <v/>
      </c>
      <c r="U290" s="41">
        <f>IF($A290="","",T290-S290)</f>
        <v/>
      </c>
      <c r="V290" s="29">
        <f>IF($A290="","",IFERROR(S290/(H290+I290),""))</f>
        <v/>
      </c>
      <c r="W290" s="29">
        <f>IF($A290="","",IF(K290=0,"",T290/K290))</f>
        <v/>
      </c>
      <c r="X290" s="42">
        <f>IF($A290="","",IFERROR(O290/(H290+I290),""))</f>
        <v/>
      </c>
      <c r="Y290" s="43">
        <f>IF($A290="","",IF(_xlfn.MAXIFS(tProd[[Date]],tProd[[Batch ID]],$A290,tProd[[Measurement Type]],"Weighing")=0,"",IFERROR(AVERAGEIFS(tProd[[Average Weight kg]],tProd[[Batch ID]],$A290,tProd[[Measurement Type]],"Weighing",tProd[[Date]],_xlfn.MAXIFS(tProd[[Date]],tProd[[Batch ID]],$A290,tProd[[Measurement Type]],"Weighing")),"")))</f>
        <v/>
      </c>
    </row>
    <row r="291">
      <c r="A291" s="27">
        <f>IFERROR(INDEX(tBatches[[Batch ID]],287)&amp;"","")</f>
        <v/>
      </c>
      <c r="B291" s="36">
        <f>IF($A291="","",INDEX(tBatches[[Pen ID]],287)&amp;"")</f>
        <v/>
      </c>
      <c r="C291" s="36">
        <f>IF($A291="","",INDEX(tBatches[[Animal Type]],287)&amp;"")</f>
        <v/>
      </c>
      <c r="D291" s="31">
        <f>IF($A291="","",INDEX(tBatches[[Batch Start Date]],287))</f>
        <v/>
      </c>
      <c r="E291" s="36">
        <f>IF($A291="","",INDEX(tBatches[[Status]],287)&amp;"")</f>
        <v/>
      </c>
      <c r="F291" s="31">
        <f>IF($A291="","",IF(N(INDEX(tBatches[[Closing Date]],287))=0,"",INDEX(tBatches[[Closing Date]],287)))</f>
        <v/>
      </c>
      <c r="G291" s="39">
        <f>IF($A291="","",INDEX(tBatches[[Age (days)]],287))</f>
        <v/>
      </c>
      <c r="H291" s="39">
        <f>IF($A291="","",N(INDEX(tBatches[[Initial Quantity]],287)))</f>
        <v/>
      </c>
      <c r="I291" s="39">
        <f>IF($A291="","",INDEX(tBatches[[Transfers In / Added]],287))</f>
        <v/>
      </c>
      <c r="J291" s="39">
        <f>IF($A291="","",INDEX(tBatches[[Deaths]],287))</f>
        <v/>
      </c>
      <c r="K291" s="39">
        <f>IF($A291="","",INDEX(tBatches[[Heads Sold]],287))</f>
        <v/>
      </c>
      <c r="L291" s="39">
        <f>IF($A291="","",INDEX(tBatches[[Transfers Out]],287))</f>
        <v/>
      </c>
      <c r="M291" s="39">
        <f>IF($A291="","",INDEX(tBatches[[Current Quantity]],287))</f>
        <v/>
      </c>
      <c r="N291" s="40">
        <f>IF($A291="","",IFERROR(J291/(H291+I291),0))</f>
        <v/>
      </c>
      <c r="O291" s="28">
        <f>IF($A291="","",SUMIFS(tFeedIss[[Quantity Issued in kg]],tFeedIss[[Batch ID]],$A291))</f>
        <v/>
      </c>
      <c r="P291" s="29">
        <f>IF($A291="","",SUMIFS(tFeedIss[[Total Cost]],tFeedIss[[Batch ID]],$A291))</f>
        <v/>
      </c>
      <c r="Q291" s="29">
        <f>IF($A291="","",SUMIFS(tDrugUse[[Total Cost]],tDrugUse[[Batch ID]],$A291))</f>
        <v/>
      </c>
      <c r="R291" s="29">
        <f>IF($A291="","",SUMIFS(tExp[[Amount]],tExp[[Batch ID (if applicable)]],$A291))</f>
        <v/>
      </c>
      <c r="S291" s="41">
        <f>IF($A291="","",P291+Q291+R291)</f>
        <v/>
      </c>
      <c r="T291" s="41">
        <f>IF($A291="","",SUMIFS(tSales[[Total Revenue]],tSales[[Batch ID]],$A291))</f>
        <v/>
      </c>
      <c r="U291" s="41">
        <f>IF($A291="","",T291-S291)</f>
        <v/>
      </c>
      <c r="V291" s="29">
        <f>IF($A291="","",IFERROR(S291/(H291+I291),""))</f>
        <v/>
      </c>
      <c r="W291" s="29">
        <f>IF($A291="","",IF(K291=0,"",T291/K291))</f>
        <v/>
      </c>
      <c r="X291" s="42">
        <f>IF($A291="","",IFERROR(O291/(H291+I291),""))</f>
        <v/>
      </c>
      <c r="Y291" s="43">
        <f>IF($A291="","",IF(_xlfn.MAXIFS(tProd[[Date]],tProd[[Batch ID]],$A291,tProd[[Measurement Type]],"Weighing")=0,"",IFERROR(AVERAGEIFS(tProd[[Average Weight kg]],tProd[[Batch ID]],$A291,tProd[[Measurement Type]],"Weighing",tProd[[Date]],_xlfn.MAXIFS(tProd[[Date]],tProd[[Batch ID]],$A291,tProd[[Measurement Type]],"Weighing")),"")))</f>
        <v/>
      </c>
    </row>
    <row r="292">
      <c r="A292" s="27">
        <f>IFERROR(INDEX(tBatches[[Batch ID]],288)&amp;"","")</f>
        <v/>
      </c>
      <c r="B292" s="36">
        <f>IF($A292="","",INDEX(tBatches[[Pen ID]],288)&amp;"")</f>
        <v/>
      </c>
      <c r="C292" s="36">
        <f>IF($A292="","",INDEX(tBatches[[Animal Type]],288)&amp;"")</f>
        <v/>
      </c>
      <c r="D292" s="31">
        <f>IF($A292="","",INDEX(tBatches[[Batch Start Date]],288))</f>
        <v/>
      </c>
      <c r="E292" s="36">
        <f>IF($A292="","",INDEX(tBatches[[Status]],288)&amp;"")</f>
        <v/>
      </c>
      <c r="F292" s="31">
        <f>IF($A292="","",IF(N(INDEX(tBatches[[Closing Date]],288))=0,"",INDEX(tBatches[[Closing Date]],288)))</f>
        <v/>
      </c>
      <c r="G292" s="39">
        <f>IF($A292="","",INDEX(tBatches[[Age (days)]],288))</f>
        <v/>
      </c>
      <c r="H292" s="39">
        <f>IF($A292="","",N(INDEX(tBatches[[Initial Quantity]],288)))</f>
        <v/>
      </c>
      <c r="I292" s="39">
        <f>IF($A292="","",INDEX(tBatches[[Transfers In / Added]],288))</f>
        <v/>
      </c>
      <c r="J292" s="39">
        <f>IF($A292="","",INDEX(tBatches[[Deaths]],288))</f>
        <v/>
      </c>
      <c r="K292" s="39">
        <f>IF($A292="","",INDEX(tBatches[[Heads Sold]],288))</f>
        <v/>
      </c>
      <c r="L292" s="39">
        <f>IF($A292="","",INDEX(tBatches[[Transfers Out]],288))</f>
        <v/>
      </c>
      <c r="M292" s="39">
        <f>IF($A292="","",INDEX(tBatches[[Current Quantity]],288))</f>
        <v/>
      </c>
      <c r="N292" s="40">
        <f>IF($A292="","",IFERROR(J292/(H292+I292),0))</f>
        <v/>
      </c>
      <c r="O292" s="28">
        <f>IF($A292="","",SUMIFS(tFeedIss[[Quantity Issued in kg]],tFeedIss[[Batch ID]],$A292))</f>
        <v/>
      </c>
      <c r="P292" s="29">
        <f>IF($A292="","",SUMIFS(tFeedIss[[Total Cost]],tFeedIss[[Batch ID]],$A292))</f>
        <v/>
      </c>
      <c r="Q292" s="29">
        <f>IF($A292="","",SUMIFS(tDrugUse[[Total Cost]],tDrugUse[[Batch ID]],$A292))</f>
        <v/>
      </c>
      <c r="R292" s="29">
        <f>IF($A292="","",SUMIFS(tExp[[Amount]],tExp[[Batch ID (if applicable)]],$A292))</f>
        <v/>
      </c>
      <c r="S292" s="41">
        <f>IF($A292="","",P292+Q292+R292)</f>
        <v/>
      </c>
      <c r="T292" s="41">
        <f>IF($A292="","",SUMIFS(tSales[[Total Revenue]],tSales[[Batch ID]],$A292))</f>
        <v/>
      </c>
      <c r="U292" s="41">
        <f>IF($A292="","",T292-S292)</f>
        <v/>
      </c>
      <c r="V292" s="29">
        <f>IF($A292="","",IFERROR(S292/(H292+I292),""))</f>
        <v/>
      </c>
      <c r="W292" s="29">
        <f>IF($A292="","",IF(K292=0,"",T292/K292))</f>
        <v/>
      </c>
      <c r="X292" s="42">
        <f>IF($A292="","",IFERROR(O292/(H292+I292),""))</f>
        <v/>
      </c>
      <c r="Y292" s="43">
        <f>IF($A292="","",IF(_xlfn.MAXIFS(tProd[[Date]],tProd[[Batch ID]],$A292,tProd[[Measurement Type]],"Weighing")=0,"",IFERROR(AVERAGEIFS(tProd[[Average Weight kg]],tProd[[Batch ID]],$A292,tProd[[Measurement Type]],"Weighing",tProd[[Date]],_xlfn.MAXIFS(tProd[[Date]],tProd[[Batch ID]],$A292,tProd[[Measurement Type]],"Weighing")),"")))</f>
        <v/>
      </c>
    </row>
    <row r="293">
      <c r="A293" s="27">
        <f>IFERROR(INDEX(tBatches[[Batch ID]],289)&amp;"","")</f>
        <v/>
      </c>
      <c r="B293" s="36">
        <f>IF($A293="","",INDEX(tBatches[[Pen ID]],289)&amp;"")</f>
        <v/>
      </c>
      <c r="C293" s="36">
        <f>IF($A293="","",INDEX(tBatches[[Animal Type]],289)&amp;"")</f>
        <v/>
      </c>
      <c r="D293" s="31">
        <f>IF($A293="","",INDEX(tBatches[[Batch Start Date]],289))</f>
        <v/>
      </c>
      <c r="E293" s="36">
        <f>IF($A293="","",INDEX(tBatches[[Status]],289)&amp;"")</f>
        <v/>
      </c>
      <c r="F293" s="31">
        <f>IF($A293="","",IF(N(INDEX(tBatches[[Closing Date]],289))=0,"",INDEX(tBatches[[Closing Date]],289)))</f>
        <v/>
      </c>
      <c r="G293" s="39">
        <f>IF($A293="","",INDEX(tBatches[[Age (days)]],289))</f>
        <v/>
      </c>
      <c r="H293" s="39">
        <f>IF($A293="","",N(INDEX(tBatches[[Initial Quantity]],289)))</f>
        <v/>
      </c>
      <c r="I293" s="39">
        <f>IF($A293="","",INDEX(tBatches[[Transfers In / Added]],289))</f>
        <v/>
      </c>
      <c r="J293" s="39">
        <f>IF($A293="","",INDEX(tBatches[[Deaths]],289))</f>
        <v/>
      </c>
      <c r="K293" s="39">
        <f>IF($A293="","",INDEX(tBatches[[Heads Sold]],289))</f>
        <v/>
      </c>
      <c r="L293" s="39">
        <f>IF($A293="","",INDEX(tBatches[[Transfers Out]],289))</f>
        <v/>
      </c>
      <c r="M293" s="39">
        <f>IF($A293="","",INDEX(tBatches[[Current Quantity]],289))</f>
        <v/>
      </c>
      <c r="N293" s="40">
        <f>IF($A293="","",IFERROR(J293/(H293+I293),0))</f>
        <v/>
      </c>
      <c r="O293" s="28">
        <f>IF($A293="","",SUMIFS(tFeedIss[[Quantity Issued in kg]],tFeedIss[[Batch ID]],$A293))</f>
        <v/>
      </c>
      <c r="P293" s="29">
        <f>IF($A293="","",SUMIFS(tFeedIss[[Total Cost]],tFeedIss[[Batch ID]],$A293))</f>
        <v/>
      </c>
      <c r="Q293" s="29">
        <f>IF($A293="","",SUMIFS(tDrugUse[[Total Cost]],tDrugUse[[Batch ID]],$A293))</f>
        <v/>
      </c>
      <c r="R293" s="29">
        <f>IF($A293="","",SUMIFS(tExp[[Amount]],tExp[[Batch ID (if applicable)]],$A293))</f>
        <v/>
      </c>
      <c r="S293" s="41">
        <f>IF($A293="","",P293+Q293+R293)</f>
        <v/>
      </c>
      <c r="T293" s="41">
        <f>IF($A293="","",SUMIFS(tSales[[Total Revenue]],tSales[[Batch ID]],$A293))</f>
        <v/>
      </c>
      <c r="U293" s="41">
        <f>IF($A293="","",T293-S293)</f>
        <v/>
      </c>
      <c r="V293" s="29">
        <f>IF($A293="","",IFERROR(S293/(H293+I293),""))</f>
        <v/>
      </c>
      <c r="W293" s="29">
        <f>IF($A293="","",IF(K293=0,"",T293/K293))</f>
        <v/>
      </c>
      <c r="X293" s="42">
        <f>IF($A293="","",IFERROR(O293/(H293+I293),""))</f>
        <v/>
      </c>
      <c r="Y293" s="43">
        <f>IF($A293="","",IF(_xlfn.MAXIFS(tProd[[Date]],tProd[[Batch ID]],$A293,tProd[[Measurement Type]],"Weighing")=0,"",IFERROR(AVERAGEIFS(tProd[[Average Weight kg]],tProd[[Batch ID]],$A293,tProd[[Measurement Type]],"Weighing",tProd[[Date]],_xlfn.MAXIFS(tProd[[Date]],tProd[[Batch ID]],$A293,tProd[[Measurement Type]],"Weighing")),"")))</f>
        <v/>
      </c>
    </row>
    <row r="294">
      <c r="A294" s="27">
        <f>IFERROR(INDEX(tBatches[[Batch ID]],290)&amp;"","")</f>
        <v/>
      </c>
      <c r="B294" s="36">
        <f>IF($A294="","",INDEX(tBatches[[Pen ID]],290)&amp;"")</f>
        <v/>
      </c>
      <c r="C294" s="36">
        <f>IF($A294="","",INDEX(tBatches[[Animal Type]],290)&amp;"")</f>
        <v/>
      </c>
      <c r="D294" s="31">
        <f>IF($A294="","",INDEX(tBatches[[Batch Start Date]],290))</f>
        <v/>
      </c>
      <c r="E294" s="36">
        <f>IF($A294="","",INDEX(tBatches[[Status]],290)&amp;"")</f>
        <v/>
      </c>
      <c r="F294" s="31">
        <f>IF($A294="","",IF(N(INDEX(tBatches[[Closing Date]],290))=0,"",INDEX(tBatches[[Closing Date]],290)))</f>
        <v/>
      </c>
      <c r="G294" s="39">
        <f>IF($A294="","",INDEX(tBatches[[Age (days)]],290))</f>
        <v/>
      </c>
      <c r="H294" s="39">
        <f>IF($A294="","",N(INDEX(tBatches[[Initial Quantity]],290)))</f>
        <v/>
      </c>
      <c r="I294" s="39">
        <f>IF($A294="","",INDEX(tBatches[[Transfers In / Added]],290))</f>
        <v/>
      </c>
      <c r="J294" s="39">
        <f>IF($A294="","",INDEX(tBatches[[Deaths]],290))</f>
        <v/>
      </c>
      <c r="K294" s="39">
        <f>IF($A294="","",INDEX(tBatches[[Heads Sold]],290))</f>
        <v/>
      </c>
      <c r="L294" s="39">
        <f>IF($A294="","",INDEX(tBatches[[Transfers Out]],290))</f>
        <v/>
      </c>
      <c r="M294" s="39">
        <f>IF($A294="","",INDEX(tBatches[[Current Quantity]],290))</f>
        <v/>
      </c>
      <c r="N294" s="40">
        <f>IF($A294="","",IFERROR(J294/(H294+I294),0))</f>
        <v/>
      </c>
      <c r="O294" s="28">
        <f>IF($A294="","",SUMIFS(tFeedIss[[Quantity Issued in kg]],tFeedIss[[Batch ID]],$A294))</f>
        <v/>
      </c>
      <c r="P294" s="29">
        <f>IF($A294="","",SUMIFS(tFeedIss[[Total Cost]],tFeedIss[[Batch ID]],$A294))</f>
        <v/>
      </c>
      <c r="Q294" s="29">
        <f>IF($A294="","",SUMIFS(tDrugUse[[Total Cost]],tDrugUse[[Batch ID]],$A294))</f>
        <v/>
      </c>
      <c r="R294" s="29">
        <f>IF($A294="","",SUMIFS(tExp[[Amount]],tExp[[Batch ID (if applicable)]],$A294))</f>
        <v/>
      </c>
      <c r="S294" s="41">
        <f>IF($A294="","",P294+Q294+R294)</f>
        <v/>
      </c>
      <c r="T294" s="41">
        <f>IF($A294="","",SUMIFS(tSales[[Total Revenue]],tSales[[Batch ID]],$A294))</f>
        <v/>
      </c>
      <c r="U294" s="41">
        <f>IF($A294="","",T294-S294)</f>
        <v/>
      </c>
      <c r="V294" s="29">
        <f>IF($A294="","",IFERROR(S294/(H294+I294),""))</f>
        <v/>
      </c>
      <c r="W294" s="29">
        <f>IF($A294="","",IF(K294=0,"",T294/K294))</f>
        <v/>
      </c>
      <c r="X294" s="42">
        <f>IF($A294="","",IFERROR(O294/(H294+I294),""))</f>
        <v/>
      </c>
      <c r="Y294" s="43">
        <f>IF($A294="","",IF(_xlfn.MAXIFS(tProd[[Date]],tProd[[Batch ID]],$A294,tProd[[Measurement Type]],"Weighing")=0,"",IFERROR(AVERAGEIFS(tProd[[Average Weight kg]],tProd[[Batch ID]],$A294,tProd[[Measurement Type]],"Weighing",tProd[[Date]],_xlfn.MAXIFS(tProd[[Date]],tProd[[Batch ID]],$A294,tProd[[Measurement Type]],"Weighing")),"")))</f>
        <v/>
      </c>
    </row>
    <row r="295">
      <c r="A295" s="27">
        <f>IFERROR(INDEX(tBatches[[Batch ID]],291)&amp;"","")</f>
        <v/>
      </c>
      <c r="B295" s="36">
        <f>IF($A295="","",INDEX(tBatches[[Pen ID]],291)&amp;"")</f>
        <v/>
      </c>
      <c r="C295" s="36">
        <f>IF($A295="","",INDEX(tBatches[[Animal Type]],291)&amp;"")</f>
        <v/>
      </c>
      <c r="D295" s="31">
        <f>IF($A295="","",INDEX(tBatches[[Batch Start Date]],291))</f>
        <v/>
      </c>
      <c r="E295" s="36">
        <f>IF($A295="","",INDEX(tBatches[[Status]],291)&amp;"")</f>
        <v/>
      </c>
      <c r="F295" s="31">
        <f>IF($A295="","",IF(N(INDEX(tBatches[[Closing Date]],291))=0,"",INDEX(tBatches[[Closing Date]],291)))</f>
        <v/>
      </c>
      <c r="G295" s="39">
        <f>IF($A295="","",INDEX(tBatches[[Age (days)]],291))</f>
        <v/>
      </c>
      <c r="H295" s="39">
        <f>IF($A295="","",N(INDEX(tBatches[[Initial Quantity]],291)))</f>
        <v/>
      </c>
      <c r="I295" s="39">
        <f>IF($A295="","",INDEX(tBatches[[Transfers In / Added]],291))</f>
        <v/>
      </c>
      <c r="J295" s="39">
        <f>IF($A295="","",INDEX(tBatches[[Deaths]],291))</f>
        <v/>
      </c>
      <c r="K295" s="39">
        <f>IF($A295="","",INDEX(tBatches[[Heads Sold]],291))</f>
        <v/>
      </c>
      <c r="L295" s="39">
        <f>IF($A295="","",INDEX(tBatches[[Transfers Out]],291))</f>
        <v/>
      </c>
      <c r="M295" s="39">
        <f>IF($A295="","",INDEX(tBatches[[Current Quantity]],291))</f>
        <v/>
      </c>
      <c r="N295" s="40">
        <f>IF($A295="","",IFERROR(J295/(H295+I295),0))</f>
        <v/>
      </c>
      <c r="O295" s="28">
        <f>IF($A295="","",SUMIFS(tFeedIss[[Quantity Issued in kg]],tFeedIss[[Batch ID]],$A295))</f>
        <v/>
      </c>
      <c r="P295" s="29">
        <f>IF($A295="","",SUMIFS(tFeedIss[[Total Cost]],tFeedIss[[Batch ID]],$A295))</f>
        <v/>
      </c>
      <c r="Q295" s="29">
        <f>IF($A295="","",SUMIFS(tDrugUse[[Total Cost]],tDrugUse[[Batch ID]],$A295))</f>
        <v/>
      </c>
      <c r="R295" s="29">
        <f>IF($A295="","",SUMIFS(tExp[[Amount]],tExp[[Batch ID (if applicable)]],$A295))</f>
        <v/>
      </c>
      <c r="S295" s="41">
        <f>IF($A295="","",P295+Q295+R295)</f>
        <v/>
      </c>
      <c r="T295" s="41">
        <f>IF($A295="","",SUMIFS(tSales[[Total Revenue]],tSales[[Batch ID]],$A295))</f>
        <v/>
      </c>
      <c r="U295" s="41">
        <f>IF($A295="","",T295-S295)</f>
        <v/>
      </c>
      <c r="V295" s="29">
        <f>IF($A295="","",IFERROR(S295/(H295+I295),""))</f>
        <v/>
      </c>
      <c r="W295" s="29">
        <f>IF($A295="","",IF(K295=0,"",T295/K295))</f>
        <v/>
      </c>
      <c r="X295" s="42">
        <f>IF($A295="","",IFERROR(O295/(H295+I295),""))</f>
        <v/>
      </c>
      <c r="Y295" s="43">
        <f>IF($A295="","",IF(_xlfn.MAXIFS(tProd[[Date]],tProd[[Batch ID]],$A295,tProd[[Measurement Type]],"Weighing")=0,"",IFERROR(AVERAGEIFS(tProd[[Average Weight kg]],tProd[[Batch ID]],$A295,tProd[[Measurement Type]],"Weighing",tProd[[Date]],_xlfn.MAXIFS(tProd[[Date]],tProd[[Batch ID]],$A295,tProd[[Measurement Type]],"Weighing")),"")))</f>
        <v/>
      </c>
    </row>
    <row r="296">
      <c r="A296" s="27">
        <f>IFERROR(INDEX(tBatches[[Batch ID]],292)&amp;"","")</f>
        <v/>
      </c>
      <c r="B296" s="36">
        <f>IF($A296="","",INDEX(tBatches[[Pen ID]],292)&amp;"")</f>
        <v/>
      </c>
      <c r="C296" s="36">
        <f>IF($A296="","",INDEX(tBatches[[Animal Type]],292)&amp;"")</f>
        <v/>
      </c>
      <c r="D296" s="31">
        <f>IF($A296="","",INDEX(tBatches[[Batch Start Date]],292))</f>
        <v/>
      </c>
      <c r="E296" s="36">
        <f>IF($A296="","",INDEX(tBatches[[Status]],292)&amp;"")</f>
        <v/>
      </c>
      <c r="F296" s="31">
        <f>IF($A296="","",IF(N(INDEX(tBatches[[Closing Date]],292))=0,"",INDEX(tBatches[[Closing Date]],292)))</f>
        <v/>
      </c>
      <c r="G296" s="39">
        <f>IF($A296="","",INDEX(tBatches[[Age (days)]],292))</f>
        <v/>
      </c>
      <c r="H296" s="39">
        <f>IF($A296="","",N(INDEX(tBatches[[Initial Quantity]],292)))</f>
        <v/>
      </c>
      <c r="I296" s="39">
        <f>IF($A296="","",INDEX(tBatches[[Transfers In / Added]],292))</f>
        <v/>
      </c>
      <c r="J296" s="39">
        <f>IF($A296="","",INDEX(tBatches[[Deaths]],292))</f>
        <v/>
      </c>
      <c r="K296" s="39">
        <f>IF($A296="","",INDEX(tBatches[[Heads Sold]],292))</f>
        <v/>
      </c>
      <c r="L296" s="39">
        <f>IF($A296="","",INDEX(tBatches[[Transfers Out]],292))</f>
        <v/>
      </c>
      <c r="M296" s="39">
        <f>IF($A296="","",INDEX(tBatches[[Current Quantity]],292))</f>
        <v/>
      </c>
      <c r="N296" s="40">
        <f>IF($A296="","",IFERROR(J296/(H296+I296),0))</f>
        <v/>
      </c>
      <c r="O296" s="28">
        <f>IF($A296="","",SUMIFS(tFeedIss[[Quantity Issued in kg]],tFeedIss[[Batch ID]],$A296))</f>
        <v/>
      </c>
      <c r="P296" s="29">
        <f>IF($A296="","",SUMIFS(tFeedIss[[Total Cost]],tFeedIss[[Batch ID]],$A296))</f>
        <v/>
      </c>
      <c r="Q296" s="29">
        <f>IF($A296="","",SUMIFS(tDrugUse[[Total Cost]],tDrugUse[[Batch ID]],$A296))</f>
        <v/>
      </c>
      <c r="R296" s="29">
        <f>IF($A296="","",SUMIFS(tExp[[Amount]],tExp[[Batch ID (if applicable)]],$A296))</f>
        <v/>
      </c>
      <c r="S296" s="41">
        <f>IF($A296="","",P296+Q296+R296)</f>
        <v/>
      </c>
      <c r="T296" s="41">
        <f>IF($A296="","",SUMIFS(tSales[[Total Revenue]],tSales[[Batch ID]],$A296))</f>
        <v/>
      </c>
      <c r="U296" s="41">
        <f>IF($A296="","",T296-S296)</f>
        <v/>
      </c>
      <c r="V296" s="29">
        <f>IF($A296="","",IFERROR(S296/(H296+I296),""))</f>
        <v/>
      </c>
      <c r="W296" s="29">
        <f>IF($A296="","",IF(K296=0,"",T296/K296))</f>
        <v/>
      </c>
      <c r="X296" s="42">
        <f>IF($A296="","",IFERROR(O296/(H296+I296),""))</f>
        <v/>
      </c>
      <c r="Y296" s="43">
        <f>IF($A296="","",IF(_xlfn.MAXIFS(tProd[[Date]],tProd[[Batch ID]],$A296,tProd[[Measurement Type]],"Weighing")=0,"",IFERROR(AVERAGEIFS(tProd[[Average Weight kg]],tProd[[Batch ID]],$A296,tProd[[Measurement Type]],"Weighing",tProd[[Date]],_xlfn.MAXIFS(tProd[[Date]],tProd[[Batch ID]],$A296,tProd[[Measurement Type]],"Weighing")),"")))</f>
        <v/>
      </c>
    </row>
    <row r="297">
      <c r="A297" s="27">
        <f>IFERROR(INDEX(tBatches[[Batch ID]],293)&amp;"","")</f>
        <v/>
      </c>
      <c r="B297" s="36">
        <f>IF($A297="","",INDEX(tBatches[[Pen ID]],293)&amp;"")</f>
        <v/>
      </c>
      <c r="C297" s="36">
        <f>IF($A297="","",INDEX(tBatches[[Animal Type]],293)&amp;"")</f>
        <v/>
      </c>
      <c r="D297" s="31">
        <f>IF($A297="","",INDEX(tBatches[[Batch Start Date]],293))</f>
        <v/>
      </c>
      <c r="E297" s="36">
        <f>IF($A297="","",INDEX(tBatches[[Status]],293)&amp;"")</f>
        <v/>
      </c>
      <c r="F297" s="31">
        <f>IF($A297="","",IF(N(INDEX(tBatches[[Closing Date]],293))=0,"",INDEX(tBatches[[Closing Date]],293)))</f>
        <v/>
      </c>
      <c r="G297" s="39">
        <f>IF($A297="","",INDEX(tBatches[[Age (days)]],293))</f>
        <v/>
      </c>
      <c r="H297" s="39">
        <f>IF($A297="","",N(INDEX(tBatches[[Initial Quantity]],293)))</f>
        <v/>
      </c>
      <c r="I297" s="39">
        <f>IF($A297="","",INDEX(tBatches[[Transfers In / Added]],293))</f>
        <v/>
      </c>
      <c r="J297" s="39">
        <f>IF($A297="","",INDEX(tBatches[[Deaths]],293))</f>
        <v/>
      </c>
      <c r="K297" s="39">
        <f>IF($A297="","",INDEX(tBatches[[Heads Sold]],293))</f>
        <v/>
      </c>
      <c r="L297" s="39">
        <f>IF($A297="","",INDEX(tBatches[[Transfers Out]],293))</f>
        <v/>
      </c>
      <c r="M297" s="39">
        <f>IF($A297="","",INDEX(tBatches[[Current Quantity]],293))</f>
        <v/>
      </c>
      <c r="N297" s="40">
        <f>IF($A297="","",IFERROR(J297/(H297+I297),0))</f>
        <v/>
      </c>
      <c r="O297" s="28">
        <f>IF($A297="","",SUMIFS(tFeedIss[[Quantity Issued in kg]],tFeedIss[[Batch ID]],$A297))</f>
        <v/>
      </c>
      <c r="P297" s="29">
        <f>IF($A297="","",SUMIFS(tFeedIss[[Total Cost]],tFeedIss[[Batch ID]],$A297))</f>
        <v/>
      </c>
      <c r="Q297" s="29">
        <f>IF($A297="","",SUMIFS(tDrugUse[[Total Cost]],tDrugUse[[Batch ID]],$A297))</f>
        <v/>
      </c>
      <c r="R297" s="29">
        <f>IF($A297="","",SUMIFS(tExp[[Amount]],tExp[[Batch ID (if applicable)]],$A297))</f>
        <v/>
      </c>
      <c r="S297" s="41">
        <f>IF($A297="","",P297+Q297+R297)</f>
        <v/>
      </c>
      <c r="T297" s="41">
        <f>IF($A297="","",SUMIFS(tSales[[Total Revenue]],tSales[[Batch ID]],$A297))</f>
        <v/>
      </c>
      <c r="U297" s="41">
        <f>IF($A297="","",T297-S297)</f>
        <v/>
      </c>
      <c r="V297" s="29">
        <f>IF($A297="","",IFERROR(S297/(H297+I297),""))</f>
        <v/>
      </c>
      <c r="W297" s="29">
        <f>IF($A297="","",IF(K297=0,"",T297/K297))</f>
        <v/>
      </c>
      <c r="X297" s="42">
        <f>IF($A297="","",IFERROR(O297/(H297+I297),""))</f>
        <v/>
      </c>
      <c r="Y297" s="43">
        <f>IF($A297="","",IF(_xlfn.MAXIFS(tProd[[Date]],tProd[[Batch ID]],$A297,tProd[[Measurement Type]],"Weighing")=0,"",IFERROR(AVERAGEIFS(tProd[[Average Weight kg]],tProd[[Batch ID]],$A297,tProd[[Measurement Type]],"Weighing",tProd[[Date]],_xlfn.MAXIFS(tProd[[Date]],tProd[[Batch ID]],$A297,tProd[[Measurement Type]],"Weighing")),"")))</f>
        <v/>
      </c>
    </row>
    <row r="298">
      <c r="A298" s="27">
        <f>IFERROR(INDEX(tBatches[[Batch ID]],294)&amp;"","")</f>
        <v/>
      </c>
      <c r="B298" s="36">
        <f>IF($A298="","",INDEX(tBatches[[Pen ID]],294)&amp;"")</f>
        <v/>
      </c>
      <c r="C298" s="36">
        <f>IF($A298="","",INDEX(tBatches[[Animal Type]],294)&amp;"")</f>
        <v/>
      </c>
      <c r="D298" s="31">
        <f>IF($A298="","",INDEX(tBatches[[Batch Start Date]],294))</f>
        <v/>
      </c>
      <c r="E298" s="36">
        <f>IF($A298="","",INDEX(tBatches[[Status]],294)&amp;"")</f>
        <v/>
      </c>
      <c r="F298" s="31">
        <f>IF($A298="","",IF(N(INDEX(tBatches[[Closing Date]],294))=0,"",INDEX(tBatches[[Closing Date]],294)))</f>
        <v/>
      </c>
      <c r="G298" s="39">
        <f>IF($A298="","",INDEX(tBatches[[Age (days)]],294))</f>
        <v/>
      </c>
      <c r="H298" s="39">
        <f>IF($A298="","",N(INDEX(tBatches[[Initial Quantity]],294)))</f>
        <v/>
      </c>
      <c r="I298" s="39">
        <f>IF($A298="","",INDEX(tBatches[[Transfers In / Added]],294))</f>
        <v/>
      </c>
      <c r="J298" s="39">
        <f>IF($A298="","",INDEX(tBatches[[Deaths]],294))</f>
        <v/>
      </c>
      <c r="K298" s="39">
        <f>IF($A298="","",INDEX(tBatches[[Heads Sold]],294))</f>
        <v/>
      </c>
      <c r="L298" s="39">
        <f>IF($A298="","",INDEX(tBatches[[Transfers Out]],294))</f>
        <v/>
      </c>
      <c r="M298" s="39">
        <f>IF($A298="","",INDEX(tBatches[[Current Quantity]],294))</f>
        <v/>
      </c>
      <c r="N298" s="40">
        <f>IF($A298="","",IFERROR(J298/(H298+I298),0))</f>
        <v/>
      </c>
      <c r="O298" s="28">
        <f>IF($A298="","",SUMIFS(tFeedIss[[Quantity Issued in kg]],tFeedIss[[Batch ID]],$A298))</f>
        <v/>
      </c>
      <c r="P298" s="29">
        <f>IF($A298="","",SUMIFS(tFeedIss[[Total Cost]],tFeedIss[[Batch ID]],$A298))</f>
        <v/>
      </c>
      <c r="Q298" s="29">
        <f>IF($A298="","",SUMIFS(tDrugUse[[Total Cost]],tDrugUse[[Batch ID]],$A298))</f>
        <v/>
      </c>
      <c r="R298" s="29">
        <f>IF($A298="","",SUMIFS(tExp[[Amount]],tExp[[Batch ID (if applicable)]],$A298))</f>
        <v/>
      </c>
      <c r="S298" s="41">
        <f>IF($A298="","",P298+Q298+R298)</f>
        <v/>
      </c>
      <c r="T298" s="41">
        <f>IF($A298="","",SUMIFS(tSales[[Total Revenue]],tSales[[Batch ID]],$A298))</f>
        <v/>
      </c>
      <c r="U298" s="41">
        <f>IF($A298="","",T298-S298)</f>
        <v/>
      </c>
      <c r="V298" s="29">
        <f>IF($A298="","",IFERROR(S298/(H298+I298),""))</f>
        <v/>
      </c>
      <c r="W298" s="29">
        <f>IF($A298="","",IF(K298=0,"",T298/K298))</f>
        <v/>
      </c>
      <c r="X298" s="42">
        <f>IF($A298="","",IFERROR(O298/(H298+I298),""))</f>
        <v/>
      </c>
      <c r="Y298" s="43">
        <f>IF($A298="","",IF(_xlfn.MAXIFS(tProd[[Date]],tProd[[Batch ID]],$A298,tProd[[Measurement Type]],"Weighing")=0,"",IFERROR(AVERAGEIFS(tProd[[Average Weight kg]],tProd[[Batch ID]],$A298,tProd[[Measurement Type]],"Weighing",tProd[[Date]],_xlfn.MAXIFS(tProd[[Date]],tProd[[Batch ID]],$A298,tProd[[Measurement Type]],"Weighing")),"")))</f>
        <v/>
      </c>
    </row>
    <row r="299">
      <c r="A299" s="27">
        <f>IFERROR(INDEX(tBatches[[Batch ID]],295)&amp;"","")</f>
        <v/>
      </c>
      <c r="B299" s="36">
        <f>IF($A299="","",INDEX(tBatches[[Pen ID]],295)&amp;"")</f>
        <v/>
      </c>
      <c r="C299" s="36">
        <f>IF($A299="","",INDEX(tBatches[[Animal Type]],295)&amp;"")</f>
        <v/>
      </c>
      <c r="D299" s="31">
        <f>IF($A299="","",INDEX(tBatches[[Batch Start Date]],295))</f>
        <v/>
      </c>
      <c r="E299" s="36">
        <f>IF($A299="","",INDEX(tBatches[[Status]],295)&amp;"")</f>
        <v/>
      </c>
      <c r="F299" s="31">
        <f>IF($A299="","",IF(N(INDEX(tBatches[[Closing Date]],295))=0,"",INDEX(tBatches[[Closing Date]],295)))</f>
        <v/>
      </c>
      <c r="G299" s="39">
        <f>IF($A299="","",INDEX(tBatches[[Age (days)]],295))</f>
        <v/>
      </c>
      <c r="H299" s="39">
        <f>IF($A299="","",N(INDEX(tBatches[[Initial Quantity]],295)))</f>
        <v/>
      </c>
      <c r="I299" s="39">
        <f>IF($A299="","",INDEX(tBatches[[Transfers In / Added]],295))</f>
        <v/>
      </c>
      <c r="J299" s="39">
        <f>IF($A299="","",INDEX(tBatches[[Deaths]],295))</f>
        <v/>
      </c>
      <c r="K299" s="39">
        <f>IF($A299="","",INDEX(tBatches[[Heads Sold]],295))</f>
        <v/>
      </c>
      <c r="L299" s="39">
        <f>IF($A299="","",INDEX(tBatches[[Transfers Out]],295))</f>
        <v/>
      </c>
      <c r="M299" s="39">
        <f>IF($A299="","",INDEX(tBatches[[Current Quantity]],295))</f>
        <v/>
      </c>
      <c r="N299" s="40">
        <f>IF($A299="","",IFERROR(J299/(H299+I299),0))</f>
        <v/>
      </c>
      <c r="O299" s="28">
        <f>IF($A299="","",SUMIFS(tFeedIss[[Quantity Issued in kg]],tFeedIss[[Batch ID]],$A299))</f>
        <v/>
      </c>
      <c r="P299" s="29">
        <f>IF($A299="","",SUMIFS(tFeedIss[[Total Cost]],tFeedIss[[Batch ID]],$A299))</f>
        <v/>
      </c>
      <c r="Q299" s="29">
        <f>IF($A299="","",SUMIFS(tDrugUse[[Total Cost]],tDrugUse[[Batch ID]],$A299))</f>
        <v/>
      </c>
      <c r="R299" s="29">
        <f>IF($A299="","",SUMIFS(tExp[[Amount]],tExp[[Batch ID (if applicable)]],$A299))</f>
        <v/>
      </c>
      <c r="S299" s="41">
        <f>IF($A299="","",P299+Q299+R299)</f>
        <v/>
      </c>
      <c r="T299" s="41">
        <f>IF($A299="","",SUMIFS(tSales[[Total Revenue]],tSales[[Batch ID]],$A299))</f>
        <v/>
      </c>
      <c r="U299" s="41">
        <f>IF($A299="","",T299-S299)</f>
        <v/>
      </c>
      <c r="V299" s="29">
        <f>IF($A299="","",IFERROR(S299/(H299+I299),""))</f>
        <v/>
      </c>
      <c r="W299" s="29">
        <f>IF($A299="","",IF(K299=0,"",T299/K299))</f>
        <v/>
      </c>
      <c r="X299" s="42">
        <f>IF($A299="","",IFERROR(O299/(H299+I299),""))</f>
        <v/>
      </c>
      <c r="Y299" s="43">
        <f>IF($A299="","",IF(_xlfn.MAXIFS(tProd[[Date]],tProd[[Batch ID]],$A299,tProd[[Measurement Type]],"Weighing")=0,"",IFERROR(AVERAGEIFS(tProd[[Average Weight kg]],tProd[[Batch ID]],$A299,tProd[[Measurement Type]],"Weighing",tProd[[Date]],_xlfn.MAXIFS(tProd[[Date]],tProd[[Batch ID]],$A299,tProd[[Measurement Type]],"Weighing")),"")))</f>
        <v/>
      </c>
    </row>
    <row r="300">
      <c r="A300" s="27">
        <f>IFERROR(INDEX(tBatches[[Batch ID]],296)&amp;"","")</f>
        <v/>
      </c>
      <c r="B300" s="36">
        <f>IF($A300="","",INDEX(tBatches[[Pen ID]],296)&amp;"")</f>
        <v/>
      </c>
      <c r="C300" s="36">
        <f>IF($A300="","",INDEX(tBatches[[Animal Type]],296)&amp;"")</f>
        <v/>
      </c>
      <c r="D300" s="31">
        <f>IF($A300="","",INDEX(tBatches[[Batch Start Date]],296))</f>
        <v/>
      </c>
      <c r="E300" s="36">
        <f>IF($A300="","",INDEX(tBatches[[Status]],296)&amp;"")</f>
        <v/>
      </c>
      <c r="F300" s="31">
        <f>IF($A300="","",IF(N(INDEX(tBatches[[Closing Date]],296))=0,"",INDEX(tBatches[[Closing Date]],296)))</f>
        <v/>
      </c>
      <c r="G300" s="39">
        <f>IF($A300="","",INDEX(tBatches[[Age (days)]],296))</f>
        <v/>
      </c>
      <c r="H300" s="39">
        <f>IF($A300="","",N(INDEX(tBatches[[Initial Quantity]],296)))</f>
        <v/>
      </c>
      <c r="I300" s="39">
        <f>IF($A300="","",INDEX(tBatches[[Transfers In / Added]],296))</f>
        <v/>
      </c>
      <c r="J300" s="39">
        <f>IF($A300="","",INDEX(tBatches[[Deaths]],296))</f>
        <v/>
      </c>
      <c r="K300" s="39">
        <f>IF($A300="","",INDEX(tBatches[[Heads Sold]],296))</f>
        <v/>
      </c>
      <c r="L300" s="39">
        <f>IF($A300="","",INDEX(tBatches[[Transfers Out]],296))</f>
        <v/>
      </c>
      <c r="M300" s="39">
        <f>IF($A300="","",INDEX(tBatches[[Current Quantity]],296))</f>
        <v/>
      </c>
      <c r="N300" s="40">
        <f>IF($A300="","",IFERROR(J300/(H300+I300),0))</f>
        <v/>
      </c>
      <c r="O300" s="28">
        <f>IF($A300="","",SUMIFS(tFeedIss[[Quantity Issued in kg]],tFeedIss[[Batch ID]],$A300))</f>
        <v/>
      </c>
      <c r="P300" s="29">
        <f>IF($A300="","",SUMIFS(tFeedIss[[Total Cost]],tFeedIss[[Batch ID]],$A300))</f>
        <v/>
      </c>
      <c r="Q300" s="29">
        <f>IF($A300="","",SUMIFS(tDrugUse[[Total Cost]],tDrugUse[[Batch ID]],$A300))</f>
        <v/>
      </c>
      <c r="R300" s="29">
        <f>IF($A300="","",SUMIFS(tExp[[Amount]],tExp[[Batch ID (if applicable)]],$A300))</f>
        <v/>
      </c>
      <c r="S300" s="41">
        <f>IF($A300="","",P300+Q300+R300)</f>
        <v/>
      </c>
      <c r="T300" s="41">
        <f>IF($A300="","",SUMIFS(tSales[[Total Revenue]],tSales[[Batch ID]],$A300))</f>
        <v/>
      </c>
      <c r="U300" s="41">
        <f>IF($A300="","",T300-S300)</f>
        <v/>
      </c>
      <c r="V300" s="29">
        <f>IF($A300="","",IFERROR(S300/(H300+I300),""))</f>
        <v/>
      </c>
      <c r="W300" s="29">
        <f>IF($A300="","",IF(K300=0,"",T300/K300))</f>
        <v/>
      </c>
      <c r="X300" s="42">
        <f>IF($A300="","",IFERROR(O300/(H300+I300),""))</f>
        <v/>
      </c>
      <c r="Y300" s="43">
        <f>IF($A300="","",IF(_xlfn.MAXIFS(tProd[[Date]],tProd[[Batch ID]],$A300,tProd[[Measurement Type]],"Weighing")=0,"",IFERROR(AVERAGEIFS(tProd[[Average Weight kg]],tProd[[Batch ID]],$A300,tProd[[Measurement Type]],"Weighing",tProd[[Date]],_xlfn.MAXIFS(tProd[[Date]],tProd[[Batch ID]],$A300,tProd[[Measurement Type]],"Weighing")),"")))</f>
        <v/>
      </c>
    </row>
    <row r="301">
      <c r="A301" s="27">
        <f>IFERROR(INDEX(tBatches[[Batch ID]],297)&amp;"","")</f>
        <v/>
      </c>
      <c r="B301" s="36">
        <f>IF($A301="","",INDEX(tBatches[[Pen ID]],297)&amp;"")</f>
        <v/>
      </c>
      <c r="C301" s="36">
        <f>IF($A301="","",INDEX(tBatches[[Animal Type]],297)&amp;"")</f>
        <v/>
      </c>
      <c r="D301" s="31">
        <f>IF($A301="","",INDEX(tBatches[[Batch Start Date]],297))</f>
        <v/>
      </c>
      <c r="E301" s="36">
        <f>IF($A301="","",INDEX(tBatches[[Status]],297)&amp;"")</f>
        <v/>
      </c>
      <c r="F301" s="31">
        <f>IF($A301="","",IF(N(INDEX(tBatches[[Closing Date]],297))=0,"",INDEX(tBatches[[Closing Date]],297)))</f>
        <v/>
      </c>
      <c r="G301" s="39">
        <f>IF($A301="","",INDEX(tBatches[[Age (days)]],297))</f>
        <v/>
      </c>
      <c r="H301" s="39">
        <f>IF($A301="","",N(INDEX(tBatches[[Initial Quantity]],297)))</f>
        <v/>
      </c>
      <c r="I301" s="39">
        <f>IF($A301="","",INDEX(tBatches[[Transfers In / Added]],297))</f>
        <v/>
      </c>
      <c r="J301" s="39">
        <f>IF($A301="","",INDEX(tBatches[[Deaths]],297))</f>
        <v/>
      </c>
      <c r="K301" s="39">
        <f>IF($A301="","",INDEX(tBatches[[Heads Sold]],297))</f>
        <v/>
      </c>
      <c r="L301" s="39">
        <f>IF($A301="","",INDEX(tBatches[[Transfers Out]],297))</f>
        <v/>
      </c>
      <c r="M301" s="39">
        <f>IF($A301="","",INDEX(tBatches[[Current Quantity]],297))</f>
        <v/>
      </c>
      <c r="N301" s="40">
        <f>IF($A301="","",IFERROR(J301/(H301+I301),0))</f>
        <v/>
      </c>
      <c r="O301" s="28">
        <f>IF($A301="","",SUMIFS(tFeedIss[[Quantity Issued in kg]],tFeedIss[[Batch ID]],$A301))</f>
        <v/>
      </c>
      <c r="P301" s="29">
        <f>IF($A301="","",SUMIFS(tFeedIss[[Total Cost]],tFeedIss[[Batch ID]],$A301))</f>
        <v/>
      </c>
      <c r="Q301" s="29">
        <f>IF($A301="","",SUMIFS(tDrugUse[[Total Cost]],tDrugUse[[Batch ID]],$A301))</f>
        <v/>
      </c>
      <c r="R301" s="29">
        <f>IF($A301="","",SUMIFS(tExp[[Amount]],tExp[[Batch ID (if applicable)]],$A301))</f>
        <v/>
      </c>
      <c r="S301" s="41">
        <f>IF($A301="","",P301+Q301+R301)</f>
        <v/>
      </c>
      <c r="T301" s="41">
        <f>IF($A301="","",SUMIFS(tSales[[Total Revenue]],tSales[[Batch ID]],$A301))</f>
        <v/>
      </c>
      <c r="U301" s="41">
        <f>IF($A301="","",T301-S301)</f>
        <v/>
      </c>
      <c r="V301" s="29">
        <f>IF($A301="","",IFERROR(S301/(H301+I301),""))</f>
        <v/>
      </c>
      <c r="W301" s="29">
        <f>IF($A301="","",IF(K301=0,"",T301/K301))</f>
        <v/>
      </c>
      <c r="X301" s="42">
        <f>IF($A301="","",IFERROR(O301/(H301+I301),""))</f>
        <v/>
      </c>
      <c r="Y301" s="43">
        <f>IF($A301="","",IF(_xlfn.MAXIFS(tProd[[Date]],tProd[[Batch ID]],$A301,tProd[[Measurement Type]],"Weighing")=0,"",IFERROR(AVERAGEIFS(tProd[[Average Weight kg]],tProd[[Batch ID]],$A301,tProd[[Measurement Type]],"Weighing",tProd[[Date]],_xlfn.MAXIFS(tProd[[Date]],tProd[[Batch ID]],$A301,tProd[[Measurement Type]],"Weighing")),"")))</f>
        <v/>
      </c>
    </row>
    <row r="302">
      <c r="A302" s="27">
        <f>IFERROR(INDEX(tBatches[[Batch ID]],298)&amp;"","")</f>
        <v/>
      </c>
      <c r="B302" s="36">
        <f>IF($A302="","",INDEX(tBatches[[Pen ID]],298)&amp;"")</f>
        <v/>
      </c>
      <c r="C302" s="36">
        <f>IF($A302="","",INDEX(tBatches[[Animal Type]],298)&amp;"")</f>
        <v/>
      </c>
      <c r="D302" s="31">
        <f>IF($A302="","",INDEX(tBatches[[Batch Start Date]],298))</f>
        <v/>
      </c>
      <c r="E302" s="36">
        <f>IF($A302="","",INDEX(tBatches[[Status]],298)&amp;"")</f>
        <v/>
      </c>
      <c r="F302" s="31">
        <f>IF($A302="","",IF(N(INDEX(tBatches[[Closing Date]],298))=0,"",INDEX(tBatches[[Closing Date]],298)))</f>
        <v/>
      </c>
      <c r="G302" s="39">
        <f>IF($A302="","",INDEX(tBatches[[Age (days)]],298))</f>
        <v/>
      </c>
      <c r="H302" s="39">
        <f>IF($A302="","",N(INDEX(tBatches[[Initial Quantity]],298)))</f>
        <v/>
      </c>
      <c r="I302" s="39">
        <f>IF($A302="","",INDEX(tBatches[[Transfers In / Added]],298))</f>
        <v/>
      </c>
      <c r="J302" s="39">
        <f>IF($A302="","",INDEX(tBatches[[Deaths]],298))</f>
        <v/>
      </c>
      <c r="K302" s="39">
        <f>IF($A302="","",INDEX(tBatches[[Heads Sold]],298))</f>
        <v/>
      </c>
      <c r="L302" s="39">
        <f>IF($A302="","",INDEX(tBatches[[Transfers Out]],298))</f>
        <v/>
      </c>
      <c r="M302" s="39">
        <f>IF($A302="","",INDEX(tBatches[[Current Quantity]],298))</f>
        <v/>
      </c>
      <c r="N302" s="40">
        <f>IF($A302="","",IFERROR(J302/(H302+I302),0))</f>
        <v/>
      </c>
      <c r="O302" s="28">
        <f>IF($A302="","",SUMIFS(tFeedIss[[Quantity Issued in kg]],tFeedIss[[Batch ID]],$A302))</f>
        <v/>
      </c>
      <c r="P302" s="29">
        <f>IF($A302="","",SUMIFS(tFeedIss[[Total Cost]],tFeedIss[[Batch ID]],$A302))</f>
        <v/>
      </c>
      <c r="Q302" s="29">
        <f>IF($A302="","",SUMIFS(tDrugUse[[Total Cost]],tDrugUse[[Batch ID]],$A302))</f>
        <v/>
      </c>
      <c r="R302" s="29">
        <f>IF($A302="","",SUMIFS(tExp[[Amount]],tExp[[Batch ID (if applicable)]],$A302))</f>
        <v/>
      </c>
      <c r="S302" s="41">
        <f>IF($A302="","",P302+Q302+R302)</f>
        <v/>
      </c>
      <c r="T302" s="41">
        <f>IF($A302="","",SUMIFS(tSales[[Total Revenue]],tSales[[Batch ID]],$A302))</f>
        <v/>
      </c>
      <c r="U302" s="41">
        <f>IF($A302="","",T302-S302)</f>
        <v/>
      </c>
      <c r="V302" s="29">
        <f>IF($A302="","",IFERROR(S302/(H302+I302),""))</f>
        <v/>
      </c>
      <c r="W302" s="29">
        <f>IF($A302="","",IF(K302=0,"",T302/K302))</f>
        <v/>
      </c>
      <c r="X302" s="42">
        <f>IF($A302="","",IFERROR(O302/(H302+I302),""))</f>
        <v/>
      </c>
      <c r="Y302" s="43">
        <f>IF($A302="","",IF(_xlfn.MAXIFS(tProd[[Date]],tProd[[Batch ID]],$A302,tProd[[Measurement Type]],"Weighing")=0,"",IFERROR(AVERAGEIFS(tProd[[Average Weight kg]],tProd[[Batch ID]],$A302,tProd[[Measurement Type]],"Weighing",tProd[[Date]],_xlfn.MAXIFS(tProd[[Date]],tProd[[Batch ID]],$A302,tProd[[Measurement Type]],"Weighing")),"")))</f>
        <v/>
      </c>
    </row>
    <row r="303">
      <c r="A303" s="27">
        <f>IFERROR(INDEX(tBatches[[Batch ID]],299)&amp;"","")</f>
        <v/>
      </c>
      <c r="B303" s="36">
        <f>IF($A303="","",INDEX(tBatches[[Pen ID]],299)&amp;"")</f>
        <v/>
      </c>
      <c r="C303" s="36">
        <f>IF($A303="","",INDEX(tBatches[[Animal Type]],299)&amp;"")</f>
        <v/>
      </c>
      <c r="D303" s="31">
        <f>IF($A303="","",INDEX(tBatches[[Batch Start Date]],299))</f>
        <v/>
      </c>
      <c r="E303" s="36">
        <f>IF($A303="","",INDEX(tBatches[[Status]],299)&amp;"")</f>
        <v/>
      </c>
      <c r="F303" s="31">
        <f>IF($A303="","",IF(N(INDEX(tBatches[[Closing Date]],299))=0,"",INDEX(tBatches[[Closing Date]],299)))</f>
        <v/>
      </c>
      <c r="G303" s="39">
        <f>IF($A303="","",INDEX(tBatches[[Age (days)]],299))</f>
        <v/>
      </c>
      <c r="H303" s="39">
        <f>IF($A303="","",N(INDEX(tBatches[[Initial Quantity]],299)))</f>
        <v/>
      </c>
      <c r="I303" s="39">
        <f>IF($A303="","",INDEX(tBatches[[Transfers In / Added]],299))</f>
        <v/>
      </c>
      <c r="J303" s="39">
        <f>IF($A303="","",INDEX(tBatches[[Deaths]],299))</f>
        <v/>
      </c>
      <c r="K303" s="39">
        <f>IF($A303="","",INDEX(tBatches[[Heads Sold]],299))</f>
        <v/>
      </c>
      <c r="L303" s="39">
        <f>IF($A303="","",INDEX(tBatches[[Transfers Out]],299))</f>
        <v/>
      </c>
      <c r="M303" s="39">
        <f>IF($A303="","",INDEX(tBatches[[Current Quantity]],299))</f>
        <v/>
      </c>
      <c r="N303" s="40">
        <f>IF($A303="","",IFERROR(J303/(H303+I303),0))</f>
        <v/>
      </c>
      <c r="O303" s="28">
        <f>IF($A303="","",SUMIFS(tFeedIss[[Quantity Issued in kg]],tFeedIss[[Batch ID]],$A303))</f>
        <v/>
      </c>
      <c r="P303" s="29">
        <f>IF($A303="","",SUMIFS(tFeedIss[[Total Cost]],tFeedIss[[Batch ID]],$A303))</f>
        <v/>
      </c>
      <c r="Q303" s="29">
        <f>IF($A303="","",SUMIFS(tDrugUse[[Total Cost]],tDrugUse[[Batch ID]],$A303))</f>
        <v/>
      </c>
      <c r="R303" s="29">
        <f>IF($A303="","",SUMIFS(tExp[[Amount]],tExp[[Batch ID (if applicable)]],$A303))</f>
        <v/>
      </c>
      <c r="S303" s="41">
        <f>IF($A303="","",P303+Q303+R303)</f>
        <v/>
      </c>
      <c r="T303" s="41">
        <f>IF($A303="","",SUMIFS(tSales[[Total Revenue]],tSales[[Batch ID]],$A303))</f>
        <v/>
      </c>
      <c r="U303" s="41">
        <f>IF($A303="","",T303-S303)</f>
        <v/>
      </c>
      <c r="V303" s="29">
        <f>IF($A303="","",IFERROR(S303/(H303+I303),""))</f>
        <v/>
      </c>
      <c r="W303" s="29">
        <f>IF($A303="","",IF(K303=0,"",T303/K303))</f>
        <v/>
      </c>
      <c r="X303" s="42">
        <f>IF($A303="","",IFERROR(O303/(H303+I303),""))</f>
        <v/>
      </c>
      <c r="Y303" s="43">
        <f>IF($A303="","",IF(_xlfn.MAXIFS(tProd[[Date]],tProd[[Batch ID]],$A303,tProd[[Measurement Type]],"Weighing")=0,"",IFERROR(AVERAGEIFS(tProd[[Average Weight kg]],tProd[[Batch ID]],$A303,tProd[[Measurement Type]],"Weighing",tProd[[Date]],_xlfn.MAXIFS(tProd[[Date]],tProd[[Batch ID]],$A303,tProd[[Measurement Type]],"Weighing")),"")))</f>
        <v/>
      </c>
    </row>
    <row r="304">
      <c r="A304" s="27">
        <f>IFERROR(INDEX(tBatches[[Batch ID]],300)&amp;"","")</f>
        <v/>
      </c>
      <c r="B304" s="36">
        <f>IF($A304="","",INDEX(tBatches[[Pen ID]],300)&amp;"")</f>
        <v/>
      </c>
      <c r="C304" s="36">
        <f>IF($A304="","",INDEX(tBatches[[Animal Type]],300)&amp;"")</f>
        <v/>
      </c>
      <c r="D304" s="31">
        <f>IF($A304="","",INDEX(tBatches[[Batch Start Date]],300))</f>
        <v/>
      </c>
      <c r="E304" s="36">
        <f>IF($A304="","",INDEX(tBatches[[Status]],300)&amp;"")</f>
        <v/>
      </c>
      <c r="F304" s="31">
        <f>IF($A304="","",IF(N(INDEX(tBatches[[Closing Date]],300))=0,"",INDEX(tBatches[[Closing Date]],300)))</f>
        <v/>
      </c>
      <c r="G304" s="39">
        <f>IF($A304="","",INDEX(tBatches[[Age (days)]],300))</f>
        <v/>
      </c>
      <c r="H304" s="39">
        <f>IF($A304="","",N(INDEX(tBatches[[Initial Quantity]],300)))</f>
        <v/>
      </c>
      <c r="I304" s="39">
        <f>IF($A304="","",INDEX(tBatches[[Transfers In / Added]],300))</f>
        <v/>
      </c>
      <c r="J304" s="39">
        <f>IF($A304="","",INDEX(tBatches[[Deaths]],300))</f>
        <v/>
      </c>
      <c r="K304" s="39">
        <f>IF($A304="","",INDEX(tBatches[[Heads Sold]],300))</f>
        <v/>
      </c>
      <c r="L304" s="39">
        <f>IF($A304="","",INDEX(tBatches[[Transfers Out]],300))</f>
        <v/>
      </c>
      <c r="M304" s="39">
        <f>IF($A304="","",INDEX(tBatches[[Current Quantity]],300))</f>
        <v/>
      </c>
      <c r="N304" s="40">
        <f>IF($A304="","",IFERROR(J304/(H304+I304),0))</f>
        <v/>
      </c>
      <c r="O304" s="28">
        <f>IF($A304="","",SUMIFS(tFeedIss[[Quantity Issued in kg]],tFeedIss[[Batch ID]],$A304))</f>
        <v/>
      </c>
      <c r="P304" s="29">
        <f>IF($A304="","",SUMIFS(tFeedIss[[Total Cost]],tFeedIss[[Batch ID]],$A304))</f>
        <v/>
      </c>
      <c r="Q304" s="29">
        <f>IF($A304="","",SUMIFS(tDrugUse[[Total Cost]],tDrugUse[[Batch ID]],$A304))</f>
        <v/>
      </c>
      <c r="R304" s="29">
        <f>IF($A304="","",SUMIFS(tExp[[Amount]],tExp[[Batch ID (if applicable)]],$A304))</f>
        <v/>
      </c>
      <c r="S304" s="41">
        <f>IF($A304="","",P304+Q304+R304)</f>
        <v/>
      </c>
      <c r="T304" s="41">
        <f>IF($A304="","",SUMIFS(tSales[[Total Revenue]],tSales[[Batch ID]],$A304))</f>
        <v/>
      </c>
      <c r="U304" s="41">
        <f>IF($A304="","",T304-S304)</f>
        <v/>
      </c>
      <c r="V304" s="29">
        <f>IF($A304="","",IFERROR(S304/(H304+I304),""))</f>
        <v/>
      </c>
      <c r="W304" s="29">
        <f>IF($A304="","",IF(K304=0,"",T304/K304))</f>
        <v/>
      </c>
      <c r="X304" s="42">
        <f>IF($A304="","",IFERROR(O304/(H304+I304),""))</f>
        <v/>
      </c>
      <c r="Y304" s="43">
        <f>IF($A304="","",IF(_xlfn.MAXIFS(tProd[[Date]],tProd[[Batch ID]],$A304,tProd[[Measurement Type]],"Weighing")=0,"",IFERROR(AVERAGEIFS(tProd[[Average Weight kg]],tProd[[Batch ID]],$A304,tProd[[Measurement Type]],"Weighing",tProd[[Date]],_xlfn.MAXIFS(tProd[[Date]],tProd[[Batch ID]],$A304,tProd[[Measurement Type]],"Weighing")),"")))</f>
        <v/>
      </c>
    </row>
  </sheetData>
  <sheetProtection selectLockedCells="0" selectUnlockedCells="0" sheet="1" objects="0" insertRows="1" insertHyperlinks="1" autoFilter="0" scenarios="0" formatColumns="0" deleteColumns="1" insertColumns="1" pivotTables="1" deleteRows="1" formatCells="1" formatRows="0" sort="0"/>
  <autoFilter ref="A4:Y304"/>
  <conditionalFormatting sqref="U3:U304">
    <cfRule type="cellIs" priority="1" operator="lessThan" dxfId="6">
      <formula>0</formula>
    </cfRule>
  </conditionalFormatting>
  <conditionalFormatting sqref="E5:E304">
    <cfRule type="expression" priority="2" dxfId="2">
      <formula>E5="Active"</formula>
    </cfRule>
  </conditionalFormatting>
  <pageMargins left="0.75" right="0.75" top="1" bottom="1" header="0.5" footer="0.5"/>
</worksheet>
</file>

<file path=xl/worksheets/sheet15.xml><?xml version="1.0" encoding="utf-8"?>
<worksheet xmlns="http://schemas.openxmlformats.org/spreadsheetml/2006/main">
  <sheetPr>
    <tabColor rgb="001F5130"/>
    <outlinePr summaryBelow="1" summaryRight="1"/>
    <pageSetUpPr/>
  </sheetPr>
  <dimension ref="B1:N104"/>
  <sheetViews>
    <sheetView showGridLines="0" tabSelected="1" zoomScale="90" workbookViewId="0">
      <pane ySplit="3" topLeftCell="A4" activePane="bottomLeft" state="frozen"/>
      <selection pane="bottomLeft" activeCell="A1" sqref="A1"/>
    </sheetView>
  </sheetViews>
  <sheetFormatPr baseColWidth="8" defaultRowHeight="15"/>
  <cols>
    <col width="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B1" s="44">
        <f>"FARM DASHBOARD - "&amp;FarmName</f>
        <v/>
      </c>
    </row>
    <row r="2">
      <c r="B2" s="7">
        <f>"Showing: "&amp;FilterText&amp;"      (updated "&amp;TEXT(TODAY(),"dd/mm/yyyy")&amp;")"</f>
        <v/>
      </c>
    </row>
    <row r="4">
      <c r="B4" s="25" t="inlineStr">
        <is>
          <t>FILTERS  (yellow cells - choose from dropdowns)</t>
        </is>
      </c>
    </row>
    <row r="5">
      <c r="B5" s="27" t="inlineStr">
        <is>
          <t>Period</t>
        </is>
      </c>
      <c r="C5" s="45" t="n"/>
      <c r="D5" s="46" t="inlineStr">
        <is>
          <t>This Month</t>
        </is>
      </c>
      <c r="E5" s="27" t="inlineStr">
        <is>
          <t>Period start</t>
        </is>
      </c>
      <c r="F5" s="45" t="n"/>
      <c r="G5" s="31">
        <f>IF(DB_Period="All Time","All records",DStart)</f>
        <v/>
      </c>
      <c r="I5" s="47" t="inlineStr">
        <is>
          <t>How to use</t>
        </is>
      </c>
    </row>
    <row r="6">
      <c r="B6" s="27" t="inlineStr">
        <is>
          <t>Custom From (if Period = Custom)</t>
        </is>
      </c>
      <c r="C6" s="45" t="n"/>
      <c r="D6" s="48" t="n"/>
      <c r="E6" s="27" t="inlineStr">
        <is>
          <t>Period end</t>
        </is>
      </c>
      <c r="F6" s="45" t="n"/>
      <c r="G6" s="31">
        <f>IF(DB_Period="All Time","All records",DEnd)</f>
        <v/>
      </c>
      <c r="I6" s="7" t="inlineStr">
        <is>
          <t>1. Pick a Period (or Custom + dates).</t>
        </is>
      </c>
    </row>
    <row r="7">
      <c r="B7" s="27" t="inlineStr">
        <is>
          <t>Custom To (if Period = Custom)</t>
        </is>
      </c>
      <c r="C7" s="45" t="n"/>
      <c r="D7" s="48" t="n"/>
      <c r="I7" s="7" t="inlineStr">
        <is>
          <t>2. Pick a Pen / Batch / Animal type, or leave 'All'.</t>
        </is>
      </c>
    </row>
    <row r="8">
      <c r="B8" s="27" t="inlineStr">
        <is>
          <t>Pen</t>
        </is>
      </c>
      <c r="C8" s="45" t="n"/>
      <c r="D8" s="46" t="inlineStr">
        <is>
          <t>All Pens</t>
        </is>
      </c>
      <c r="E8" s="27" t="inlineStr">
        <is>
          <t>Data warnings (see CHECKS)</t>
        </is>
      </c>
      <c r="F8" s="45" t="n"/>
      <c r="G8" s="49">
        <f>CHECKS!$C$4</f>
        <v/>
      </c>
      <c r="I8" s="7" t="inlineStr">
        <is>
          <t>3. Everything below recalculates automatically.</t>
        </is>
      </c>
    </row>
    <row r="9">
      <c r="B9" s="27" t="inlineStr">
        <is>
          <t>Batch</t>
        </is>
      </c>
      <c r="C9" s="45" t="n"/>
      <c r="D9" s="46" t="inlineStr">
        <is>
          <t>All Batches</t>
        </is>
      </c>
      <c r="E9" s="27" t="inlineStr">
        <is>
          <t>Items to reorder</t>
        </is>
      </c>
      <c r="F9" s="45" t="n"/>
      <c r="G9" s="49">
        <f>COUNTIF(INVENTORY!$K$6:$K$25,"REORDER")+COUNTIF(INVENTORY!$K$31:$K$80,"REORDER")</f>
        <v/>
      </c>
      <c r="I9" s="7" t="inlineStr">
        <is>
          <t>Cards marked * are farm-wide (not pen-filtered).</t>
        </is>
      </c>
    </row>
    <row r="10">
      <c r="B10" s="27" t="inlineStr">
        <is>
          <t>Animal Type</t>
        </is>
      </c>
      <c r="C10" s="45" t="n"/>
      <c r="D10" s="46" t="inlineStr">
        <is>
          <t>All Types</t>
        </is>
      </c>
      <c r="E10" s="27" t="inlineStr">
        <is>
          <t>Drugs with expired / expiring lots</t>
        </is>
      </c>
      <c r="F10" s="45" t="n"/>
      <c r="G10" s="49">
        <f>COUNTIF(INVENTORY!$M$31:$M$80,"*EXPIRED*")+COUNTIF(INVENTORY!$M$31:$M$80,"Expiring*")</f>
        <v/>
      </c>
    </row>
    <row r="12">
      <c r="B12" s="50" t="inlineStr">
        <is>
          <t>CURRENT STATUS (today)</t>
        </is>
      </c>
      <c r="C12" s="45" t="n"/>
      <c r="D12" s="51" t="n"/>
      <c r="E12" s="50" t="inlineStr">
        <is>
          <t>FINANCIAL SUMMARY (selected period)</t>
        </is>
      </c>
      <c r="F12" s="45" t="n"/>
      <c r="G12" s="51" t="n"/>
      <c r="H12" s="50" t="inlineStr">
        <is>
          <t>PRODUCTION SUMMARY (selected period)</t>
        </is>
      </c>
      <c r="I12" s="45" t="n"/>
      <c r="J12" s="51" t="n"/>
      <c r="K12" s="50" t="inlineStr">
        <is>
          <t>MORTALITY (pen/batch filters)</t>
        </is>
      </c>
      <c r="L12" s="45" t="n"/>
      <c r="M12" s="51" t="n"/>
    </row>
    <row r="13">
      <c r="B13" s="36" t="inlineStr">
        <is>
          <t>Total current stock (animals)</t>
        </is>
      </c>
      <c r="C13" s="45" t="n"/>
      <c r="D13" s="52">
        <f>SUMIFS(tBatches[[Current Quantity]],tBatches[[Status]],"Active",tBatches[[Pen ID]],FPen,tBatches[[Batch ID]],FBatch,tBatches[[Animal Type]],FAnimal)</f>
        <v/>
      </c>
      <c r="E13" s="36" t="inlineStr">
        <is>
          <t>Feed purchased *</t>
        </is>
      </c>
      <c r="F13" s="45" t="n"/>
      <c r="G13" s="53">
        <f>SUMIFS(tFeedPur[[Total Cost]],tFeedPur[[Date]],"&gt;="&amp;DStart,tFeedPur[[Date]],"&lt;="&amp;DEnd)</f>
        <v/>
      </c>
      <c r="H13" s="36" t="inlineStr">
        <is>
          <t>Deaths</t>
        </is>
      </c>
      <c r="I13" s="45" t="n"/>
      <c r="J13" s="52">
        <f>SUMIFS(tMort[[Number of Deaths]],tMort[[Date]],"&gt;="&amp;DStart,tMort[[Date]],"&lt;="&amp;DEnd,tMort[[Pen ID]],FPen,tMort[[Batch ID]],FBatch,tMort[[Animal Type]],FAnimal)</f>
        <v/>
      </c>
      <c r="K13" s="36" t="inlineStr">
        <is>
          <t>Today</t>
        </is>
      </c>
      <c r="L13" s="45" t="n"/>
      <c r="M13" s="52">
        <f>SUMIFS(tMort[[Number of Deaths]],tMort[[Date]],"&gt;="&amp;TODAY(),tMort[[Date]],"&lt;="&amp;TODAY(),tMort[[Pen ID]],FPen,tMort[[Batch ID]],FBatch,tMort[[Animal Type]],FAnimal)</f>
        <v/>
      </c>
    </row>
    <row r="14">
      <c r="B14" s="36" t="inlineStr">
        <is>
          <t>Active pens</t>
        </is>
      </c>
      <c r="C14" s="45" t="n"/>
      <c r="D14" s="52">
        <f>IF(DB_Pen="All Pens",COUNTIFS(tPens[[Status]],"Active",tPens[[Animal Type]],FAnimal),COUNTIFS(tPens[[Status]],"Active",tPens[[Pen ID]],FPen))</f>
        <v/>
      </c>
      <c r="E14" s="36" t="inlineStr">
        <is>
          <t>Drugs purchased *</t>
        </is>
      </c>
      <c r="F14" s="45" t="n"/>
      <c r="G14" s="53">
        <f>SUMIFS(tDrugPur[[Total Cost]],tDrugPur[[Date]],"&gt;="&amp;DStart,tDrugPur[[Date]],"&lt;="&amp;DEnd)</f>
        <v/>
      </c>
      <c r="H14" s="36" t="inlineStr">
        <is>
          <t>Mortality rate (deaths / animals placed)</t>
        </is>
      </c>
      <c r="I14" s="45" t="n"/>
      <c r="J14" s="54">
        <f>IFERROR(J13/(SUMIFS(tBatches[[Total Placed]],tBatches[[Batch Start Date]],"&lt;="&amp;DEnd,tBatches[[Closing Date]],"&gt;="&amp;DStart,tBatches[[Pen ID]],FPen,tBatches[[Batch ID]],FBatch,tBatches[[Animal Type]],FAnimal)+SUMIFS(tBatches[[Total Placed]],tBatches[[Batch Start Date]],"&lt;="&amp;DEnd,tBatches[[Closing Date]],"",tBatches[[Pen ID]],FPen,tBatches[[Batch ID]],FBatch,tBatches[[Animal Type]],FAnimal)),0)</f>
        <v/>
      </c>
      <c r="K14" s="36" t="inlineStr">
        <is>
          <t>This week</t>
        </is>
      </c>
      <c r="L14" s="45" t="n"/>
      <c r="M14" s="52">
        <f>SUMIFS(tMort[[Number of Deaths]],tMort[[Date]],"&gt;="&amp;TODAY()-WEEKDAY(TODAY(),2)+1,tMort[[Date]],"&lt;="&amp;TODAY()-WEEKDAY(TODAY(),2)+7,tMort[[Pen ID]],FPen,tMort[[Batch ID]],FBatch,tMort[[Animal Type]],FAnimal)</f>
        <v/>
      </c>
    </row>
    <row r="15">
      <c r="B15" s="36" t="inlineStr">
        <is>
          <t>Active batches</t>
        </is>
      </c>
      <c r="C15" s="45" t="n"/>
      <c r="D15" s="52">
        <f>COUNTIFS(tBatches[[Status]],"Active",tBatches[[Pen ID]],FPen,tBatches[[Batch ID]],FBatch,tBatches[[Animal Type]],FAnimal)</f>
        <v/>
      </c>
      <c r="E15" s="36" t="inlineStr">
        <is>
          <t>Total inventory purchases *</t>
        </is>
      </c>
      <c r="F15" s="45" t="n"/>
      <c r="G15" s="53">
        <f>G13+G14</f>
        <v/>
      </c>
      <c r="H15" s="36" t="inlineStr">
        <is>
          <t>Feed consumed (kg)</t>
        </is>
      </c>
      <c r="I15" s="45" t="n"/>
      <c r="J15" s="55">
        <f>SUMIFS(tFeedIss[[Quantity Issued in kg]],tFeedIss[[Date]],"&gt;="&amp;DStart,tFeedIss[[Date]],"&lt;="&amp;DEnd,tFeedIss[[Pen ID]],FPen,tFeedIss[[Batch ID]],FBatch,tFeedIss[[Animal Type]],FAnimal)</f>
        <v/>
      </c>
      <c r="K15" s="36" t="inlineStr">
        <is>
          <t>This month</t>
        </is>
      </c>
      <c r="L15" s="45" t="n"/>
      <c r="M15" s="52">
        <f>SUMIFS(tMort[[Number of Deaths]],tMort[[Date]],"&gt;="&amp;DATE(YEAR(TODAY()),MONTH(TODAY()),1),tMort[[Date]],"&lt;="&amp;EOMONTH(TODAY(),0),tMort[[Pen ID]],FPen,tMort[[Batch ID]],FBatch,tMort[[Animal Type]],FAnimal)</f>
        <v/>
      </c>
    </row>
    <row r="16">
      <c r="B16" s="36" t="inlineStr">
        <is>
          <t>Feed in store (kg) *</t>
        </is>
      </c>
      <c r="C16" s="45" t="n"/>
      <c r="D16" s="55">
        <f>INVENTORY!$F$26</f>
        <v/>
      </c>
      <c r="E16" s="36" t="inlineStr">
        <is>
          <t>Feed cost (consumed)</t>
        </is>
      </c>
      <c r="F16" s="45" t="n"/>
      <c r="G16" s="53">
        <f>SUMIFS(tFeedIss[[Total Cost]],tFeedIss[[Date]],"&gt;="&amp;DStart,tFeedIss[[Date]],"&lt;="&amp;DEnd,tFeedIss[[Pen ID]],FPen,tFeedIss[[Batch ID]],FBatch,tFeedIss[[Animal Type]],FAnimal)</f>
        <v/>
      </c>
      <c r="H16" s="36" t="inlineStr">
        <is>
          <t>Drug administrations (records)</t>
        </is>
      </c>
      <c r="I16" s="45" t="n"/>
      <c r="J16" s="52">
        <f>COUNTIFS(tDrugUse[[Date]],"&gt;="&amp;DStart,tDrugUse[[Date]],"&lt;="&amp;DEnd,tDrugUse[[Pen ID]],FPen,tDrugUse[[Batch ID]],FBatch,tDrugUse[[Animal Type]],FAnimal)</f>
        <v/>
      </c>
      <c r="K16" s="36" t="inlineStr">
        <is>
          <t>This year</t>
        </is>
      </c>
      <c r="L16" s="45" t="n"/>
      <c r="M16" s="52">
        <f>SUMIFS(tMort[[Number of Deaths]],tMort[[Date]],"&gt;="&amp;DATE(YEAR(TODAY()),1,1),tMort[[Date]],"&lt;="&amp;DATE(YEAR(TODAY()),12,31),tMort[[Pen ID]],FPen,tMort[[Batch ID]],FBatch,tMort[[Animal Type]],FAnimal)</f>
        <v/>
      </c>
    </row>
    <row r="17">
      <c r="B17" s="36" t="inlineStr">
        <is>
          <t>Feed stock value *</t>
        </is>
      </c>
      <c r="C17" s="45" t="n"/>
      <c r="D17" s="53">
        <f>INVENTORY!$I$26</f>
        <v/>
      </c>
      <c r="E17" s="36" t="inlineStr">
        <is>
          <t>Drug cost (used)</t>
        </is>
      </c>
      <c r="F17" s="45" t="n"/>
      <c r="G17" s="53">
        <f>SUMIFS(tDrugUse[[Total Cost]],tDrugUse[[Date]],"&gt;="&amp;DStart,tDrugUse[[Date]],"&lt;="&amp;DEnd,tDrugUse[[Pen ID]],FPen,tDrugUse[[Batch ID]],FBatch,tDrugUse[[Animal Type]],FAnimal)</f>
        <v/>
      </c>
      <c r="H17" s="36" t="inlineStr">
        <is>
          <t>Latest average weight (kg)</t>
        </is>
      </c>
      <c r="I17" s="45" t="n"/>
      <c r="J17" s="56">
        <f>IF(_xlfn.MAXIFS(tProd[[Date]],tProd[[Date]],"&gt;="&amp;DStart,tProd[[Date]],"&lt;="&amp;DEnd,tProd[[Pen ID]],FPen,tProd[[Batch ID]],FBatch,tProd[[Animal Type]],FAnimal,tProd[[Measurement Type]],"Weighing")=0,"",IFERROR(AVERAGEIFS(tProd[[Average Weight kg]],tProd[[Date]],"&gt;="&amp;DStart,tProd[[Date]],"&lt;="&amp;DEnd,tProd[[Pen ID]],FPen,tProd[[Batch ID]],FBatch,tProd[[Animal Type]],FAnimal,tProd[[Measurement Type]],"Weighing",tProd[[Date]],_xlfn.MAXIFS(tProd[[Date]],tProd[[Date]],"&gt;="&amp;DStart,tProd[[Date]],"&lt;="&amp;DEnd,tProd[[Pen ID]],FPen,tProd[[Batch ID]],FBatch,tProd[[Animal Type]],FAnimal,tProd[[Measurement Type]],"Weighing")),""))</f>
        <v/>
      </c>
      <c r="K17" s="36" t="inlineStr">
        <is>
          <t>All time</t>
        </is>
      </c>
      <c r="L17" s="45" t="n"/>
      <c r="M17" s="52">
        <f>SUMIFS(tMort[[Number of Deaths]],tMort[[Date]],"&gt;="&amp;1,tMort[[Date]],"&lt;="&amp;2958465,tMort[[Pen ID]],FPen,tMort[[Batch ID]],FBatch,tMort[[Animal Type]],FAnimal)</f>
        <v/>
      </c>
    </row>
    <row r="18">
      <c r="B18" s="36" t="inlineStr">
        <is>
          <t>Drug stock value *</t>
        </is>
      </c>
      <c r="C18" s="45" t="n"/>
      <c r="D18" s="53">
        <f>INVENTORY!$I$81</f>
        <v/>
      </c>
      <c r="E18" s="36" t="inlineStr">
        <is>
          <t>Other expenses</t>
        </is>
      </c>
      <c r="F18" s="45" t="n"/>
      <c r="G18" s="53">
        <f>SUMIFS(tExp[[Amount]],tExp[[Date]],"&gt;="&amp;DStart,tExp[[Date]],"&lt;="&amp;DEnd,tExp[[Pen ID / General]],FPen,tExp[[Batch ID (if applicable)]],FBatch,tExp[[Animal Type]],FAnimal)</f>
        <v/>
      </c>
      <c r="H18" s="36" t="inlineStr">
        <is>
          <t>Output quantity (eggs etc.)</t>
        </is>
      </c>
      <c r="I18" s="45" t="n"/>
      <c r="J18" s="55">
        <f>SUMIFS(tProd[[Quantity]],tProd[[Date]],"&gt;="&amp;DStart,tProd[[Date]],"&lt;="&amp;DEnd,tProd[[Pen ID]],FPen,tProd[[Batch ID]],FBatch,tProd[[Animal Type]],FAnimal,tProd[[Measurement Type]],"&lt;&gt;Weighing")</f>
        <v/>
      </c>
      <c r="K18" s="36" t="inlineStr">
        <is>
          <t>Current stock (active batches)</t>
        </is>
      </c>
      <c r="L18" s="45" t="n"/>
      <c r="M18" s="52">
        <f>D13</f>
        <v/>
      </c>
    </row>
    <row r="19">
      <c r="B19" s="36" t="inlineStr">
        <is>
          <t>Total inventory value *</t>
        </is>
      </c>
      <c r="C19" s="45" t="n"/>
      <c r="D19" s="53">
        <f>INVENTORY!$B$83</f>
        <v/>
      </c>
      <c r="E19" s="32" t="inlineStr">
        <is>
          <t>TOTAL COST</t>
        </is>
      </c>
      <c r="F19" s="45" t="n"/>
      <c r="G19" s="57">
        <f>G16+G17+G18</f>
        <v/>
      </c>
      <c r="H19" s="36" t="inlineStr">
        <is>
          <t>Animals sold (heads)</t>
        </is>
      </c>
      <c r="I19" s="45" t="n"/>
      <c r="J19" s="52">
        <f>SUMIFS(tSales[[Heads Removed]],tSales[[Date]],"&gt;="&amp;DStart,tSales[[Date]],"&lt;="&amp;DEnd,tSales[[Pen ID]],FPen,tSales[[Batch ID]],FBatch,tSales[[Animal Type]],FAnimal)</f>
        <v/>
      </c>
    </row>
    <row r="20">
      <c r="B20" s="36" t="inlineStr">
        <is>
          <t>Total pens registered</t>
        </is>
      </c>
      <c r="C20" s="45" t="n"/>
      <c r="D20" s="52">
        <f>COUNTA(tPens[[Pen ID]])</f>
        <v/>
      </c>
      <c r="E20" s="32" t="inlineStr">
        <is>
          <t>TOTAL SALES</t>
        </is>
      </c>
      <c r="F20" s="45" t="n"/>
      <c r="G20" s="57">
        <f>SUMIFS(tSales[[Total Revenue]],tSales[[Date]],"&gt;="&amp;DStart,tSales[[Date]],"&lt;="&amp;DEnd,tSales[[Pen ID]],FPen,tSales[[Batch ID]],FBatch,tSales[[Animal Type]],FAnimal)</f>
        <v/>
      </c>
      <c r="H20" s="36" t="inlineStr">
        <is>
          <t>Animals placed in batches active in period</t>
        </is>
      </c>
      <c r="I20" s="45" t="n"/>
      <c r="J20" s="52">
        <f>SUMIFS(tBatches[[Total Placed]],tBatches[[Batch Start Date]],"&lt;="&amp;DEnd,tBatches[[Closing Date]],"&gt;="&amp;DStart,tBatches[[Pen ID]],FPen,tBatches[[Batch ID]],FBatch,tBatches[[Animal Type]],FAnimal)+SUMIFS(tBatches[[Total Placed]],tBatches[[Batch Start Date]],"&lt;="&amp;DEnd,tBatches[[Closing Date]],"",tBatches[[Pen ID]],FPen,tBatches[[Batch ID]],FBatch,tBatches[[Animal Type]],FAnimal)</f>
        <v/>
      </c>
    </row>
    <row r="21">
      <c r="B21" s="36" t="inlineStr">
        <is>
          <t>Batches ever recorded (incl. closed)</t>
        </is>
      </c>
      <c r="C21" s="45" t="n"/>
      <c r="D21" s="52">
        <f>COUNTA(tBatches[[Batch ID]])</f>
        <v/>
      </c>
      <c r="E21" s="32" t="inlineStr">
        <is>
          <t>PROFIT / LOSS</t>
        </is>
      </c>
      <c r="F21" s="45" t="n"/>
      <c r="G21" s="57">
        <f>G20-G19</f>
        <v/>
      </c>
    </row>
    <row r="22">
      <c r="E22" s="36" t="inlineStr">
        <is>
          <t>Cash balance at period end *</t>
        </is>
      </c>
      <c r="F22" s="45" t="n"/>
      <c r="G22" s="53">
        <f>SUMIFS(tCash[[Money In]],tCash[[Date]],"&lt;="&amp;DEnd)-SUMIFS(tCash[[Money Out]],tCash[[Date]],"&lt;="&amp;DEnd)</f>
        <v/>
      </c>
    </row>
    <row r="23">
      <c r="B23" s="7" t="inlineStr">
        <is>
          <t>* = farm-wide figure (not affected by pen / batch / animal filters). Profit = sales - (feed &amp; drugs actually consumed + other expenses). Inventory purchases are NOT cost until issued.</t>
        </is>
      </c>
    </row>
    <row r="41">
      <c r="B41" s="25" t="inlineStr">
        <is>
          <t>PEN SUMMARY / COMPARISON (selected period; batch &amp; animal filters apply) - factual figures, no ranking</t>
        </is>
      </c>
    </row>
    <row r="42" ht="30" customHeight="1">
      <c r="B42" s="26" t="inlineStr">
        <is>
          <t>Pen ID</t>
        </is>
      </c>
      <c r="C42" s="26" t="inlineStr">
        <is>
          <t>Pen Name</t>
        </is>
      </c>
      <c r="D42" s="26" t="inlineStr">
        <is>
          <t>Current Batch</t>
        </is>
      </c>
      <c r="E42" s="26" t="inlineStr">
        <is>
          <t>Status</t>
        </is>
      </c>
      <c r="F42" s="26" t="inlineStr">
        <is>
          <t>Current Stock</t>
        </is>
      </c>
      <c r="G42" s="26" t="inlineStr">
        <is>
          <t>Feed Used kg</t>
        </is>
      </c>
      <c r="H42" s="26" t="inlineStr">
        <is>
          <t>Feed Cost</t>
        </is>
      </c>
      <c r="I42" s="26" t="inlineStr">
        <is>
          <t>Drug Cost</t>
        </is>
      </c>
      <c r="J42" s="26" t="inlineStr">
        <is>
          <t>Other Cost</t>
        </is>
      </c>
      <c r="K42" s="26" t="inlineStr">
        <is>
          <t>Total Cost</t>
        </is>
      </c>
      <c r="L42" s="26" t="inlineStr">
        <is>
          <t>Revenue</t>
        </is>
      </c>
      <c r="M42" s="26" t="inlineStr">
        <is>
          <t>Profit / Loss</t>
        </is>
      </c>
      <c r="N42" s="26" t="inlineStr">
        <is>
          <t>Deaths</t>
        </is>
      </c>
    </row>
    <row r="43">
      <c r="B43" s="27">
        <f>IFERROR(INDEX(tPens[[Pen ID]],1)&amp;"","")</f>
        <v/>
      </c>
      <c r="C43" s="36">
        <f>IF($B43="","",INDEX(tPens[[Pen Name]],1)&amp;"")</f>
        <v/>
      </c>
      <c r="D43" s="36">
        <f>IF($B43="","",INDEX(tPens[[Current Batch ID]],1)&amp;"")</f>
        <v/>
      </c>
      <c r="E43" s="36">
        <f>IF($B43="","",INDEX(tPens[[Status]],1)&amp;"")</f>
        <v/>
      </c>
      <c r="F43" s="39">
        <f>IF($B43="","",INDEX(tPens[[Current Stock]],1))</f>
        <v/>
      </c>
      <c r="G43" s="28">
        <f>IF($B43="","",SUMIFS(tFeedIss[[Quantity Issued in kg]],tFeedIss[[Date]],"&gt;="&amp;DStart,tFeedIss[[Date]],"&lt;="&amp;DEnd,tFeedIss[[Pen ID]],$B43,tFeedIss[[Batch ID]],FBatch,tFeedIss[[Animal Type]],FAnimal))</f>
        <v/>
      </c>
      <c r="H43" s="29">
        <f>IF($B43="","",SUMIFS(tFeedIss[[Total Cost]],tFeedIss[[Date]],"&gt;="&amp;DStart,tFeedIss[[Date]],"&lt;="&amp;DEnd,tFeedIss[[Pen ID]],$B43,tFeedIss[[Batch ID]],FBatch,tFeedIss[[Animal Type]],FAnimal))</f>
        <v/>
      </c>
      <c r="I43" s="29">
        <f>IF($B43="","",SUMIFS(tDrugUse[[Total Cost]],tDrugUse[[Date]],"&gt;="&amp;DStart,tDrugUse[[Date]],"&lt;="&amp;DEnd,tDrugUse[[Pen ID]],$B43,tDrugUse[[Batch ID]],FBatch,tDrugUse[[Animal Type]],FAnimal))</f>
        <v/>
      </c>
      <c r="J43" s="29">
        <f>IF($B43="","",SUMIFS(tExp[[Amount]],tExp[[Date]],"&gt;="&amp;DStart,tExp[[Date]],"&lt;="&amp;DEnd,tExp[[Pen ID / General]],$B43,tExp[[Batch ID (if applicable)]],FBatch,tExp[[Animal Type]],FAnimal))</f>
        <v/>
      </c>
      <c r="K43" s="41">
        <f>IF($B43="","",H43+I43+J43)</f>
        <v/>
      </c>
      <c r="L43" s="41">
        <f>IF($B43="","",SUMIFS(tSales[[Total Revenue]],tSales[[Date]],"&gt;="&amp;DStart,tSales[[Date]],"&lt;="&amp;DEnd,tSales[[Pen ID]],$B43,tSales[[Batch ID]],FBatch,tSales[[Animal Type]],FAnimal))</f>
        <v/>
      </c>
      <c r="M43" s="41">
        <f>IF($B43="","",L43-K43)</f>
        <v/>
      </c>
      <c r="N43" s="39">
        <f>IF($B43="","",SUMIFS(tMort[[Number of Deaths]],tMort[[Date]],"&gt;="&amp;DStart,tMort[[Date]],"&lt;="&amp;DEnd,tMort[[Pen ID]],$B43,tMort[[Batch ID]],FBatch,tMort[[Animal Type]],FAnimal))</f>
        <v/>
      </c>
    </row>
    <row r="44">
      <c r="B44" s="27">
        <f>IFERROR(INDEX(tPens[[Pen ID]],2)&amp;"","")</f>
        <v/>
      </c>
      <c r="C44" s="36">
        <f>IF($B44="","",INDEX(tPens[[Pen Name]],2)&amp;"")</f>
        <v/>
      </c>
      <c r="D44" s="36">
        <f>IF($B44="","",INDEX(tPens[[Current Batch ID]],2)&amp;"")</f>
        <v/>
      </c>
      <c r="E44" s="36">
        <f>IF($B44="","",INDEX(tPens[[Status]],2)&amp;"")</f>
        <v/>
      </c>
      <c r="F44" s="39">
        <f>IF($B44="","",INDEX(tPens[[Current Stock]],2))</f>
        <v/>
      </c>
      <c r="G44" s="28">
        <f>IF($B44="","",SUMIFS(tFeedIss[[Quantity Issued in kg]],tFeedIss[[Date]],"&gt;="&amp;DStart,tFeedIss[[Date]],"&lt;="&amp;DEnd,tFeedIss[[Pen ID]],$B44,tFeedIss[[Batch ID]],FBatch,tFeedIss[[Animal Type]],FAnimal))</f>
        <v/>
      </c>
      <c r="H44" s="29">
        <f>IF($B44="","",SUMIFS(tFeedIss[[Total Cost]],tFeedIss[[Date]],"&gt;="&amp;DStart,tFeedIss[[Date]],"&lt;="&amp;DEnd,tFeedIss[[Pen ID]],$B44,tFeedIss[[Batch ID]],FBatch,tFeedIss[[Animal Type]],FAnimal))</f>
        <v/>
      </c>
      <c r="I44" s="29">
        <f>IF($B44="","",SUMIFS(tDrugUse[[Total Cost]],tDrugUse[[Date]],"&gt;="&amp;DStart,tDrugUse[[Date]],"&lt;="&amp;DEnd,tDrugUse[[Pen ID]],$B44,tDrugUse[[Batch ID]],FBatch,tDrugUse[[Animal Type]],FAnimal))</f>
        <v/>
      </c>
      <c r="J44" s="29">
        <f>IF($B44="","",SUMIFS(tExp[[Amount]],tExp[[Date]],"&gt;="&amp;DStart,tExp[[Date]],"&lt;="&amp;DEnd,tExp[[Pen ID / General]],$B44,tExp[[Batch ID (if applicable)]],FBatch,tExp[[Animal Type]],FAnimal))</f>
        <v/>
      </c>
      <c r="K44" s="41">
        <f>IF($B44="","",H44+I44+J44)</f>
        <v/>
      </c>
      <c r="L44" s="41">
        <f>IF($B44="","",SUMIFS(tSales[[Total Revenue]],tSales[[Date]],"&gt;="&amp;DStart,tSales[[Date]],"&lt;="&amp;DEnd,tSales[[Pen ID]],$B44,tSales[[Batch ID]],FBatch,tSales[[Animal Type]],FAnimal))</f>
        <v/>
      </c>
      <c r="M44" s="41">
        <f>IF($B44="","",L44-K44)</f>
        <v/>
      </c>
      <c r="N44" s="39">
        <f>IF($B44="","",SUMIFS(tMort[[Number of Deaths]],tMort[[Date]],"&gt;="&amp;DStart,tMort[[Date]],"&lt;="&amp;DEnd,tMort[[Pen ID]],$B44,tMort[[Batch ID]],FBatch,tMort[[Animal Type]],FAnimal))</f>
        <v/>
      </c>
    </row>
    <row r="45">
      <c r="B45" s="27">
        <f>IFERROR(INDEX(tPens[[Pen ID]],3)&amp;"","")</f>
        <v/>
      </c>
      <c r="C45" s="36">
        <f>IF($B45="","",INDEX(tPens[[Pen Name]],3)&amp;"")</f>
        <v/>
      </c>
      <c r="D45" s="36">
        <f>IF($B45="","",INDEX(tPens[[Current Batch ID]],3)&amp;"")</f>
        <v/>
      </c>
      <c r="E45" s="36">
        <f>IF($B45="","",INDEX(tPens[[Status]],3)&amp;"")</f>
        <v/>
      </c>
      <c r="F45" s="39">
        <f>IF($B45="","",INDEX(tPens[[Current Stock]],3))</f>
        <v/>
      </c>
      <c r="G45" s="28">
        <f>IF($B45="","",SUMIFS(tFeedIss[[Quantity Issued in kg]],tFeedIss[[Date]],"&gt;="&amp;DStart,tFeedIss[[Date]],"&lt;="&amp;DEnd,tFeedIss[[Pen ID]],$B45,tFeedIss[[Batch ID]],FBatch,tFeedIss[[Animal Type]],FAnimal))</f>
        <v/>
      </c>
      <c r="H45" s="29">
        <f>IF($B45="","",SUMIFS(tFeedIss[[Total Cost]],tFeedIss[[Date]],"&gt;="&amp;DStart,tFeedIss[[Date]],"&lt;="&amp;DEnd,tFeedIss[[Pen ID]],$B45,tFeedIss[[Batch ID]],FBatch,tFeedIss[[Animal Type]],FAnimal))</f>
        <v/>
      </c>
      <c r="I45" s="29">
        <f>IF($B45="","",SUMIFS(tDrugUse[[Total Cost]],tDrugUse[[Date]],"&gt;="&amp;DStart,tDrugUse[[Date]],"&lt;="&amp;DEnd,tDrugUse[[Pen ID]],$B45,tDrugUse[[Batch ID]],FBatch,tDrugUse[[Animal Type]],FAnimal))</f>
        <v/>
      </c>
      <c r="J45" s="29">
        <f>IF($B45="","",SUMIFS(tExp[[Amount]],tExp[[Date]],"&gt;="&amp;DStart,tExp[[Date]],"&lt;="&amp;DEnd,tExp[[Pen ID / General]],$B45,tExp[[Batch ID (if applicable)]],FBatch,tExp[[Animal Type]],FAnimal))</f>
        <v/>
      </c>
      <c r="K45" s="41">
        <f>IF($B45="","",H45+I45+J45)</f>
        <v/>
      </c>
      <c r="L45" s="41">
        <f>IF($B45="","",SUMIFS(tSales[[Total Revenue]],tSales[[Date]],"&gt;="&amp;DStart,tSales[[Date]],"&lt;="&amp;DEnd,tSales[[Pen ID]],$B45,tSales[[Batch ID]],FBatch,tSales[[Animal Type]],FAnimal))</f>
        <v/>
      </c>
      <c r="M45" s="41">
        <f>IF($B45="","",L45-K45)</f>
        <v/>
      </c>
      <c r="N45" s="39">
        <f>IF($B45="","",SUMIFS(tMort[[Number of Deaths]],tMort[[Date]],"&gt;="&amp;DStart,tMort[[Date]],"&lt;="&amp;DEnd,tMort[[Pen ID]],$B45,tMort[[Batch ID]],FBatch,tMort[[Animal Type]],FAnimal))</f>
        <v/>
      </c>
    </row>
    <row r="46">
      <c r="B46" s="27">
        <f>IFERROR(INDEX(tPens[[Pen ID]],4)&amp;"","")</f>
        <v/>
      </c>
      <c r="C46" s="36">
        <f>IF($B46="","",INDEX(tPens[[Pen Name]],4)&amp;"")</f>
        <v/>
      </c>
      <c r="D46" s="36">
        <f>IF($B46="","",INDEX(tPens[[Current Batch ID]],4)&amp;"")</f>
        <v/>
      </c>
      <c r="E46" s="36">
        <f>IF($B46="","",INDEX(tPens[[Status]],4)&amp;"")</f>
        <v/>
      </c>
      <c r="F46" s="39">
        <f>IF($B46="","",INDEX(tPens[[Current Stock]],4))</f>
        <v/>
      </c>
      <c r="G46" s="28">
        <f>IF($B46="","",SUMIFS(tFeedIss[[Quantity Issued in kg]],tFeedIss[[Date]],"&gt;="&amp;DStart,tFeedIss[[Date]],"&lt;="&amp;DEnd,tFeedIss[[Pen ID]],$B46,tFeedIss[[Batch ID]],FBatch,tFeedIss[[Animal Type]],FAnimal))</f>
        <v/>
      </c>
      <c r="H46" s="29">
        <f>IF($B46="","",SUMIFS(tFeedIss[[Total Cost]],tFeedIss[[Date]],"&gt;="&amp;DStart,tFeedIss[[Date]],"&lt;="&amp;DEnd,tFeedIss[[Pen ID]],$B46,tFeedIss[[Batch ID]],FBatch,tFeedIss[[Animal Type]],FAnimal))</f>
        <v/>
      </c>
      <c r="I46" s="29">
        <f>IF($B46="","",SUMIFS(tDrugUse[[Total Cost]],tDrugUse[[Date]],"&gt;="&amp;DStart,tDrugUse[[Date]],"&lt;="&amp;DEnd,tDrugUse[[Pen ID]],$B46,tDrugUse[[Batch ID]],FBatch,tDrugUse[[Animal Type]],FAnimal))</f>
        <v/>
      </c>
      <c r="J46" s="29">
        <f>IF($B46="","",SUMIFS(tExp[[Amount]],tExp[[Date]],"&gt;="&amp;DStart,tExp[[Date]],"&lt;="&amp;DEnd,tExp[[Pen ID / General]],$B46,tExp[[Batch ID (if applicable)]],FBatch,tExp[[Animal Type]],FAnimal))</f>
        <v/>
      </c>
      <c r="K46" s="41">
        <f>IF($B46="","",H46+I46+J46)</f>
        <v/>
      </c>
      <c r="L46" s="41">
        <f>IF($B46="","",SUMIFS(tSales[[Total Revenue]],tSales[[Date]],"&gt;="&amp;DStart,tSales[[Date]],"&lt;="&amp;DEnd,tSales[[Pen ID]],$B46,tSales[[Batch ID]],FBatch,tSales[[Animal Type]],FAnimal))</f>
        <v/>
      </c>
      <c r="M46" s="41">
        <f>IF($B46="","",L46-K46)</f>
        <v/>
      </c>
      <c r="N46" s="39">
        <f>IF($B46="","",SUMIFS(tMort[[Number of Deaths]],tMort[[Date]],"&gt;="&amp;DStart,tMort[[Date]],"&lt;="&amp;DEnd,tMort[[Pen ID]],$B46,tMort[[Batch ID]],FBatch,tMort[[Animal Type]],FAnimal))</f>
        <v/>
      </c>
    </row>
    <row r="47">
      <c r="B47" s="27">
        <f>IFERROR(INDEX(tPens[[Pen ID]],5)&amp;"","")</f>
        <v/>
      </c>
      <c r="C47" s="36">
        <f>IF($B47="","",INDEX(tPens[[Pen Name]],5)&amp;"")</f>
        <v/>
      </c>
      <c r="D47" s="36">
        <f>IF($B47="","",INDEX(tPens[[Current Batch ID]],5)&amp;"")</f>
        <v/>
      </c>
      <c r="E47" s="36">
        <f>IF($B47="","",INDEX(tPens[[Status]],5)&amp;"")</f>
        <v/>
      </c>
      <c r="F47" s="39">
        <f>IF($B47="","",INDEX(tPens[[Current Stock]],5))</f>
        <v/>
      </c>
      <c r="G47" s="28">
        <f>IF($B47="","",SUMIFS(tFeedIss[[Quantity Issued in kg]],tFeedIss[[Date]],"&gt;="&amp;DStart,tFeedIss[[Date]],"&lt;="&amp;DEnd,tFeedIss[[Pen ID]],$B47,tFeedIss[[Batch ID]],FBatch,tFeedIss[[Animal Type]],FAnimal))</f>
        <v/>
      </c>
      <c r="H47" s="29">
        <f>IF($B47="","",SUMIFS(tFeedIss[[Total Cost]],tFeedIss[[Date]],"&gt;="&amp;DStart,tFeedIss[[Date]],"&lt;="&amp;DEnd,tFeedIss[[Pen ID]],$B47,tFeedIss[[Batch ID]],FBatch,tFeedIss[[Animal Type]],FAnimal))</f>
        <v/>
      </c>
      <c r="I47" s="29">
        <f>IF($B47="","",SUMIFS(tDrugUse[[Total Cost]],tDrugUse[[Date]],"&gt;="&amp;DStart,tDrugUse[[Date]],"&lt;="&amp;DEnd,tDrugUse[[Pen ID]],$B47,tDrugUse[[Batch ID]],FBatch,tDrugUse[[Animal Type]],FAnimal))</f>
        <v/>
      </c>
      <c r="J47" s="29">
        <f>IF($B47="","",SUMIFS(tExp[[Amount]],tExp[[Date]],"&gt;="&amp;DStart,tExp[[Date]],"&lt;="&amp;DEnd,tExp[[Pen ID / General]],$B47,tExp[[Batch ID (if applicable)]],FBatch,tExp[[Animal Type]],FAnimal))</f>
        <v/>
      </c>
      <c r="K47" s="41">
        <f>IF($B47="","",H47+I47+J47)</f>
        <v/>
      </c>
      <c r="L47" s="41">
        <f>IF($B47="","",SUMIFS(tSales[[Total Revenue]],tSales[[Date]],"&gt;="&amp;DStart,tSales[[Date]],"&lt;="&amp;DEnd,tSales[[Pen ID]],$B47,tSales[[Batch ID]],FBatch,tSales[[Animal Type]],FAnimal))</f>
        <v/>
      </c>
      <c r="M47" s="41">
        <f>IF($B47="","",L47-K47)</f>
        <v/>
      </c>
      <c r="N47" s="39">
        <f>IF($B47="","",SUMIFS(tMort[[Number of Deaths]],tMort[[Date]],"&gt;="&amp;DStart,tMort[[Date]],"&lt;="&amp;DEnd,tMort[[Pen ID]],$B47,tMort[[Batch ID]],FBatch,tMort[[Animal Type]],FAnimal))</f>
        <v/>
      </c>
    </row>
    <row r="48">
      <c r="B48" s="27">
        <f>IFERROR(INDEX(tPens[[Pen ID]],6)&amp;"","")</f>
        <v/>
      </c>
      <c r="C48" s="36">
        <f>IF($B48="","",INDEX(tPens[[Pen Name]],6)&amp;"")</f>
        <v/>
      </c>
      <c r="D48" s="36">
        <f>IF($B48="","",INDEX(tPens[[Current Batch ID]],6)&amp;"")</f>
        <v/>
      </c>
      <c r="E48" s="36">
        <f>IF($B48="","",INDEX(tPens[[Status]],6)&amp;"")</f>
        <v/>
      </c>
      <c r="F48" s="39">
        <f>IF($B48="","",INDEX(tPens[[Current Stock]],6))</f>
        <v/>
      </c>
      <c r="G48" s="28">
        <f>IF($B48="","",SUMIFS(tFeedIss[[Quantity Issued in kg]],tFeedIss[[Date]],"&gt;="&amp;DStart,tFeedIss[[Date]],"&lt;="&amp;DEnd,tFeedIss[[Pen ID]],$B48,tFeedIss[[Batch ID]],FBatch,tFeedIss[[Animal Type]],FAnimal))</f>
        <v/>
      </c>
      <c r="H48" s="29">
        <f>IF($B48="","",SUMIFS(tFeedIss[[Total Cost]],tFeedIss[[Date]],"&gt;="&amp;DStart,tFeedIss[[Date]],"&lt;="&amp;DEnd,tFeedIss[[Pen ID]],$B48,tFeedIss[[Batch ID]],FBatch,tFeedIss[[Animal Type]],FAnimal))</f>
        <v/>
      </c>
      <c r="I48" s="29">
        <f>IF($B48="","",SUMIFS(tDrugUse[[Total Cost]],tDrugUse[[Date]],"&gt;="&amp;DStart,tDrugUse[[Date]],"&lt;="&amp;DEnd,tDrugUse[[Pen ID]],$B48,tDrugUse[[Batch ID]],FBatch,tDrugUse[[Animal Type]],FAnimal))</f>
        <v/>
      </c>
      <c r="J48" s="29">
        <f>IF($B48="","",SUMIFS(tExp[[Amount]],tExp[[Date]],"&gt;="&amp;DStart,tExp[[Date]],"&lt;="&amp;DEnd,tExp[[Pen ID / General]],$B48,tExp[[Batch ID (if applicable)]],FBatch,tExp[[Animal Type]],FAnimal))</f>
        <v/>
      </c>
      <c r="K48" s="41">
        <f>IF($B48="","",H48+I48+J48)</f>
        <v/>
      </c>
      <c r="L48" s="41">
        <f>IF($B48="","",SUMIFS(tSales[[Total Revenue]],tSales[[Date]],"&gt;="&amp;DStart,tSales[[Date]],"&lt;="&amp;DEnd,tSales[[Pen ID]],$B48,tSales[[Batch ID]],FBatch,tSales[[Animal Type]],FAnimal))</f>
        <v/>
      </c>
      <c r="M48" s="41">
        <f>IF($B48="","",L48-K48)</f>
        <v/>
      </c>
      <c r="N48" s="39">
        <f>IF($B48="","",SUMIFS(tMort[[Number of Deaths]],tMort[[Date]],"&gt;="&amp;DStart,tMort[[Date]],"&lt;="&amp;DEnd,tMort[[Pen ID]],$B48,tMort[[Batch ID]],FBatch,tMort[[Animal Type]],FAnimal))</f>
        <v/>
      </c>
    </row>
    <row r="49">
      <c r="B49" s="27">
        <f>IFERROR(INDEX(tPens[[Pen ID]],7)&amp;"","")</f>
        <v/>
      </c>
      <c r="C49" s="36">
        <f>IF($B49="","",INDEX(tPens[[Pen Name]],7)&amp;"")</f>
        <v/>
      </c>
      <c r="D49" s="36">
        <f>IF($B49="","",INDEX(tPens[[Current Batch ID]],7)&amp;"")</f>
        <v/>
      </c>
      <c r="E49" s="36">
        <f>IF($B49="","",INDEX(tPens[[Status]],7)&amp;"")</f>
        <v/>
      </c>
      <c r="F49" s="39">
        <f>IF($B49="","",INDEX(tPens[[Current Stock]],7))</f>
        <v/>
      </c>
      <c r="G49" s="28">
        <f>IF($B49="","",SUMIFS(tFeedIss[[Quantity Issued in kg]],tFeedIss[[Date]],"&gt;="&amp;DStart,tFeedIss[[Date]],"&lt;="&amp;DEnd,tFeedIss[[Pen ID]],$B49,tFeedIss[[Batch ID]],FBatch,tFeedIss[[Animal Type]],FAnimal))</f>
        <v/>
      </c>
      <c r="H49" s="29">
        <f>IF($B49="","",SUMIFS(tFeedIss[[Total Cost]],tFeedIss[[Date]],"&gt;="&amp;DStart,tFeedIss[[Date]],"&lt;="&amp;DEnd,tFeedIss[[Pen ID]],$B49,tFeedIss[[Batch ID]],FBatch,tFeedIss[[Animal Type]],FAnimal))</f>
        <v/>
      </c>
      <c r="I49" s="29">
        <f>IF($B49="","",SUMIFS(tDrugUse[[Total Cost]],tDrugUse[[Date]],"&gt;="&amp;DStart,tDrugUse[[Date]],"&lt;="&amp;DEnd,tDrugUse[[Pen ID]],$B49,tDrugUse[[Batch ID]],FBatch,tDrugUse[[Animal Type]],FAnimal))</f>
        <v/>
      </c>
      <c r="J49" s="29">
        <f>IF($B49="","",SUMIFS(tExp[[Amount]],tExp[[Date]],"&gt;="&amp;DStart,tExp[[Date]],"&lt;="&amp;DEnd,tExp[[Pen ID / General]],$B49,tExp[[Batch ID (if applicable)]],FBatch,tExp[[Animal Type]],FAnimal))</f>
        <v/>
      </c>
      <c r="K49" s="41">
        <f>IF($B49="","",H49+I49+J49)</f>
        <v/>
      </c>
      <c r="L49" s="41">
        <f>IF($B49="","",SUMIFS(tSales[[Total Revenue]],tSales[[Date]],"&gt;="&amp;DStart,tSales[[Date]],"&lt;="&amp;DEnd,tSales[[Pen ID]],$B49,tSales[[Batch ID]],FBatch,tSales[[Animal Type]],FAnimal))</f>
        <v/>
      </c>
      <c r="M49" s="41">
        <f>IF($B49="","",L49-K49)</f>
        <v/>
      </c>
      <c r="N49" s="39">
        <f>IF($B49="","",SUMIFS(tMort[[Number of Deaths]],tMort[[Date]],"&gt;="&amp;DStart,tMort[[Date]],"&lt;="&amp;DEnd,tMort[[Pen ID]],$B49,tMort[[Batch ID]],FBatch,tMort[[Animal Type]],FAnimal))</f>
        <v/>
      </c>
    </row>
    <row r="50">
      <c r="B50" s="27">
        <f>IFERROR(INDEX(tPens[[Pen ID]],8)&amp;"","")</f>
        <v/>
      </c>
      <c r="C50" s="36">
        <f>IF($B50="","",INDEX(tPens[[Pen Name]],8)&amp;"")</f>
        <v/>
      </c>
      <c r="D50" s="36">
        <f>IF($B50="","",INDEX(tPens[[Current Batch ID]],8)&amp;"")</f>
        <v/>
      </c>
      <c r="E50" s="36">
        <f>IF($B50="","",INDEX(tPens[[Status]],8)&amp;"")</f>
        <v/>
      </c>
      <c r="F50" s="39">
        <f>IF($B50="","",INDEX(tPens[[Current Stock]],8))</f>
        <v/>
      </c>
      <c r="G50" s="28">
        <f>IF($B50="","",SUMIFS(tFeedIss[[Quantity Issued in kg]],tFeedIss[[Date]],"&gt;="&amp;DStart,tFeedIss[[Date]],"&lt;="&amp;DEnd,tFeedIss[[Pen ID]],$B50,tFeedIss[[Batch ID]],FBatch,tFeedIss[[Animal Type]],FAnimal))</f>
        <v/>
      </c>
      <c r="H50" s="29">
        <f>IF($B50="","",SUMIFS(tFeedIss[[Total Cost]],tFeedIss[[Date]],"&gt;="&amp;DStart,tFeedIss[[Date]],"&lt;="&amp;DEnd,tFeedIss[[Pen ID]],$B50,tFeedIss[[Batch ID]],FBatch,tFeedIss[[Animal Type]],FAnimal))</f>
        <v/>
      </c>
      <c r="I50" s="29">
        <f>IF($B50="","",SUMIFS(tDrugUse[[Total Cost]],tDrugUse[[Date]],"&gt;="&amp;DStart,tDrugUse[[Date]],"&lt;="&amp;DEnd,tDrugUse[[Pen ID]],$B50,tDrugUse[[Batch ID]],FBatch,tDrugUse[[Animal Type]],FAnimal))</f>
        <v/>
      </c>
      <c r="J50" s="29">
        <f>IF($B50="","",SUMIFS(tExp[[Amount]],tExp[[Date]],"&gt;="&amp;DStart,tExp[[Date]],"&lt;="&amp;DEnd,tExp[[Pen ID / General]],$B50,tExp[[Batch ID (if applicable)]],FBatch,tExp[[Animal Type]],FAnimal))</f>
        <v/>
      </c>
      <c r="K50" s="41">
        <f>IF($B50="","",H50+I50+J50)</f>
        <v/>
      </c>
      <c r="L50" s="41">
        <f>IF($B50="","",SUMIFS(tSales[[Total Revenue]],tSales[[Date]],"&gt;="&amp;DStart,tSales[[Date]],"&lt;="&amp;DEnd,tSales[[Pen ID]],$B50,tSales[[Batch ID]],FBatch,tSales[[Animal Type]],FAnimal))</f>
        <v/>
      </c>
      <c r="M50" s="41">
        <f>IF($B50="","",L50-K50)</f>
        <v/>
      </c>
      <c r="N50" s="39">
        <f>IF($B50="","",SUMIFS(tMort[[Number of Deaths]],tMort[[Date]],"&gt;="&amp;DStart,tMort[[Date]],"&lt;="&amp;DEnd,tMort[[Pen ID]],$B50,tMort[[Batch ID]],FBatch,tMort[[Animal Type]],FAnimal))</f>
        <v/>
      </c>
    </row>
    <row r="51">
      <c r="B51" s="27">
        <f>IFERROR(INDEX(tPens[[Pen ID]],9)&amp;"","")</f>
        <v/>
      </c>
      <c r="C51" s="36">
        <f>IF($B51="","",INDEX(tPens[[Pen Name]],9)&amp;"")</f>
        <v/>
      </c>
      <c r="D51" s="36">
        <f>IF($B51="","",INDEX(tPens[[Current Batch ID]],9)&amp;"")</f>
        <v/>
      </c>
      <c r="E51" s="36">
        <f>IF($B51="","",INDEX(tPens[[Status]],9)&amp;"")</f>
        <v/>
      </c>
      <c r="F51" s="39">
        <f>IF($B51="","",INDEX(tPens[[Current Stock]],9))</f>
        <v/>
      </c>
      <c r="G51" s="28">
        <f>IF($B51="","",SUMIFS(tFeedIss[[Quantity Issued in kg]],tFeedIss[[Date]],"&gt;="&amp;DStart,tFeedIss[[Date]],"&lt;="&amp;DEnd,tFeedIss[[Pen ID]],$B51,tFeedIss[[Batch ID]],FBatch,tFeedIss[[Animal Type]],FAnimal))</f>
        <v/>
      </c>
      <c r="H51" s="29">
        <f>IF($B51="","",SUMIFS(tFeedIss[[Total Cost]],tFeedIss[[Date]],"&gt;="&amp;DStart,tFeedIss[[Date]],"&lt;="&amp;DEnd,tFeedIss[[Pen ID]],$B51,tFeedIss[[Batch ID]],FBatch,tFeedIss[[Animal Type]],FAnimal))</f>
        <v/>
      </c>
      <c r="I51" s="29">
        <f>IF($B51="","",SUMIFS(tDrugUse[[Total Cost]],tDrugUse[[Date]],"&gt;="&amp;DStart,tDrugUse[[Date]],"&lt;="&amp;DEnd,tDrugUse[[Pen ID]],$B51,tDrugUse[[Batch ID]],FBatch,tDrugUse[[Animal Type]],FAnimal))</f>
        <v/>
      </c>
      <c r="J51" s="29">
        <f>IF($B51="","",SUMIFS(tExp[[Amount]],tExp[[Date]],"&gt;="&amp;DStart,tExp[[Date]],"&lt;="&amp;DEnd,tExp[[Pen ID / General]],$B51,tExp[[Batch ID (if applicable)]],FBatch,tExp[[Animal Type]],FAnimal))</f>
        <v/>
      </c>
      <c r="K51" s="41">
        <f>IF($B51="","",H51+I51+J51)</f>
        <v/>
      </c>
      <c r="L51" s="41">
        <f>IF($B51="","",SUMIFS(tSales[[Total Revenue]],tSales[[Date]],"&gt;="&amp;DStart,tSales[[Date]],"&lt;="&amp;DEnd,tSales[[Pen ID]],$B51,tSales[[Batch ID]],FBatch,tSales[[Animal Type]],FAnimal))</f>
        <v/>
      </c>
      <c r="M51" s="41">
        <f>IF($B51="","",L51-K51)</f>
        <v/>
      </c>
      <c r="N51" s="39">
        <f>IF($B51="","",SUMIFS(tMort[[Number of Deaths]],tMort[[Date]],"&gt;="&amp;DStart,tMort[[Date]],"&lt;="&amp;DEnd,tMort[[Pen ID]],$B51,tMort[[Batch ID]],FBatch,tMort[[Animal Type]],FAnimal))</f>
        <v/>
      </c>
    </row>
    <row r="52">
      <c r="B52" s="27">
        <f>IFERROR(INDEX(tPens[[Pen ID]],10)&amp;"","")</f>
        <v/>
      </c>
      <c r="C52" s="36">
        <f>IF($B52="","",INDEX(tPens[[Pen Name]],10)&amp;"")</f>
        <v/>
      </c>
      <c r="D52" s="36">
        <f>IF($B52="","",INDEX(tPens[[Current Batch ID]],10)&amp;"")</f>
        <v/>
      </c>
      <c r="E52" s="36">
        <f>IF($B52="","",INDEX(tPens[[Status]],10)&amp;"")</f>
        <v/>
      </c>
      <c r="F52" s="39">
        <f>IF($B52="","",INDEX(tPens[[Current Stock]],10))</f>
        <v/>
      </c>
      <c r="G52" s="28">
        <f>IF($B52="","",SUMIFS(tFeedIss[[Quantity Issued in kg]],tFeedIss[[Date]],"&gt;="&amp;DStart,tFeedIss[[Date]],"&lt;="&amp;DEnd,tFeedIss[[Pen ID]],$B52,tFeedIss[[Batch ID]],FBatch,tFeedIss[[Animal Type]],FAnimal))</f>
        <v/>
      </c>
      <c r="H52" s="29">
        <f>IF($B52="","",SUMIFS(tFeedIss[[Total Cost]],tFeedIss[[Date]],"&gt;="&amp;DStart,tFeedIss[[Date]],"&lt;="&amp;DEnd,tFeedIss[[Pen ID]],$B52,tFeedIss[[Batch ID]],FBatch,tFeedIss[[Animal Type]],FAnimal))</f>
        <v/>
      </c>
      <c r="I52" s="29">
        <f>IF($B52="","",SUMIFS(tDrugUse[[Total Cost]],tDrugUse[[Date]],"&gt;="&amp;DStart,tDrugUse[[Date]],"&lt;="&amp;DEnd,tDrugUse[[Pen ID]],$B52,tDrugUse[[Batch ID]],FBatch,tDrugUse[[Animal Type]],FAnimal))</f>
        <v/>
      </c>
      <c r="J52" s="29">
        <f>IF($B52="","",SUMIFS(tExp[[Amount]],tExp[[Date]],"&gt;="&amp;DStart,tExp[[Date]],"&lt;="&amp;DEnd,tExp[[Pen ID / General]],$B52,tExp[[Batch ID (if applicable)]],FBatch,tExp[[Animal Type]],FAnimal))</f>
        <v/>
      </c>
      <c r="K52" s="41">
        <f>IF($B52="","",H52+I52+J52)</f>
        <v/>
      </c>
      <c r="L52" s="41">
        <f>IF($B52="","",SUMIFS(tSales[[Total Revenue]],tSales[[Date]],"&gt;="&amp;DStart,tSales[[Date]],"&lt;="&amp;DEnd,tSales[[Pen ID]],$B52,tSales[[Batch ID]],FBatch,tSales[[Animal Type]],FAnimal))</f>
        <v/>
      </c>
      <c r="M52" s="41">
        <f>IF($B52="","",L52-K52)</f>
        <v/>
      </c>
      <c r="N52" s="39">
        <f>IF($B52="","",SUMIFS(tMort[[Number of Deaths]],tMort[[Date]],"&gt;="&amp;DStart,tMort[[Date]],"&lt;="&amp;DEnd,tMort[[Pen ID]],$B52,tMort[[Batch ID]],FBatch,tMort[[Animal Type]],FAnimal))</f>
        <v/>
      </c>
    </row>
    <row r="53">
      <c r="B53" s="27">
        <f>IFERROR(INDEX(tPens[[Pen ID]],11)&amp;"","")</f>
        <v/>
      </c>
      <c r="C53" s="36">
        <f>IF($B53="","",INDEX(tPens[[Pen Name]],11)&amp;"")</f>
        <v/>
      </c>
      <c r="D53" s="36">
        <f>IF($B53="","",INDEX(tPens[[Current Batch ID]],11)&amp;"")</f>
        <v/>
      </c>
      <c r="E53" s="36">
        <f>IF($B53="","",INDEX(tPens[[Status]],11)&amp;"")</f>
        <v/>
      </c>
      <c r="F53" s="39">
        <f>IF($B53="","",INDEX(tPens[[Current Stock]],11))</f>
        <v/>
      </c>
      <c r="G53" s="28">
        <f>IF($B53="","",SUMIFS(tFeedIss[[Quantity Issued in kg]],tFeedIss[[Date]],"&gt;="&amp;DStart,tFeedIss[[Date]],"&lt;="&amp;DEnd,tFeedIss[[Pen ID]],$B53,tFeedIss[[Batch ID]],FBatch,tFeedIss[[Animal Type]],FAnimal))</f>
        <v/>
      </c>
      <c r="H53" s="29">
        <f>IF($B53="","",SUMIFS(tFeedIss[[Total Cost]],tFeedIss[[Date]],"&gt;="&amp;DStart,tFeedIss[[Date]],"&lt;="&amp;DEnd,tFeedIss[[Pen ID]],$B53,tFeedIss[[Batch ID]],FBatch,tFeedIss[[Animal Type]],FAnimal))</f>
        <v/>
      </c>
      <c r="I53" s="29">
        <f>IF($B53="","",SUMIFS(tDrugUse[[Total Cost]],tDrugUse[[Date]],"&gt;="&amp;DStart,tDrugUse[[Date]],"&lt;="&amp;DEnd,tDrugUse[[Pen ID]],$B53,tDrugUse[[Batch ID]],FBatch,tDrugUse[[Animal Type]],FAnimal))</f>
        <v/>
      </c>
      <c r="J53" s="29">
        <f>IF($B53="","",SUMIFS(tExp[[Amount]],tExp[[Date]],"&gt;="&amp;DStart,tExp[[Date]],"&lt;="&amp;DEnd,tExp[[Pen ID / General]],$B53,tExp[[Batch ID (if applicable)]],FBatch,tExp[[Animal Type]],FAnimal))</f>
        <v/>
      </c>
      <c r="K53" s="41">
        <f>IF($B53="","",H53+I53+J53)</f>
        <v/>
      </c>
      <c r="L53" s="41">
        <f>IF($B53="","",SUMIFS(tSales[[Total Revenue]],tSales[[Date]],"&gt;="&amp;DStart,tSales[[Date]],"&lt;="&amp;DEnd,tSales[[Pen ID]],$B53,tSales[[Batch ID]],FBatch,tSales[[Animal Type]],FAnimal))</f>
        <v/>
      </c>
      <c r="M53" s="41">
        <f>IF($B53="","",L53-K53)</f>
        <v/>
      </c>
      <c r="N53" s="39">
        <f>IF($B53="","",SUMIFS(tMort[[Number of Deaths]],tMort[[Date]],"&gt;="&amp;DStart,tMort[[Date]],"&lt;="&amp;DEnd,tMort[[Pen ID]],$B53,tMort[[Batch ID]],FBatch,tMort[[Animal Type]],FAnimal))</f>
        <v/>
      </c>
    </row>
    <row r="54">
      <c r="B54" s="27">
        <f>IFERROR(INDEX(tPens[[Pen ID]],12)&amp;"","")</f>
        <v/>
      </c>
      <c r="C54" s="36">
        <f>IF($B54="","",INDEX(tPens[[Pen Name]],12)&amp;"")</f>
        <v/>
      </c>
      <c r="D54" s="36">
        <f>IF($B54="","",INDEX(tPens[[Current Batch ID]],12)&amp;"")</f>
        <v/>
      </c>
      <c r="E54" s="36">
        <f>IF($B54="","",INDEX(tPens[[Status]],12)&amp;"")</f>
        <v/>
      </c>
      <c r="F54" s="39">
        <f>IF($B54="","",INDEX(tPens[[Current Stock]],12))</f>
        <v/>
      </c>
      <c r="G54" s="28">
        <f>IF($B54="","",SUMIFS(tFeedIss[[Quantity Issued in kg]],tFeedIss[[Date]],"&gt;="&amp;DStart,tFeedIss[[Date]],"&lt;="&amp;DEnd,tFeedIss[[Pen ID]],$B54,tFeedIss[[Batch ID]],FBatch,tFeedIss[[Animal Type]],FAnimal))</f>
        <v/>
      </c>
      <c r="H54" s="29">
        <f>IF($B54="","",SUMIFS(tFeedIss[[Total Cost]],tFeedIss[[Date]],"&gt;="&amp;DStart,tFeedIss[[Date]],"&lt;="&amp;DEnd,tFeedIss[[Pen ID]],$B54,tFeedIss[[Batch ID]],FBatch,tFeedIss[[Animal Type]],FAnimal))</f>
        <v/>
      </c>
      <c r="I54" s="29">
        <f>IF($B54="","",SUMIFS(tDrugUse[[Total Cost]],tDrugUse[[Date]],"&gt;="&amp;DStart,tDrugUse[[Date]],"&lt;="&amp;DEnd,tDrugUse[[Pen ID]],$B54,tDrugUse[[Batch ID]],FBatch,tDrugUse[[Animal Type]],FAnimal))</f>
        <v/>
      </c>
      <c r="J54" s="29">
        <f>IF($B54="","",SUMIFS(tExp[[Amount]],tExp[[Date]],"&gt;="&amp;DStart,tExp[[Date]],"&lt;="&amp;DEnd,tExp[[Pen ID / General]],$B54,tExp[[Batch ID (if applicable)]],FBatch,tExp[[Animal Type]],FAnimal))</f>
        <v/>
      </c>
      <c r="K54" s="41">
        <f>IF($B54="","",H54+I54+J54)</f>
        <v/>
      </c>
      <c r="L54" s="41">
        <f>IF($B54="","",SUMIFS(tSales[[Total Revenue]],tSales[[Date]],"&gt;="&amp;DStart,tSales[[Date]],"&lt;="&amp;DEnd,tSales[[Pen ID]],$B54,tSales[[Batch ID]],FBatch,tSales[[Animal Type]],FAnimal))</f>
        <v/>
      </c>
      <c r="M54" s="41">
        <f>IF($B54="","",L54-K54)</f>
        <v/>
      </c>
      <c r="N54" s="39">
        <f>IF($B54="","",SUMIFS(tMort[[Number of Deaths]],tMort[[Date]],"&gt;="&amp;DStart,tMort[[Date]],"&lt;="&amp;DEnd,tMort[[Pen ID]],$B54,tMort[[Batch ID]],FBatch,tMort[[Animal Type]],FAnimal))</f>
        <v/>
      </c>
    </row>
    <row r="55">
      <c r="B55" s="27">
        <f>IFERROR(INDEX(tPens[[Pen ID]],13)&amp;"","")</f>
        <v/>
      </c>
      <c r="C55" s="36">
        <f>IF($B55="","",INDEX(tPens[[Pen Name]],13)&amp;"")</f>
        <v/>
      </c>
      <c r="D55" s="36">
        <f>IF($B55="","",INDEX(tPens[[Current Batch ID]],13)&amp;"")</f>
        <v/>
      </c>
      <c r="E55" s="36">
        <f>IF($B55="","",INDEX(tPens[[Status]],13)&amp;"")</f>
        <v/>
      </c>
      <c r="F55" s="39">
        <f>IF($B55="","",INDEX(tPens[[Current Stock]],13))</f>
        <v/>
      </c>
      <c r="G55" s="28">
        <f>IF($B55="","",SUMIFS(tFeedIss[[Quantity Issued in kg]],tFeedIss[[Date]],"&gt;="&amp;DStart,tFeedIss[[Date]],"&lt;="&amp;DEnd,tFeedIss[[Pen ID]],$B55,tFeedIss[[Batch ID]],FBatch,tFeedIss[[Animal Type]],FAnimal))</f>
        <v/>
      </c>
      <c r="H55" s="29">
        <f>IF($B55="","",SUMIFS(tFeedIss[[Total Cost]],tFeedIss[[Date]],"&gt;="&amp;DStart,tFeedIss[[Date]],"&lt;="&amp;DEnd,tFeedIss[[Pen ID]],$B55,tFeedIss[[Batch ID]],FBatch,tFeedIss[[Animal Type]],FAnimal))</f>
        <v/>
      </c>
      <c r="I55" s="29">
        <f>IF($B55="","",SUMIFS(tDrugUse[[Total Cost]],tDrugUse[[Date]],"&gt;="&amp;DStart,tDrugUse[[Date]],"&lt;="&amp;DEnd,tDrugUse[[Pen ID]],$B55,tDrugUse[[Batch ID]],FBatch,tDrugUse[[Animal Type]],FAnimal))</f>
        <v/>
      </c>
      <c r="J55" s="29">
        <f>IF($B55="","",SUMIFS(tExp[[Amount]],tExp[[Date]],"&gt;="&amp;DStart,tExp[[Date]],"&lt;="&amp;DEnd,tExp[[Pen ID / General]],$B55,tExp[[Batch ID (if applicable)]],FBatch,tExp[[Animal Type]],FAnimal))</f>
        <v/>
      </c>
      <c r="K55" s="41">
        <f>IF($B55="","",H55+I55+J55)</f>
        <v/>
      </c>
      <c r="L55" s="41">
        <f>IF($B55="","",SUMIFS(tSales[[Total Revenue]],tSales[[Date]],"&gt;="&amp;DStart,tSales[[Date]],"&lt;="&amp;DEnd,tSales[[Pen ID]],$B55,tSales[[Batch ID]],FBatch,tSales[[Animal Type]],FAnimal))</f>
        <v/>
      </c>
      <c r="M55" s="41">
        <f>IF($B55="","",L55-K55)</f>
        <v/>
      </c>
      <c r="N55" s="39">
        <f>IF($B55="","",SUMIFS(tMort[[Number of Deaths]],tMort[[Date]],"&gt;="&amp;DStart,tMort[[Date]],"&lt;="&amp;DEnd,tMort[[Pen ID]],$B55,tMort[[Batch ID]],FBatch,tMort[[Animal Type]],FAnimal))</f>
        <v/>
      </c>
    </row>
    <row r="56">
      <c r="B56" s="27">
        <f>IFERROR(INDEX(tPens[[Pen ID]],14)&amp;"","")</f>
        <v/>
      </c>
      <c r="C56" s="36">
        <f>IF($B56="","",INDEX(tPens[[Pen Name]],14)&amp;"")</f>
        <v/>
      </c>
      <c r="D56" s="36">
        <f>IF($B56="","",INDEX(tPens[[Current Batch ID]],14)&amp;"")</f>
        <v/>
      </c>
      <c r="E56" s="36">
        <f>IF($B56="","",INDEX(tPens[[Status]],14)&amp;"")</f>
        <v/>
      </c>
      <c r="F56" s="39">
        <f>IF($B56="","",INDEX(tPens[[Current Stock]],14))</f>
        <v/>
      </c>
      <c r="G56" s="28">
        <f>IF($B56="","",SUMIFS(tFeedIss[[Quantity Issued in kg]],tFeedIss[[Date]],"&gt;="&amp;DStart,tFeedIss[[Date]],"&lt;="&amp;DEnd,tFeedIss[[Pen ID]],$B56,tFeedIss[[Batch ID]],FBatch,tFeedIss[[Animal Type]],FAnimal))</f>
        <v/>
      </c>
      <c r="H56" s="29">
        <f>IF($B56="","",SUMIFS(tFeedIss[[Total Cost]],tFeedIss[[Date]],"&gt;="&amp;DStart,tFeedIss[[Date]],"&lt;="&amp;DEnd,tFeedIss[[Pen ID]],$B56,tFeedIss[[Batch ID]],FBatch,tFeedIss[[Animal Type]],FAnimal))</f>
        <v/>
      </c>
      <c r="I56" s="29">
        <f>IF($B56="","",SUMIFS(tDrugUse[[Total Cost]],tDrugUse[[Date]],"&gt;="&amp;DStart,tDrugUse[[Date]],"&lt;="&amp;DEnd,tDrugUse[[Pen ID]],$B56,tDrugUse[[Batch ID]],FBatch,tDrugUse[[Animal Type]],FAnimal))</f>
        <v/>
      </c>
      <c r="J56" s="29">
        <f>IF($B56="","",SUMIFS(tExp[[Amount]],tExp[[Date]],"&gt;="&amp;DStart,tExp[[Date]],"&lt;="&amp;DEnd,tExp[[Pen ID / General]],$B56,tExp[[Batch ID (if applicable)]],FBatch,tExp[[Animal Type]],FAnimal))</f>
        <v/>
      </c>
      <c r="K56" s="41">
        <f>IF($B56="","",H56+I56+J56)</f>
        <v/>
      </c>
      <c r="L56" s="41">
        <f>IF($B56="","",SUMIFS(tSales[[Total Revenue]],tSales[[Date]],"&gt;="&amp;DStart,tSales[[Date]],"&lt;="&amp;DEnd,tSales[[Pen ID]],$B56,tSales[[Batch ID]],FBatch,tSales[[Animal Type]],FAnimal))</f>
        <v/>
      </c>
      <c r="M56" s="41">
        <f>IF($B56="","",L56-K56)</f>
        <v/>
      </c>
      <c r="N56" s="39">
        <f>IF($B56="","",SUMIFS(tMort[[Number of Deaths]],tMort[[Date]],"&gt;="&amp;DStart,tMort[[Date]],"&lt;="&amp;DEnd,tMort[[Pen ID]],$B56,tMort[[Batch ID]],FBatch,tMort[[Animal Type]],FAnimal))</f>
        <v/>
      </c>
    </row>
    <row r="57">
      <c r="B57" s="27">
        <f>IFERROR(INDEX(tPens[[Pen ID]],15)&amp;"","")</f>
        <v/>
      </c>
      <c r="C57" s="36">
        <f>IF($B57="","",INDEX(tPens[[Pen Name]],15)&amp;"")</f>
        <v/>
      </c>
      <c r="D57" s="36">
        <f>IF($B57="","",INDEX(tPens[[Current Batch ID]],15)&amp;"")</f>
        <v/>
      </c>
      <c r="E57" s="36">
        <f>IF($B57="","",INDEX(tPens[[Status]],15)&amp;"")</f>
        <v/>
      </c>
      <c r="F57" s="39">
        <f>IF($B57="","",INDEX(tPens[[Current Stock]],15))</f>
        <v/>
      </c>
      <c r="G57" s="28">
        <f>IF($B57="","",SUMIFS(tFeedIss[[Quantity Issued in kg]],tFeedIss[[Date]],"&gt;="&amp;DStart,tFeedIss[[Date]],"&lt;="&amp;DEnd,tFeedIss[[Pen ID]],$B57,tFeedIss[[Batch ID]],FBatch,tFeedIss[[Animal Type]],FAnimal))</f>
        <v/>
      </c>
      <c r="H57" s="29">
        <f>IF($B57="","",SUMIFS(tFeedIss[[Total Cost]],tFeedIss[[Date]],"&gt;="&amp;DStart,tFeedIss[[Date]],"&lt;="&amp;DEnd,tFeedIss[[Pen ID]],$B57,tFeedIss[[Batch ID]],FBatch,tFeedIss[[Animal Type]],FAnimal))</f>
        <v/>
      </c>
      <c r="I57" s="29">
        <f>IF($B57="","",SUMIFS(tDrugUse[[Total Cost]],tDrugUse[[Date]],"&gt;="&amp;DStart,tDrugUse[[Date]],"&lt;="&amp;DEnd,tDrugUse[[Pen ID]],$B57,tDrugUse[[Batch ID]],FBatch,tDrugUse[[Animal Type]],FAnimal))</f>
        <v/>
      </c>
      <c r="J57" s="29">
        <f>IF($B57="","",SUMIFS(tExp[[Amount]],tExp[[Date]],"&gt;="&amp;DStart,tExp[[Date]],"&lt;="&amp;DEnd,tExp[[Pen ID / General]],$B57,tExp[[Batch ID (if applicable)]],FBatch,tExp[[Animal Type]],FAnimal))</f>
        <v/>
      </c>
      <c r="K57" s="41">
        <f>IF($B57="","",H57+I57+J57)</f>
        <v/>
      </c>
      <c r="L57" s="41">
        <f>IF($B57="","",SUMIFS(tSales[[Total Revenue]],tSales[[Date]],"&gt;="&amp;DStart,tSales[[Date]],"&lt;="&amp;DEnd,tSales[[Pen ID]],$B57,tSales[[Batch ID]],FBatch,tSales[[Animal Type]],FAnimal))</f>
        <v/>
      </c>
      <c r="M57" s="41">
        <f>IF($B57="","",L57-K57)</f>
        <v/>
      </c>
      <c r="N57" s="39">
        <f>IF($B57="","",SUMIFS(tMort[[Number of Deaths]],tMort[[Date]],"&gt;="&amp;DStart,tMort[[Date]],"&lt;="&amp;DEnd,tMort[[Pen ID]],$B57,tMort[[Batch ID]],FBatch,tMort[[Animal Type]],FAnimal))</f>
        <v/>
      </c>
    </row>
    <row r="58">
      <c r="B58" s="27">
        <f>IFERROR(INDEX(tPens[[Pen ID]],16)&amp;"","")</f>
        <v/>
      </c>
      <c r="C58" s="36">
        <f>IF($B58="","",INDEX(tPens[[Pen Name]],16)&amp;"")</f>
        <v/>
      </c>
      <c r="D58" s="36">
        <f>IF($B58="","",INDEX(tPens[[Current Batch ID]],16)&amp;"")</f>
        <v/>
      </c>
      <c r="E58" s="36">
        <f>IF($B58="","",INDEX(tPens[[Status]],16)&amp;"")</f>
        <v/>
      </c>
      <c r="F58" s="39">
        <f>IF($B58="","",INDEX(tPens[[Current Stock]],16))</f>
        <v/>
      </c>
      <c r="G58" s="28">
        <f>IF($B58="","",SUMIFS(tFeedIss[[Quantity Issued in kg]],tFeedIss[[Date]],"&gt;="&amp;DStart,tFeedIss[[Date]],"&lt;="&amp;DEnd,tFeedIss[[Pen ID]],$B58,tFeedIss[[Batch ID]],FBatch,tFeedIss[[Animal Type]],FAnimal))</f>
        <v/>
      </c>
      <c r="H58" s="29">
        <f>IF($B58="","",SUMIFS(tFeedIss[[Total Cost]],tFeedIss[[Date]],"&gt;="&amp;DStart,tFeedIss[[Date]],"&lt;="&amp;DEnd,tFeedIss[[Pen ID]],$B58,tFeedIss[[Batch ID]],FBatch,tFeedIss[[Animal Type]],FAnimal))</f>
        <v/>
      </c>
      <c r="I58" s="29">
        <f>IF($B58="","",SUMIFS(tDrugUse[[Total Cost]],tDrugUse[[Date]],"&gt;="&amp;DStart,tDrugUse[[Date]],"&lt;="&amp;DEnd,tDrugUse[[Pen ID]],$B58,tDrugUse[[Batch ID]],FBatch,tDrugUse[[Animal Type]],FAnimal))</f>
        <v/>
      </c>
      <c r="J58" s="29">
        <f>IF($B58="","",SUMIFS(tExp[[Amount]],tExp[[Date]],"&gt;="&amp;DStart,tExp[[Date]],"&lt;="&amp;DEnd,tExp[[Pen ID / General]],$B58,tExp[[Batch ID (if applicable)]],FBatch,tExp[[Animal Type]],FAnimal))</f>
        <v/>
      </c>
      <c r="K58" s="41">
        <f>IF($B58="","",H58+I58+J58)</f>
        <v/>
      </c>
      <c r="L58" s="41">
        <f>IF($B58="","",SUMIFS(tSales[[Total Revenue]],tSales[[Date]],"&gt;="&amp;DStart,tSales[[Date]],"&lt;="&amp;DEnd,tSales[[Pen ID]],$B58,tSales[[Batch ID]],FBatch,tSales[[Animal Type]],FAnimal))</f>
        <v/>
      </c>
      <c r="M58" s="41">
        <f>IF($B58="","",L58-K58)</f>
        <v/>
      </c>
      <c r="N58" s="39">
        <f>IF($B58="","",SUMIFS(tMort[[Number of Deaths]],tMort[[Date]],"&gt;="&amp;DStart,tMort[[Date]],"&lt;="&amp;DEnd,tMort[[Pen ID]],$B58,tMort[[Batch ID]],FBatch,tMort[[Animal Type]],FAnimal))</f>
        <v/>
      </c>
    </row>
    <row r="59">
      <c r="B59" s="27">
        <f>IFERROR(INDEX(tPens[[Pen ID]],17)&amp;"","")</f>
        <v/>
      </c>
      <c r="C59" s="36">
        <f>IF($B59="","",INDEX(tPens[[Pen Name]],17)&amp;"")</f>
        <v/>
      </c>
      <c r="D59" s="36">
        <f>IF($B59="","",INDEX(tPens[[Current Batch ID]],17)&amp;"")</f>
        <v/>
      </c>
      <c r="E59" s="36">
        <f>IF($B59="","",INDEX(tPens[[Status]],17)&amp;"")</f>
        <v/>
      </c>
      <c r="F59" s="39">
        <f>IF($B59="","",INDEX(tPens[[Current Stock]],17))</f>
        <v/>
      </c>
      <c r="G59" s="28">
        <f>IF($B59="","",SUMIFS(tFeedIss[[Quantity Issued in kg]],tFeedIss[[Date]],"&gt;="&amp;DStart,tFeedIss[[Date]],"&lt;="&amp;DEnd,tFeedIss[[Pen ID]],$B59,tFeedIss[[Batch ID]],FBatch,tFeedIss[[Animal Type]],FAnimal))</f>
        <v/>
      </c>
      <c r="H59" s="29">
        <f>IF($B59="","",SUMIFS(tFeedIss[[Total Cost]],tFeedIss[[Date]],"&gt;="&amp;DStart,tFeedIss[[Date]],"&lt;="&amp;DEnd,tFeedIss[[Pen ID]],$B59,tFeedIss[[Batch ID]],FBatch,tFeedIss[[Animal Type]],FAnimal))</f>
        <v/>
      </c>
      <c r="I59" s="29">
        <f>IF($B59="","",SUMIFS(tDrugUse[[Total Cost]],tDrugUse[[Date]],"&gt;="&amp;DStart,tDrugUse[[Date]],"&lt;="&amp;DEnd,tDrugUse[[Pen ID]],$B59,tDrugUse[[Batch ID]],FBatch,tDrugUse[[Animal Type]],FAnimal))</f>
        <v/>
      </c>
      <c r="J59" s="29">
        <f>IF($B59="","",SUMIFS(tExp[[Amount]],tExp[[Date]],"&gt;="&amp;DStart,tExp[[Date]],"&lt;="&amp;DEnd,tExp[[Pen ID / General]],$B59,tExp[[Batch ID (if applicable)]],FBatch,tExp[[Animal Type]],FAnimal))</f>
        <v/>
      </c>
      <c r="K59" s="41">
        <f>IF($B59="","",H59+I59+J59)</f>
        <v/>
      </c>
      <c r="L59" s="41">
        <f>IF($B59="","",SUMIFS(tSales[[Total Revenue]],tSales[[Date]],"&gt;="&amp;DStart,tSales[[Date]],"&lt;="&amp;DEnd,tSales[[Pen ID]],$B59,tSales[[Batch ID]],FBatch,tSales[[Animal Type]],FAnimal))</f>
        <v/>
      </c>
      <c r="M59" s="41">
        <f>IF($B59="","",L59-K59)</f>
        <v/>
      </c>
      <c r="N59" s="39">
        <f>IF($B59="","",SUMIFS(tMort[[Number of Deaths]],tMort[[Date]],"&gt;="&amp;DStart,tMort[[Date]],"&lt;="&amp;DEnd,tMort[[Pen ID]],$B59,tMort[[Batch ID]],FBatch,tMort[[Animal Type]],FAnimal))</f>
        <v/>
      </c>
    </row>
    <row r="60">
      <c r="B60" s="27">
        <f>IFERROR(INDEX(tPens[[Pen ID]],18)&amp;"","")</f>
        <v/>
      </c>
      <c r="C60" s="36">
        <f>IF($B60="","",INDEX(tPens[[Pen Name]],18)&amp;"")</f>
        <v/>
      </c>
      <c r="D60" s="36">
        <f>IF($B60="","",INDEX(tPens[[Current Batch ID]],18)&amp;"")</f>
        <v/>
      </c>
      <c r="E60" s="36">
        <f>IF($B60="","",INDEX(tPens[[Status]],18)&amp;"")</f>
        <v/>
      </c>
      <c r="F60" s="39">
        <f>IF($B60="","",INDEX(tPens[[Current Stock]],18))</f>
        <v/>
      </c>
      <c r="G60" s="28">
        <f>IF($B60="","",SUMIFS(tFeedIss[[Quantity Issued in kg]],tFeedIss[[Date]],"&gt;="&amp;DStart,tFeedIss[[Date]],"&lt;="&amp;DEnd,tFeedIss[[Pen ID]],$B60,tFeedIss[[Batch ID]],FBatch,tFeedIss[[Animal Type]],FAnimal))</f>
        <v/>
      </c>
      <c r="H60" s="29">
        <f>IF($B60="","",SUMIFS(tFeedIss[[Total Cost]],tFeedIss[[Date]],"&gt;="&amp;DStart,tFeedIss[[Date]],"&lt;="&amp;DEnd,tFeedIss[[Pen ID]],$B60,tFeedIss[[Batch ID]],FBatch,tFeedIss[[Animal Type]],FAnimal))</f>
        <v/>
      </c>
      <c r="I60" s="29">
        <f>IF($B60="","",SUMIFS(tDrugUse[[Total Cost]],tDrugUse[[Date]],"&gt;="&amp;DStart,tDrugUse[[Date]],"&lt;="&amp;DEnd,tDrugUse[[Pen ID]],$B60,tDrugUse[[Batch ID]],FBatch,tDrugUse[[Animal Type]],FAnimal))</f>
        <v/>
      </c>
      <c r="J60" s="29">
        <f>IF($B60="","",SUMIFS(tExp[[Amount]],tExp[[Date]],"&gt;="&amp;DStart,tExp[[Date]],"&lt;="&amp;DEnd,tExp[[Pen ID / General]],$B60,tExp[[Batch ID (if applicable)]],FBatch,tExp[[Animal Type]],FAnimal))</f>
        <v/>
      </c>
      <c r="K60" s="41">
        <f>IF($B60="","",H60+I60+J60)</f>
        <v/>
      </c>
      <c r="L60" s="41">
        <f>IF($B60="","",SUMIFS(tSales[[Total Revenue]],tSales[[Date]],"&gt;="&amp;DStart,tSales[[Date]],"&lt;="&amp;DEnd,tSales[[Pen ID]],$B60,tSales[[Batch ID]],FBatch,tSales[[Animal Type]],FAnimal))</f>
        <v/>
      </c>
      <c r="M60" s="41">
        <f>IF($B60="","",L60-K60)</f>
        <v/>
      </c>
      <c r="N60" s="39">
        <f>IF($B60="","",SUMIFS(tMort[[Number of Deaths]],tMort[[Date]],"&gt;="&amp;DStart,tMort[[Date]],"&lt;="&amp;DEnd,tMort[[Pen ID]],$B60,tMort[[Batch ID]],FBatch,tMort[[Animal Type]],FAnimal))</f>
        <v/>
      </c>
    </row>
    <row r="61">
      <c r="B61" s="27">
        <f>IFERROR(INDEX(tPens[[Pen ID]],19)&amp;"","")</f>
        <v/>
      </c>
      <c r="C61" s="36">
        <f>IF($B61="","",INDEX(tPens[[Pen Name]],19)&amp;"")</f>
        <v/>
      </c>
      <c r="D61" s="36">
        <f>IF($B61="","",INDEX(tPens[[Current Batch ID]],19)&amp;"")</f>
        <v/>
      </c>
      <c r="E61" s="36">
        <f>IF($B61="","",INDEX(tPens[[Status]],19)&amp;"")</f>
        <v/>
      </c>
      <c r="F61" s="39">
        <f>IF($B61="","",INDEX(tPens[[Current Stock]],19))</f>
        <v/>
      </c>
      <c r="G61" s="28">
        <f>IF($B61="","",SUMIFS(tFeedIss[[Quantity Issued in kg]],tFeedIss[[Date]],"&gt;="&amp;DStart,tFeedIss[[Date]],"&lt;="&amp;DEnd,tFeedIss[[Pen ID]],$B61,tFeedIss[[Batch ID]],FBatch,tFeedIss[[Animal Type]],FAnimal))</f>
        <v/>
      </c>
      <c r="H61" s="29">
        <f>IF($B61="","",SUMIFS(tFeedIss[[Total Cost]],tFeedIss[[Date]],"&gt;="&amp;DStart,tFeedIss[[Date]],"&lt;="&amp;DEnd,tFeedIss[[Pen ID]],$B61,tFeedIss[[Batch ID]],FBatch,tFeedIss[[Animal Type]],FAnimal))</f>
        <v/>
      </c>
      <c r="I61" s="29">
        <f>IF($B61="","",SUMIFS(tDrugUse[[Total Cost]],tDrugUse[[Date]],"&gt;="&amp;DStart,tDrugUse[[Date]],"&lt;="&amp;DEnd,tDrugUse[[Pen ID]],$B61,tDrugUse[[Batch ID]],FBatch,tDrugUse[[Animal Type]],FAnimal))</f>
        <v/>
      </c>
      <c r="J61" s="29">
        <f>IF($B61="","",SUMIFS(tExp[[Amount]],tExp[[Date]],"&gt;="&amp;DStart,tExp[[Date]],"&lt;="&amp;DEnd,tExp[[Pen ID / General]],$B61,tExp[[Batch ID (if applicable)]],FBatch,tExp[[Animal Type]],FAnimal))</f>
        <v/>
      </c>
      <c r="K61" s="41">
        <f>IF($B61="","",H61+I61+J61)</f>
        <v/>
      </c>
      <c r="L61" s="41">
        <f>IF($B61="","",SUMIFS(tSales[[Total Revenue]],tSales[[Date]],"&gt;="&amp;DStart,tSales[[Date]],"&lt;="&amp;DEnd,tSales[[Pen ID]],$B61,tSales[[Batch ID]],FBatch,tSales[[Animal Type]],FAnimal))</f>
        <v/>
      </c>
      <c r="M61" s="41">
        <f>IF($B61="","",L61-K61)</f>
        <v/>
      </c>
      <c r="N61" s="39">
        <f>IF($B61="","",SUMIFS(tMort[[Number of Deaths]],tMort[[Date]],"&gt;="&amp;DStart,tMort[[Date]],"&lt;="&amp;DEnd,tMort[[Pen ID]],$B61,tMort[[Batch ID]],FBatch,tMort[[Animal Type]],FAnimal))</f>
        <v/>
      </c>
    </row>
    <row r="62">
      <c r="B62" s="27">
        <f>IFERROR(INDEX(tPens[[Pen ID]],20)&amp;"","")</f>
        <v/>
      </c>
      <c r="C62" s="36">
        <f>IF($B62="","",INDEX(tPens[[Pen Name]],20)&amp;"")</f>
        <v/>
      </c>
      <c r="D62" s="36">
        <f>IF($B62="","",INDEX(tPens[[Current Batch ID]],20)&amp;"")</f>
        <v/>
      </c>
      <c r="E62" s="36">
        <f>IF($B62="","",INDEX(tPens[[Status]],20)&amp;"")</f>
        <v/>
      </c>
      <c r="F62" s="39">
        <f>IF($B62="","",INDEX(tPens[[Current Stock]],20))</f>
        <v/>
      </c>
      <c r="G62" s="28">
        <f>IF($B62="","",SUMIFS(tFeedIss[[Quantity Issued in kg]],tFeedIss[[Date]],"&gt;="&amp;DStart,tFeedIss[[Date]],"&lt;="&amp;DEnd,tFeedIss[[Pen ID]],$B62,tFeedIss[[Batch ID]],FBatch,tFeedIss[[Animal Type]],FAnimal))</f>
        <v/>
      </c>
      <c r="H62" s="29">
        <f>IF($B62="","",SUMIFS(tFeedIss[[Total Cost]],tFeedIss[[Date]],"&gt;="&amp;DStart,tFeedIss[[Date]],"&lt;="&amp;DEnd,tFeedIss[[Pen ID]],$B62,tFeedIss[[Batch ID]],FBatch,tFeedIss[[Animal Type]],FAnimal))</f>
        <v/>
      </c>
      <c r="I62" s="29">
        <f>IF($B62="","",SUMIFS(tDrugUse[[Total Cost]],tDrugUse[[Date]],"&gt;="&amp;DStart,tDrugUse[[Date]],"&lt;="&amp;DEnd,tDrugUse[[Pen ID]],$B62,tDrugUse[[Batch ID]],FBatch,tDrugUse[[Animal Type]],FAnimal))</f>
        <v/>
      </c>
      <c r="J62" s="29">
        <f>IF($B62="","",SUMIFS(tExp[[Amount]],tExp[[Date]],"&gt;="&amp;DStart,tExp[[Date]],"&lt;="&amp;DEnd,tExp[[Pen ID / General]],$B62,tExp[[Batch ID (if applicable)]],FBatch,tExp[[Animal Type]],FAnimal))</f>
        <v/>
      </c>
      <c r="K62" s="41">
        <f>IF($B62="","",H62+I62+J62)</f>
        <v/>
      </c>
      <c r="L62" s="41">
        <f>IF($B62="","",SUMIFS(tSales[[Total Revenue]],tSales[[Date]],"&gt;="&amp;DStart,tSales[[Date]],"&lt;="&amp;DEnd,tSales[[Pen ID]],$B62,tSales[[Batch ID]],FBatch,tSales[[Animal Type]],FAnimal))</f>
        <v/>
      </c>
      <c r="M62" s="41">
        <f>IF($B62="","",L62-K62)</f>
        <v/>
      </c>
      <c r="N62" s="39">
        <f>IF($B62="","",SUMIFS(tMort[[Number of Deaths]],tMort[[Date]],"&gt;="&amp;DStart,tMort[[Date]],"&lt;="&amp;DEnd,tMort[[Pen ID]],$B62,tMort[[Batch ID]],FBatch,tMort[[Animal Type]],FAnimal))</f>
        <v/>
      </c>
    </row>
    <row r="63">
      <c r="B63" s="27">
        <f>IFERROR(INDEX(tPens[[Pen ID]],21)&amp;"","")</f>
        <v/>
      </c>
      <c r="C63" s="36">
        <f>IF($B63="","",INDEX(tPens[[Pen Name]],21)&amp;"")</f>
        <v/>
      </c>
      <c r="D63" s="36">
        <f>IF($B63="","",INDEX(tPens[[Current Batch ID]],21)&amp;"")</f>
        <v/>
      </c>
      <c r="E63" s="36">
        <f>IF($B63="","",INDEX(tPens[[Status]],21)&amp;"")</f>
        <v/>
      </c>
      <c r="F63" s="39">
        <f>IF($B63="","",INDEX(tPens[[Current Stock]],21))</f>
        <v/>
      </c>
      <c r="G63" s="28">
        <f>IF($B63="","",SUMIFS(tFeedIss[[Quantity Issued in kg]],tFeedIss[[Date]],"&gt;="&amp;DStart,tFeedIss[[Date]],"&lt;="&amp;DEnd,tFeedIss[[Pen ID]],$B63,tFeedIss[[Batch ID]],FBatch,tFeedIss[[Animal Type]],FAnimal))</f>
        <v/>
      </c>
      <c r="H63" s="29">
        <f>IF($B63="","",SUMIFS(tFeedIss[[Total Cost]],tFeedIss[[Date]],"&gt;="&amp;DStart,tFeedIss[[Date]],"&lt;="&amp;DEnd,tFeedIss[[Pen ID]],$B63,tFeedIss[[Batch ID]],FBatch,tFeedIss[[Animal Type]],FAnimal))</f>
        <v/>
      </c>
      <c r="I63" s="29">
        <f>IF($B63="","",SUMIFS(tDrugUse[[Total Cost]],tDrugUse[[Date]],"&gt;="&amp;DStart,tDrugUse[[Date]],"&lt;="&amp;DEnd,tDrugUse[[Pen ID]],$B63,tDrugUse[[Batch ID]],FBatch,tDrugUse[[Animal Type]],FAnimal))</f>
        <v/>
      </c>
      <c r="J63" s="29">
        <f>IF($B63="","",SUMIFS(tExp[[Amount]],tExp[[Date]],"&gt;="&amp;DStart,tExp[[Date]],"&lt;="&amp;DEnd,tExp[[Pen ID / General]],$B63,tExp[[Batch ID (if applicable)]],FBatch,tExp[[Animal Type]],FAnimal))</f>
        <v/>
      </c>
      <c r="K63" s="41">
        <f>IF($B63="","",H63+I63+J63)</f>
        <v/>
      </c>
      <c r="L63" s="41">
        <f>IF($B63="","",SUMIFS(tSales[[Total Revenue]],tSales[[Date]],"&gt;="&amp;DStart,tSales[[Date]],"&lt;="&amp;DEnd,tSales[[Pen ID]],$B63,tSales[[Batch ID]],FBatch,tSales[[Animal Type]],FAnimal))</f>
        <v/>
      </c>
      <c r="M63" s="41">
        <f>IF($B63="","",L63-K63)</f>
        <v/>
      </c>
      <c r="N63" s="39">
        <f>IF($B63="","",SUMIFS(tMort[[Number of Deaths]],tMort[[Date]],"&gt;="&amp;DStart,tMort[[Date]],"&lt;="&amp;DEnd,tMort[[Pen ID]],$B63,tMort[[Batch ID]],FBatch,tMort[[Animal Type]],FAnimal))</f>
        <v/>
      </c>
    </row>
    <row r="64">
      <c r="B64" s="27">
        <f>IFERROR(INDEX(tPens[[Pen ID]],22)&amp;"","")</f>
        <v/>
      </c>
      <c r="C64" s="36">
        <f>IF($B64="","",INDEX(tPens[[Pen Name]],22)&amp;"")</f>
        <v/>
      </c>
      <c r="D64" s="36">
        <f>IF($B64="","",INDEX(tPens[[Current Batch ID]],22)&amp;"")</f>
        <v/>
      </c>
      <c r="E64" s="36">
        <f>IF($B64="","",INDEX(tPens[[Status]],22)&amp;"")</f>
        <v/>
      </c>
      <c r="F64" s="39">
        <f>IF($B64="","",INDEX(tPens[[Current Stock]],22))</f>
        <v/>
      </c>
      <c r="G64" s="28">
        <f>IF($B64="","",SUMIFS(tFeedIss[[Quantity Issued in kg]],tFeedIss[[Date]],"&gt;="&amp;DStart,tFeedIss[[Date]],"&lt;="&amp;DEnd,tFeedIss[[Pen ID]],$B64,tFeedIss[[Batch ID]],FBatch,tFeedIss[[Animal Type]],FAnimal))</f>
        <v/>
      </c>
      <c r="H64" s="29">
        <f>IF($B64="","",SUMIFS(tFeedIss[[Total Cost]],tFeedIss[[Date]],"&gt;="&amp;DStart,tFeedIss[[Date]],"&lt;="&amp;DEnd,tFeedIss[[Pen ID]],$B64,tFeedIss[[Batch ID]],FBatch,tFeedIss[[Animal Type]],FAnimal))</f>
        <v/>
      </c>
      <c r="I64" s="29">
        <f>IF($B64="","",SUMIFS(tDrugUse[[Total Cost]],tDrugUse[[Date]],"&gt;="&amp;DStart,tDrugUse[[Date]],"&lt;="&amp;DEnd,tDrugUse[[Pen ID]],$B64,tDrugUse[[Batch ID]],FBatch,tDrugUse[[Animal Type]],FAnimal))</f>
        <v/>
      </c>
      <c r="J64" s="29">
        <f>IF($B64="","",SUMIFS(tExp[[Amount]],tExp[[Date]],"&gt;="&amp;DStart,tExp[[Date]],"&lt;="&amp;DEnd,tExp[[Pen ID / General]],$B64,tExp[[Batch ID (if applicable)]],FBatch,tExp[[Animal Type]],FAnimal))</f>
        <v/>
      </c>
      <c r="K64" s="41">
        <f>IF($B64="","",H64+I64+J64)</f>
        <v/>
      </c>
      <c r="L64" s="41">
        <f>IF($B64="","",SUMIFS(tSales[[Total Revenue]],tSales[[Date]],"&gt;="&amp;DStart,tSales[[Date]],"&lt;="&amp;DEnd,tSales[[Pen ID]],$B64,tSales[[Batch ID]],FBatch,tSales[[Animal Type]],FAnimal))</f>
        <v/>
      </c>
      <c r="M64" s="41">
        <f>IF($B64="","",L64-K64)</f>
        <v/>
      </c>
      <c r="N64" s="39">
        <f>IF($B64="","",SUMIFS(tMort[[Number of Deaths]],tMort[[Date]],"&gt;="&amp;DStart,tMort[[Date]],"&lt;="&amp;DEnd,tMort[[Pen ID]],$B64,tMort[[Batch ID]],FBatch,tMort[[Animal Type]],FAnimal))</f>
        <v/>
      </c>
    </row>
    <row r="65">
      <c r="B65" s="27">
        <f>IFERROR(INDEX(tPens[[Pen ID]],23)&amp;"","")</f>
        <v/>
      </c>
      <c r="C65" s="36">
        <f>IF($B65="","",INDEX(tPens[[Pen Name]],23)&amp;"")</f>
        <v/>
      </c>
      <c r="D65" s="36">
        <f>IF($B65="","",INDEX(tPens[[Current Batch ID]],23)&amp;"")</f>
        <v/>
      </c>
      <c r="E65" s="36">
        <f>IF($B65="","",INDEX(tPens[[Status]],23)&amp;"")</f>
        <v/>
      </c>
      <c r="F65" s="39">
        <f>IF($B65="","",INDEX(tPens[[Current Stock]],23))</f>
        <v/>
      </c>
      <c r="G65" s="28">
        <f>IF($B65="","",SUMIFS(tFeedIss[[Quantity Issued in kg]],tFeedIss[[Date]],"&gt;="&amp;DStart,tFeedIss[[Date]],"&lt;="&amp;DEnd,tFeedIss[[Pen ID]],$B65,tFeedIss[[Batch ID]],FBatch,tFeedIss[[Animal Type]],FAnimal))</f>
        <v/>
      </c>
      <c r="H65" s="29">
        <f>IF($B65="","",SUMIFS(tFeedIss[[Total Cost]],tFeedIss[[Date]],"&gt;="&amp;DStart,tFeedIss[[Date]],"&lt;="&amp;DEnd,tFeedIss[[Pen ID]],$B65,tFeedIss[[Batch ID]],FBatch,tFeedIss[[Animal Type]],FAnimal))</f>
        <v/>
      </c>
      <c r="I65" s="29">
        <f>IF($B65="","",SUMIFS(tDrugUse[[Total Cost]],tDrugUse[[Date]],"&gt;="&amp;DStart,tDrugUse[[Date]],"&lt;="&amp;DEnd,tDrugUse[[Pen ID]],$B65,tDrugUse[[Batch ID]],FBatch,tDrugUse[[Animal Type]],FAnimal))</f>
        <v/>
      </c>
      <c r="J65" s="29">
        <f>IF($B65="","",SUMIFS(tExp[[Amount]],tExp[[Date]],"&gt;="&amp;DStart,tExp[[Date]],"&lt;="&amp;DEnd,tExp[[Pen ID / General]],$B65,tExp[[Batch ID (if applicable)]],FBatch,tExp[[Animal Type]],FAnimal))</f>
        <v/>
      </c>
      <c r="K65" s="41">
        <f>IF($B65="","",H65+I65+J65)</f>
        <v/>
      </c>
      <c r="L65" s="41">
        <f>IF($B65="","",SUMIFS(tSales[[Total Revenue]],tSales[[Date]],"&gt;="&amp;DStart,tSales[[Date]],"&lt;="&amp;DEnd,tSales[[Pen ID]],$B65,tSales[[Batch ID]],FBatch,tSales[[Animal Type]],FAnimal))</f>
        <v/>
      </c>
      <c r="M65" s="41">
        <f>IF($B65="","",L65-K65)</f>
        <v/>
      </c>
      <c r="N65" s="39">
        <f>IF($B65="","",SUMIFS(tMort[[Number of Deaths]],tMort[[Date]],"&gt;="&amp;DStart,tMort[[Date]],"&lt;="&amp;DEnd,tMort[[Pen ID]],$B65,tMort[[Batch ID]],FBatch,tMort[[Animal Type]],FAnimal))</f>
        <v/>
      </c>
    </row>
    <row r="66">
      <c r="B66" s="27">
        <f>IFERROR(INDEX(tPens[[Pen ID]],24)&amp;"","")</f>
        <v/>
      </c>
      <c r="C66" s="36">
        <f>IF($B66="","",INDEX(tPens[[Pen Name]],24)&amp;"")</f>
        <v/>
      </c>
      <c r="D66" s="36">
        <f>IF($B66="","",INDEX(tPens[[Current Batch ID]],24)&amp;"")</f>
        <v/>
      </c>
      <c r="E66" s="36">
        <f>IF($B66="","",INDEX(tPens[[Status]],24)&amp;"")</f>
        <v/>
      </c>
      <c r="F66" s="39">
        <f>IF($B66="","",INDEX(tPens[[Current Stock]],24))</f>
        <v/>
      </c>
      <c r="G66" s="28">
        <f>IF($B66="","",SUMIFS(tFeedIss[[Quantity Issued in kg]],tFeedIss[[Date]],"&gt;="&amp;DStart,tFeedIss[[Date]],"&lt;="&amp;DEnd,tFeedIss[[Pen ID]],$B66,tFeedIss[[Batch ID]],FBatch,tFeedIss[[Animal Type]],FAnimal))</f>
        <v/>
      </c>
      <c r="H66" s="29">
        <f>IF($B66="","",SUMIFS(tFeedIss[[Total Cost]],tFeedIss[[Date]],"&gt;="&amp;DStart,tFeedIss[[Date]],"&lt;="&amp;DEnd,tFeedIss[[Pen ID]],$B66,tFeedIss[[Batch ID]],FBatch,tFeedIss[[Animal Type]],FAnimal))</f>
        <v/>
      </c>
      <c r="I66" s="29">
        <f>IF($B66="","",SUMIFS(tDrugUse[[Total Cost]],tDrugUse[[Date]],"&gt;="&amp;DStart,tDrugUse[[Date]],"&lt;="&amp;DEnd,tDrugUse[[Pen ID]],$B66,tDrugUse[[Batch ID]],FBatch,tDrugUse[[Animal Type]],FAnimal))</f>
        <v/>
      </c>
      <c r="J66" s="29">
        <f>IF($B66="","",SUMIFS(tExp[[Amount]],tExp[[Date]],"&gt;="&amp;DStart,tExp[[Date]],"&lt;="&amp;DEnd,tExp[[Pen ID / General]],$B66,tExp[[Batch ID (if applicable)]],FBatch,tExp[[Animal Type]],FAnimal))</f>
        <v/>
      </c>
      <c r="K66" s="41">
        <f>IF($B66="","",H66+I66+J66)</f>
        <v/>
      </c>
      <c r="L66" s="41">
        <f>IF($B66="","",SUMIFS(tSales[[Total Revenue]],tSales[[Date]],"&gt;="&amp;DStart,tSales[[Date]],"&lt;="&amp;DEnd,tSales[[Pen ID]],$B66,tSales[[Batch ID]],FBatch,tSales[[Animal Type]],FAnimal))</f>
        <v/>
      </c>
      <c r="M66" s="41">
        <f>IF($B66="","",L66-K66)</f>
        <v/>
      </c>
      <c r="N66" s="39">
        <f>IF($B66="","",SUMIFS(tMort[[Number of Deaths]],tMort[[Date]],"&gt;="&amp;DStart,tMort[[Date]],"&lt;="&amp;DEnd,tMort[[Pen ID]],$B66,tMort[[Batch ID]],FBatch,tMort[[Animal Type]],FAnimal))</f>
        <v/>
      </c>
    </row>
    <row r="67">
      <c r="B67" s="27">
        <f>IFERROR(INDEX(tPens[[Pen ID]],25)&amp;"","")</f>
        <v/>
      </c>
      <c r="C67" s="36">
        <f>IF($B67="","",INDEX(tPens[[Pen Name]],25)&amp;"")</f>
        <v/>
      </c>
      <c r="D67" s="36">
        <f>IF($B67="","",INDEX(tPens[[Current Batch ID]],25)&amp;"")</f>
        <v/>
      </c>
      <c r="E67" s="36">
        <f>IF($B67="","",INDEX(tPens[[Status]],25)&amp;"")</f>
        <v/>
      </c>
      <c r="F67" s="39">
        <f>IF($B67="","",INDEX(tPens[[Current Stock]],25))</f>
        <v/>
      </c>
      <c r="G67" s="28">
        <f>IF($B67="","",SUMIFS(tFeedIss[[Quantity Issued in kg]],tFeedIss[[Date]],"&gt;="&amp;DStart,tFeedIss[[Date]],"&lt;="&amp;DEnd,tFeedIss[[Pen ID]],$B67,tFeedIss[[Batch ID]],FBatch,tFeedIss[[Animal Type]],FAnimal))</f>
        <v/>
      </c>
      <c r="H67" s="29">
        <f>IF($B67="","",SUMIFS(tFeedIss[[Total Cost]],tFeedIss[[Date]],"&gt;="&amp;DStart,tFeedIss[[Date]],"&lt;="&amp;DEnd,tFeedIss[[Pen ID]],$B67,tFeedIss[[Batch ID]],FBatch,tFeedIss[[Animal Type]],FAnimal))</f>
        <v/>
      </c>
      <c r="I67" s="29">
        <f>IF($B67="","",SUMIFS(tDrugUse[[Total Cost]],tDrugUse[[Date]],"&gt;="&amp;DStart,tDrugUse[[Date]],"&lt;="&amp;DEnd,tDrugUse[[Pen ID]],$B67,tDrugUse[[Batch ID]],FBatch,tDrugUse[[Animal Type]],FAnimal))</f>
        <v/>
      </c>
      <c r="J67" s="29">
        <f>IF($B67="","",SUMIFS(tExp[[Amount]],tExp[[Date]],"&gt;="&amp;DStart,tExp[[Date]],"&lt;="&amp;DEnd,tExp[[Pen ID / General]],$B67,tExp[[Batch ID (if applicable)]],FBatch,tExp[[Animal Type]],FAnimal))</f>
        <v/>
      </c>
      <c r="K67" s="41">
        <f>IF($B67="","",H67+I67+J67)</f>
        <v/>
      </c>
      <c r="L67" s="41">
        <f>IF($B67="","",SUMIFS(tSales[[Total Revenue]],tSales[[Date]],"&gt;="&amp;DStart,tSales[[Date]],"&lt;="&amp;DEnd,tSales[[Pen ID]],$B67,tSales[[Batch ID]],FBatch,tSales[[Animal Type]],FAnimal))</f>
        <v/>
      </c>
      <c r="M67" s="41">
        <f>IF($B67="","",L67-K67)</f>
        <v/>
      </c>
      <c r="N67" s="39">
        <f>IF($B67="","",SUMIFS(tMort[[Number of Deaths]],tMort[[Date]],"&gt;="&amp;DStart,tMort[[Date]],"&lt;="&amp;DEnd,tMort[[Pen ID]],$B67,tMort[[Batch ID]],FBatch,tMort[[Animal Type]],FAnimal))</f>
        <v/>
      </c>
    </row>
    <row r="68">
      <c r="B68" s="27">
        <f>IFERROR(INDEX(tPens[[Pen ID]],26)&amp;"","")</f>
        <v/>
      </c>
      <c r="C68" s="36">
        <f>IF($B68="","",INDEX(tPens[[Pen Name]],26)&amp;"")</f>
        <v/>
      </c>
      <c r="D68" s="36">
        <f>IF($B68="","",INDEX(tPens[[Current Batch ID]],26)&amp;"")</f>
        <v/>
      </c>
      <c r="E68" s="36">
        <f>IF($B68="","",INDEX(tPens[[Status]],26)&amp;"")</f>
        <v/>
      </c>
      <c r="F68" s="39">
        <f>IF($B68="","",INDEX(tPens[[Current Stock]],26))</f>
        <v/>
      </c>
      <c r="G68" s="28">
        <f>IF($B68="","",SUMIFS(tFeedIss[[Quantity Issued in kg]],tFeedIss[[Date]],"&gt;="&amp;DStart,tFeedIss[[Date]],"&lt;="&amp;DEnd,tFeedIss[[Pen ID]],$B68,tFeedIss[[Batch ID]],FBatch,tFeedIss[[Animal Type]],FAnimal))</f>
        <v/>
      </c>
      <c r="H68" s="29">
        <f>IF($B68="","",SUMIFS(tFeedIss[[Total Cost]],tFeedIss[[Date]],"&gt;="&amp;DStart,tFeedIss[[Date]],"&lt;="&amp;DEnd,tFeedIss[[Pen ID]],$B68,tFeedIss[[Batch ID]],FBatch,tFeedIss[[Animal Type]],FAnimal))</f>
        <v/>
      </c>
      <c r="I68" s="29">
        <f>IF($B68="","",SUMIFS(tDrugUse[[Total Cost]],tDrugUse[[Date]],"&gt;="&amp;DStart,tDrugUse[[Date]],"&lt;="&amp;DEnd,tDrugUse[[Pen ID]],$B68,tDrugUse[[Batch ID]],FBatch,tDrugUse[[Animal Type]],FAnimal))</f>
        <v/>
      </c>
      <c r="J68" s="29">
        <f>IF($B68="","",SUMIFS(tExp[[Amount]],tExp[[Date]],"&gt;="&amp;DStart,tExp[[Date]],"&lt;="&amp;DEnd,tExp[[Pen ID / General]],$B68,tExp[[Batch ID (if applicable)]],FBatch,tExp[[Animal Type]],FAnimal))</f>
        <v/>
      </c>
      <c r="K68" s="41">
        <f>IF($B68="","",H68+I68+J68)</f>
        <v/>
      </c>
      <c r="L68" s="41">
        <f>IF($B68="","",SUMIFS(tSales[[Total Revenue]],tSales[[Date]],"&gt;="&amp;DStart,tSales[[Date]],"&lt;="&amp;DEnd,tSales[[Pen ID]],$B68,tSales[[Batch ID]],FBatch,tSales[[Animal Type]],FAnimal))</f>
        <v/>
      </c>
      <c r="M68" s="41">
        <f>IF($B68="","",L68-K68)</f>
        <v/>
      </c>
      <c r="N68" s="39">
        <f>IF($B68="","",SUMIFS(tMort[[Number of Deaths]],tMort[[Date]],"&gt;="&amp;DStart,tMort[[Date]],"&lt;="&amp;DEnd,tMort[[Pen ID]],$B68,tMort[[Batch ID]],FBatch,tMort[[Animal Type]],FAnimal))</f>
        <v/>
      </c>
    </row>
    <row r="69">
      <c r="B69" s="27">
        <f>IFERROR(INDEX(tPens[[Pen ID]],27)&amp;"","")</f>
        <v/>
      </c>
      <c r="C69" s="36">
        <f>IF($B69="","",INDEX(tPens[[Pen Name]],27)&amp;"")</f>
        <v/>
      </c>
      <c r="D69" s="36">
        <f>IF($B69="","",INDEX(tPens[[Current Batch ID]],27)&amp;"")</f>
        <v/>
      </c>
      <c r="E69" s="36">
        <f>IF($B69="","",INDEX(tPens[[Status]],27)&amp;"")</f>
        <v/>
      </c>
      <c r="F69" s="39">
        <f>IF($B69="","",INDEX(tPens[[Current Stock]],27))</f>
        <v/>
      </c>
      <c r="G69" s="28">
        <f>IF($B69="","",SUMIFS(tFeedIss[[Quantity Issued in kg]],tFeedIss[[Date]],"&gt;="&amp;DStart,tFeedIss[[Date]],"&lt;="&amp;DEnd,tFeedIss[[Pen ID]],$B69,tFeedIss[[Batch ID]],FBatch,tFeedIss[[Animal Type]],FAnimal))</f>
        <v/>
      </c>
      <c r="H69" s="29">
        <f>IF($B69="","",SUMIFS(tFeedIss[[Total Cost]],tFeedIss[[Date]],"&gt;="&amp;DStart,tFeedIss[[Date]],"&lt;="&amp;DEnd,tFeedIss[[Pen ID]],$B69,tFeedIss[[Batch ID]],FBatch,tFeedIss[[Animal Type]],FAnimal))</f>
        <v/>
      </c>
      <c r="I69" s="29">
        <f>IF($B69="","",SUMIFS(tDrugUse[[Total Cost]],tDrugUse[[Date]],"&gt;="&amp;DStart,tDrugUse[[Date]],"&lt;="&amp;DEnd,tDrugUse[[Pen ID]],$B69,tDrugUse[[Batch ID]],FBatch,tDrugUse[[Animal Type]],FAnimal))</f>
        <v/>
      </c>
      <c r="J69" s="29">
        <f>IF($B69="","",SUMIFS(tExp[[Amount]],tExp[[Date]],"&gt;="&amp;DStart,tExp[[Date]],"&lt;="&amp;DEnd,tExp[[Pen ID / General]],$B69,tExp[[Batch ID (if applicable)]],FBatch,tExp[[Animal Type]],FAnimal))</f>
        <v/>
      </c>
      <c r="K69" s="41">
        <f>IF($B69="","",H69+I69+J69)</f>
        <v/>
      </c>
      <c r="L69" s="41">
        <f>IF($B69="","",SUMIFS(tSales[[Total Revenue]],tSales[[Date]],"&gt;="&amp;DStart,tSales[[Date]],"&lt;="&amp;DEnd,tSales[[Pen ID]],$B69,tSales[[Batch ID]],FBatch,tSales[[Animal Type]],FAnimal))</f>
        <v/>
      </c>
      <c r="M69" s="41">
        <f>IF($B69="","",L69-K69)</f>
        <v/>
      </c>
      <c r="N69" s="39">
        <f>IF($B69="","",SUMIFS(tMort[[Number of Deaths]],tMort[[Date]],"&gt;="&amp;DStart,tMort[[Date]],"&lt;="&amp;DEnd,tMort[[Pen ID]],$B69,tMort[[Batch ID]],FBatch,tMort[[Animal Type]],FAnimal))</f>
        <v/>
      </c>
    </row>
    <row r="70">
      <c r="B70" s="27">
        <f>IFERROR(INDEX(tPens[[Pen ID]],28)&amp;"","")</f>
        <v/>
      </c>
      <c r="C70" s="36">
        <f>IF($B70="","",INDEX(tPens[[Pen Name]],28)&amp;"")</f>
        <v/>
      </c>
      <c r="D70" s="36">
        <f>IF($B70="","",INDEX(tPens[[Current Batch ID]],28)&amp;"")</f>
        <v/>
      </c>
      <c r="E70" s="36">
        <f>IF($B70="","",INDEX(tPens[[Status]],28)&amp;"")</f>
        <v/>
      </c>
      <c r="F70" s="39">
        <f>IF($B70="","",INDEX(tPens[[Current Stock]],28))</f>
        <v/>
      </c>
      <c r="G70" s="28">
        <f>IF($B70="","",SUMIFS(tFeedIss[[Quantity Issued in kg]],tFeedIss[[Date]],"&gt;="&amp;DStart,tFeedIss[[Date]],"&lt;="&amp;DEnd,tFeedIss[[Pen ID]],$B70,tFeedIss[[Batch ID]],FBatch,tFeedIss[[Animal Type]],FAnimal))</f>
        <v/>
      </c>
      <c r="H70" s="29">
        <f>IF($B70="","",SUMIFS(tFeedIss[[Total Cost]],tFeedIss[[Date]],"&gt;="&amp;DStart,tFeedIss[[Date]],"&lt;="&amp;DEnd,tFeedIss[[Pen ID]],$B70,tFeedIss[[Batch ID]],FBatch,tFeedIss[[Animal Type]],FAnimal))</f>
        <v/>
      </c>
      <c r="I70" s="29">
        <f>IF($B70="","",SUMIFS(tDrugUse[[Total Cost]],tDrugUse[[Date]],"&gt;="&amp;DStart,tDrugUse[[Date]],"&lt;="&amp;DEnd,tDrugUse[[Pen ID]],$B70,tDrugUse[[Batch ID]],FBatch,tDrugUse[[Animal Type]],FAnimal))</f>
        <v/>
      </c>
      <c r="J70" s="29">
        <f>IF($B70="","",SUMIFS(tExp[[Amount]],tExp[[Date]],"&gt;="&amp;DStart,tExp[[Date]],"&lt;="&amp;DEnd,tExp[[Pen ID / General]],$B70,tExp[[Batch ID (if applicable)]],FBatch,tExp[[Animal Type]],FAnimal))</f>
        <v/>
      </c>
      <c r="K70" s="41">
        <f>IF($B70="","",H70+I70+J70)</f>
        <v/>
      </c>
      <c r="L70" s="41">
        <f>IF($B70="","",SUMIFS(tSales[[Total Revenue]],tSales[[Date]],"&gt;="&amp;DStart,tSales[[Date]],"&lt;="&amp;DEnd,tSales[[Pen ID]],$B70,tSales[[Batch ID]],FBatch,tSales[[Animal Type]],FAnimal))</f>
        <v/>
      </c>
      <c r="M70" s="41">
        <f>IF($B70="","",L70-K70)</f>
        <v/>
      </c>
      <c r="N70" s="39">
        <f>IF($B70="","",SUMIFS(tMort[[Number of Deaths]],tMort[[Date]],"&gt;="&amp;DStart,tMort[[Date]],"&lt;="&amp;DEnd,tMort[[Pen ID]],$B70,tMort[[Batch ID]],FBatch,tMort[[Animal Type]],FAnimal))</f>
        <v/>
      </c>
    </row>
    <row r="71">
      <c r="B71" s="27">
        <f>IFERROR(INDEX(tPens[[Pen ID]],29)&amp;"","")</f>
        <v/>
      </c>
      <c r="C71" s="36">
        <f>IF($B71="","",INDEX(tPens[[Pen Name]],29)&amp;"")</f>
        <v/>
      </c>
      <c r="D71" s="36">
        <f>IF($B71="","",INDEX(tPens[[Current Batch ID]],29)&amp;"")</f>
        <v/>
      </c>
      <c r="E71" s="36">
        <f>IF($B71="","",INDEX(tPens[[Status]],29)&amp;"")</f>
        <v/>
      </c>
      <c r="F71" s="39">
        <f>IF($B71="","",INDEX(tPens[[Current Stock]],29))</f>
        <v/>
      </c>
      <c r="G71" s="28">
        <f>IF($B71="","",SUMIFS(tFeedIss[[Quantity Issued in kg]],tFeedIss[[Date]],"&gt;="&amp;DStart,tFeedIss[[Date]],"&lt;="&amp;DEnd,tFeedIss[[Pen ID]],$B71,tFeedIss[[Batch ID]],FBatch,tFeedIss[[Animal Type]],FAnimal))</f>
        <v/>
      </c>
      <c r="H71" s="29">
        <f>IF($B71="","",SUMIFS(tFeedIss[[Total Cost]],tFeedIss[[Date]],"&gt;="&amp;DStart,tFeedIss[[Date]],"&lt;="&amp;DEnd,tFeedIss[[Pen ID]],$B71,tFeedIss[[Batch ID]],FBatch,tFeedIss[[Animal Type]],FAnimal))</f>
        <v/>
      </c>
      <c r="I71" s="29">
        <f>IF($B71="","",SUMIFS(tDrugUse[[Total Cost]],tDrugUse[[Date]],"&gt;="&amp;DStart,tDrugUse[[Date]],"&lt;="&amp;DEnd,tDrugUse[[Pen ID]],$B71,tDrugUse[[Batch ID]],FBatch,tDrugUse[[Animal Type]],FAnimal))</f>
        <v/>
      </c>
      <c r="J71" s="29">
        <f>IF($B71="","",SUMIFS(tExp[[Amount]],tExp[[Date]],"&gt;="&amp;DStart,tExp[[Date]],"&lt;="&amp;DEnd,tExp[[Pen ID / General]],$B71,tExp[[Batch ID (if applicable)]],FBatch,tExp[[Animal Type]],FAnimal))</f>
        <v/>
      </c>
      <c r="K71" s="41">
        <f>IF($B71="","",H71+I71+J71)</f>
        <v/>
      </c>
      <c r="L71" s="41">
        <f>IF($B71="","",SUMIFS(tSales[[Total Revenue]],tSales[[Date]],"&gt;="&amp;DStart,tSales[[Date]],"&lt;="&amp;DEnd,tSales[[Pen ID]],$B71,tSales[[Batch ID]],FBatch,tSales[[Animal Type]],FAnimal))</f>
        <v/>
      </c>
      <c r="M71" s="41">
        <f>IF($B71="","",L71-K71)</f>
        <v/>
      </c>
      <c r="N71" s="39">
        <f>IF($B71="","",SUMIFS(tMort[[Number of Deaths]],tMort[[Date]],"&gt;="&amp;DStart,tMort[[Date]],"&lt;="&amp;DEnd,tMort[[Pen ID]],$B71,tMort[[Batch ID]],FBatch,tMort[[Animal Type]],FAnimal))</f>
        <v/>
      </c>
    </row>
    <row r="72">
      <c r="B72" s="27">
        <f>IFERROR(INDEX(tPens[[Pen ID]],30)&amp;"","")</f>
        <v/>
      </c>
      <c r="C72" s="36">
        <f>IF($B72="","",INDEX(tPens[[Pen Name]],30)&amp;"")</f>
        <v/>
      </c>
      <c r="D72" s="36">
        <f>IF($B72="","",INDEX(tPens[[Current Batch ID]],30)&amp;"")</f>
        <v/>
      </c>
      <c r="E72" s="36">
        <f>IF($B72="","",INDEX(tPens[[Status]],30)&amp;"")</f>
        <v/>
      </c>
      <c r="F72" s="39">
        <f>IF($B72="","",INDEX(tPens[[Current Stock]],30))</f>
        <v/>
      </c>
      <c r="G72" s="28">
        <f>IF($B72="","",SUMIFS(tFeedIss[[Quantity Issued in kg]],tFeedIss[[Date]],"&gt;="&amp;DStart,tFeedIss[[Date]],"&lt;="&amp;DEnd,tFeedIss[[Pen ID]],$B72,tFeedIss[[Batch ID]],FBatch,tFeedIss[[Animal Type]],FAnimal))</f>
        <v/>
      </c>
      <c r="H72" s="29">
        <f>IF($B72="","",SUMIFS(tFeedIss[[Total Cost]],tFeedIss[[Date]],"&gt;="&amp;DStart,tFeedIss[[Date]],"&lt;="&amp;DEnd,tFeedIss[[Pen ID]],$B72,tFeedIss[[Batch ID]],FBatch,tFeedIss[[Animal Type]],FAnimal))</f>
        <v/>
      </c>
      <c r="I72" s="29">
        <f>IF($B72="","",SUMIFS(tDrugUse[[Total Cost]],tDrugUse[[Date]],"&gt;="&amp;DStart,tDrugUse[[Date]],"&lt;="&amp;DEnd,tDrugUse[[Pen ID]],$B72,tDrugUse[[Batch ID]],FBatch,tDrugUse[[Animal Type]],FAnimal))</f>
        <v/>
      </c>
      <c r="J72" s="29">
        <f>IF($B72="","",SUMIFS(tExp[[Amount]],tExp[[Date]],"&gt;="&amp;DStart,tExp[[Date]],"&lt;="&amp;DEnd,tExp[[Pen ID / General]],$B72,tExp[[Batch ID (if applicable)]],FBatch,tExp[[Animal Type]],FAnimal))</f>
        <v/>
      </c>
      <c r="K72" s="41">
        <f>IF($B72="","",H72+I72+J72)</f>
        <v/>
      </c>
      <c r="L72" s="41">
        <f>IF($B72="","",SUMIFS(tSales[[Total Revenue]],tSales[[Date]],"&gt;="&amp;DStart,tSales[[Date]],"&lt;="&amp;DEnd,tSales[[Pen ID]],$B72,tSales[[Batch ID]],FBatch,tSales[[Animal Type]],FAnimal))</f>
        <v/>
      </c>
      <c r="M72" s="41">
        <f>IF($B72="","",L72-K72)</f>
        <v/>
      </c>
      <c r="N72" s="39">
        <f>IF($B72="","",SUMIFS(tMort[[Number of Deaths]],tMort[[Date]],"&gt;="&amp;DStart,tMort[[Date]],"&lt;="&amp;DEnd,tMort[[Pen ID]],$B72,tMort[[Batch ID]],FBatch,tMort[[Animal Type]],FAnimal))</f>
        <v/>
      </c>
    </row>
    <row r="73">
      <c r="B73" s="27">
        <f>IFERROR(INDEX(tPens[[Pen ID]],31)&amp;"","")</f>
        <v/>
      </c>
      <c r="C73" s="36">
        <f>IF($B73="","",INDEX(tPens[[Pen Name]],31)&amp;"")</f>
        <v/>
      </c>
      <c r="D73" s="36">
        <f>IF($B73="","",INDEX(tPens[[Current Batch ID]],31)&amp;"")</f>
        <v/>
      </c>
      <c r="E73" s="36">
        <f>IF($B73="","",INDEX(tPens[[Status]],31)&amp;"")</f>
        <v/>
      </c>
      <c r="F73" s="39">
        <f>IF($B73="","",INDEX(tPens[[Current Stock]],31))</f>
        <v/>
      </c>
      <c r="G73" s="28">
        <f>IF($B73="","",SUMIFS(tFeedIss[[Quantity Issued in kg]],tFeedIss[[Date]],"&gt;="&amp;DStart,tFeedIss[[Date]],"&lt;="&amp;DEnd,tFeedIss[[Pen ID]],$B73,tFeedIss[[Batch ID]],FBatch,tFeedIss[[Animal Type]],FAnimal))</f>
        <v/>
      </c>
      <c r="H73" s="29">
        <f>IF($B73="","",SUMIFS(tFeedIss[[Total Cost]],tFeedIss[[Date]],"&gt;="&amp;DStart,tFeedIss[[Date]],"&lt;="&amp;DEnd,tFeedIss[[Pen ID]],$B73,tFeedIss[[Batch ID]],FBatch,tFeedIss[[Animal Type]],FAnimal))</f>
        <v/>
      </c>
      <c r="I73" s="29">
        <f>IF($B73="","",SUMIFS(tDrugUse[[Total Cost]],tDrugUse[[Date]],"&gt;="&amp;DStart,tDrugUse[[Date]],"&lt;="&amp;DEnd,tDrugUse[[Pen ID]],$B73,tDrugUse[[Batch ID]],FBatch,tDrugUse[[Animal Type]],FAnimal))</f>
        <v/>
      </c>
      <c r="J73" s="29">
        <f>IF($B73="","",SUMIFS(tExp[[Amount]],tExp[[Date]],"&gt;="&amp;DStart,tExp[[Date]],"&lt;="&amp;DEnd,tExp[[Pen ID / General]],$B73,tExp[[Batch ID (if applicable)]],FBatch,tExp[[Animal Type]],FAnimal))</f>
        <v/>
      </c>
      <c r="K73" s="41">
        <f>IF($B73="","",H73+I73+J73)</f>
        <v/>
      </c>
      <c r="L73" s="41">
        <f>IF($B73="","",SUMIFS(tSales[[Total Revenue]],tSales[[Date]],"&gt;="&amp;DStart,tSales[[Date]],"&lt;="&amp;DEnd,tSales[[Pen ID]],$B73,tSales[[Batch ID]],FBatch,tSales[[Animal Type]],FAnimal))</f>
        <v/>
      </c>
      <c r="M73" s="41">
        <f>IF($B73="","",L73-K73)</f>
        <v/>
      </c>
      <c r="N73" s="39">
        <f>IF($B73="","",SUMIFS(tMort[[Number of Deaths]],tMort[[Date]],"&gt;="&amp;DStart,tMort[[Date]],"&lt;="&amp;DEnd,tMort[[Pen ID]],$B73,tMort[[Batch ID]],FBatch,tMort[[Animal Type]],FAnimal))</f>
        <v/>
      </c>
    </row>
    <row r="74">
      <c r="B74" s="27">
        <f>IFERROR(INDEX(tPens[[Pen ID]],32)&amp;"","")</f>
        <v/>
      </c>
      <c r="C74" s="36">
        <f>IF($B74="","",INDEX(tPens[[Pen Name]],32)&amp;"")</f>
        <v/>
      </c>
      <c r="D74" s="36">
        <f>IF($B74="","",INDEX(tPens[[Current Batch ID]],32)&amp;"")</f>
        <v/>
      </c>
      <c r="E74" s="36">
        <f>IF($B74="","",INDEX(tPens[[Status]],32)&amp;"")</f>
        <v/>
      </c>
      <c r="F74" s="39">
        <f>IF($B74="","",INDEX(tPens[[Current Stock]],32))</f>
        <v/>
      </c>
      <c r="G74" s="28">
        <f>IF($B74="","",SUMIFS(tFeedIss[[Quantity Issued in kg]],tFeedIss[[Date]],"&gt;="&amp;DStart,tFeedIss[[Date]],"&lt;="&amp;DEnd,tFeedIss[[Pen ID]],$B74,tFeedIss[[Batch ID]],FBatch,tFeedIss[[Animal Type]],FAnimal))</f>
        <v/>
      </c>
      <c r="H74" s="29">
        <f>IF($B74="","",SUMIFS(tFeedIss[[Total Cost]],tFeedIss[[Date]],"&gt;="&amp;DStart,tFeedIss[[Date]],"&lt;="&amp;DEnd,tFeedIss[[Pen ID]],$B74,tFeedIss[[Batch ID]],FBatch,tFeedIss[[Animal Type]],FAnimal))</f>
        <v/>
      </c>
      <c r="I74" s="29">
        <f>IF($B74="","",SUMIFS(tDrugUse[[Total Cost]],tDrugUse[[Date]],"&gt;="&amp;DStart,tDrugUse[[Date]],"&lt;="&amp;DEnd,tDrugUse[[Pen ID]],$B74,tDrugUse[[Batch ID]],FBatch,tDrugUse[[Animal Type]],FAnimal))</f>
        <v/>
      </c>
      <c r="J74" s="29">
        <f>IF($B74="","",SUMIFS(tExp[[Amount]],tExp[[Date]],"&gt;="&amp;DStart,tExp[[Date]],"&lt;="&amp;DEnd,tExp[[Pen ID / General]],$B74,tExp[[Batch ID (if applicable)]],FBatch,tExp[[Animal Type]],FAnimal))</f>
        <v/>
      </c>
      <c r="K74" s="41">
        <f>IF($B74="","",H74+I74+J74)</f>
        <v/>
      </c>
      <c r="L74" s="41">
        <f>IF($B74="","",SUMIFS(tSales[[Total Revenue]],tSales[[Date]],"&gt;="&amp;DStart,tSales[[Date]],"&lt;="&amp;DEnd,tSales[[Pen ID]],$B74,tSales[[Batch ID]],FBatch,tSales[[Animal Type]],FAnimal))</f>
        <v/>
      </c>
      <c r="M74" s="41">
        <f>IF($B74="","",L74-K74)</f>
        <v/>
      </c>
      <c r="N74" s="39">
        <f>IF($B74="","",SUMIFS(tMort[[Number of Deaths]],tMort[[Date]],"&gt;="&amp;DStart,tMort[[Date]],"&lt;="&amp;DEnd,tMort[[Pen ID]],$B74,tMort[[Batch ID]],FBatch,tMort[[Animal Type]],FAnimal))</f>
        <v/>
      </c>
    </row>
    <row r="75">
      <c r="B75" s="27">
        <f>IFERROR(INDEX(tPens[[Pen ID]],33)&amp;"","")</f>
        <v/>
      </c>
      <c r="C75" s="36">
        <f>IF($B75="","",INDEX(tPens[[Pen Name]],33)&amp;"")</f>
        <v/>
      </c>
      <c r="D75" s="36">
        <f>IF($B75="","",INDEX(tPens[[Current Batch ID]],33)&amp;"")</f>
        <v/>
      </c>
      <c r="E75" s="36">
        <f>IF($B75="","",INDEX(tPens[[Status]],33)&amp;"")</f>
        <v/>
      </c>
      <c r="F75" s="39">
        <f>IF($B75="","",INDEX(tPens[[Current Stock]],33))</f>
        <v/>
      </c>
      <c r="G75" s="28">
        <f>IF($B75="","",SUMIFS(tFeedIss[[Quantity Issued in kg]],tFeedIss[[Date]],"&gt;="&amp;DStart,tFeedIss[[Date]],"&lt;="&amp;DEnd,tFeedIss[[Pen ID]],$B75,tFeedIss[[Batch ID]],FBatch,tFeedIss[[Animal Type]],FAnimal))</f>
        <v/>
      </c>
      <c r="H75" s="29">
        <f>IF($B75="","",SUMIFS(tFeedIss[[Total Cost]],tFeedIss[[Date]],"&gt;="&amp;DStart,tFeedIss[[Date]],"&lt;="&amp;DEnd,tFeedIss[[Pen ID]],$B75,tFeedIss[[Batch ID]],FBatch,tFeedIss[[Animal Type]],FAnimal))</f>
        <v/>
      </c>
      <c r="I75" s="29">
        <f>IF($B75="","",SUMIFS(tDrugUse[[Total Cost]],tDrugUse[[Date]],"&gt;="&amp;DStart,tDrugUse[[Date]],"&lt;="&amp;DEnd,tDrugUse[[Pen ID]],$B75,tDrugUse[[Batch ID]],FBatch,tDrugUse[[Animal Type]],FAnimal))</f>
        <v/>
      </c>
      <c r="J75" s="29">
        <f>IF($B75="","",SUMIFS(tExp[[Amount]],tExp[[Date]],"&gt;="&amp;DStart,tExp[[Date]],"&lt;="&amp;DEnd,tExp[[Pen ID / General]],$B75,tExp[[Batch ID (if applicable)]],FBatch,tExp[[Animal Type]],FAnimal))</f>
        <v/>
      </c>
      <c r="K75" s="41">
        <f>IF($B75="","",H75+I75+J75)</f>
        <v/>
      </c>
      <c r="L75" s="41">
        <f>IF($B75="","",SUMIFS(tSales[[Total Revenue]],tSales[[Date]],"&gt;="&amp;DStart,tSales[[Date]],"&lt;="&amp;DEnd,tSales[[Pen ID]],$B75,tSales[[Batch ID]],FBatch,tSales[[Animal Type]],FAnimal))</f>
        <v/>
      </c>
      <c r="M75" s="41">
        <f>IF($B75="","",L75-K75)</f>
        <v/>
      </c>
      <c r="N75" s="39">
        <f>IF($B75="","",SUMIFS(tMort[[Number of Deaths]],tMort[[Date]],"&gt;="&amp;DStart,tMort[[Date]],"&lt;="&amp;DEnd,tMort[[Pen ID]],$B75,tMort[[Batch ID]],FBatch,tMort[[Animal Type]],FAnimal))</f>
        <v/>
      </c>
    </row>
    <row r="76">
      <c r="B76" s="27">
        <f>IFERROR(INDEX(tPens[[Pen ID]],34)&amp;"","")</f>
        <v/>
      </c>
      <c r="C76" s="36">
        <f>IF($B76="","",INDEX(tPens[[Pen Name]],34)&amp;"")</f>
        <v/>
      </c>
      <c r="D76" s="36">
        <f>IF($B76="","",INDEX(tPens[[Current Batch ID]],34)&amp;"")</f>
        <v/>
      </c>
      <c r="E76" s="36">
        <f>IF($B76="","",INDEX(tPens[[Status]],34)&amp;"")</f>
        <v/>
      </c>
      <c r="F76" s="39">
        <f>IF($B76="","",INDEX(tPens[[Current Stock]],34))</f>
        <v/>
      </c>
      <c r="G76" s="28">
        <f>IF($B76="","",SUMIFS(tFeedIss[[Quantity Issued in kg]],tFeedIss[[Date]],"&gt;="&amp;DStart,tFeedIss[[Date]],"&lt;="&amp;DEnd,tFeedIss[[Pen ID]],$B76,tFeedIss[[Batch ID]],FBatch,tFeedIss[[Animal Type]],FAnimal))</f>
        <v/>
      </c>
      <c r="H76" s="29">
        <f>IF($B76="","",SUMIFS(tFeedIss[[Total Cost]],tFeedIss[[Date]],"&gt;="&amp;DStart,tFeedIss[[Date]],"&lt;="&amp;DEnd,tFeedIss[[Pen ID]],$B76,tFeedIss[[Batch ID]],FBatch,tFeedIss[[Animal Type]],FAnimal))</f>
        <v/>
      </c>
      <c r="I76" s="29">
        <f>IF($B76="","",SUMIFS(tDrugUse[[Total Cost]],tDrugUse[[Date]],"&gt;="&amp;DStart,tDrugUse[[Date]],"&lt;="&amp;DEnd,tDrugUse[[Pen ID]],$B76,tDrugUse[[Batch ID]],FBatch,tDrugUse[[Animal Type]],FAnimal))</f>
        <v/>
      </c>
      <c r="J76" s="29">
        <f>IF($B76="","",SUMIFS(tExp[[Amount]],tExp[[Date]],"&gt;="&amp;DStart,tExp[[Date]],"&lt;="&amp;DEnd,tExp[[Pen ID / General]],$B76,tExp[[Batch ID (if applicable)]],FBatch,tExp[[Animal Type]],FAnimal))</f>
        <v/>
      </c>
      <c r="K76" s="41">
        <f>IF($B76="","",H76+I76+J76)</f>
        <v/>
      </c>
      <c r="L76" s="41">
        <f>IF($B76="","",SUMIFS(tSales[[Total Revenue]],tSales[[Date]],"&gt;="&amp;DStart,tSales[[Date]],"&lt;="&amp;DEnd,tSales[[Pen ID]],$B76,tSales[[Batch ID]],FBatch,tSales[[Animal Type]],FAnimal))</f>
        <v/>
      </c>
      <c r="M76" s="41">
        <f>IF($B76="","",L76-K76)</f>
        <v/>
      </c>
      <c r="N76" s="39">
        <f>IF($B76="","",SUMIFS(tMort[[Number of Deaths]],tMort[[Date]],"&gt;="&amp;DStart,tMort[[Date]],"&lt;="&amp;DEnd,tMort[[Pen ID]],$B76,tMort[[Batch ID]],FBatch,tMort[[Animal Type]],FAnimal))</f>
        <v/>
      </c>
    </row>
    <row r="77">
      <c r="B77" s="27">
        <f>IFERROR(INDEX(tPens[[Pen ID]],35)&amp;"","")</f>
        <v/>
      </c>
      <c r="C77" s="36">
        <f>IF($B77="","",INDEX(tPens[[Pen Name]],35)&amp;"")</f>
        <v/>
      </c>
      <c r="D77" s="36">
        <f>IF($B77="","",INDEX(tPens[[Current Batch ID]],35)&amp;"")</f>
        <v/>
      </c>
      <c r="E77" s="36">
        <f>IF($B77="","",INDEX(tPens[[Status]],35)&amp;"")</f>
        <v/>
      </c>
      <c r="F77" s="39">
        <f>IF($B77="","",INDEX(tPens[[Current Stock]],35))</f>
        <v/>
      </c>
      <c r="G77" s="28">
        <f>IF($B77="","",SUMIFS(tFeedIss[[Quantity Issued in kg]],tFeedIss[[Date]],"&gt;="&amp;DStart,tFeedIss[[Date]],"&lt;="&amp;DEnd,tFeedIss[[Pen ID]],$B77,tFeedIss[[Batch ID]],FBatch,tFeedIss[[Animal Type]],FAnimal))</f>
        <v/>
      </c>
      <c r="H77" s="29">
        <f>IF($B77="","",SUMIFS(tFeedIss[[Total Cost]],tFeedIss[[Date]],"&gt;="&amp;DStart,tFeedIss[[Date]],"&lt;="&amp;DEnd,tFeedIss[[Pen ID]],$B77,tFeedIss[[Batch ID]],FBatch,tFeedIss[[Animal Type]],FAnimal))</f>
        <v/>
      </c>
      <c r="I77" s="29">
        <f>IF($B77="","",SUMIFS(tDrugUse[[Total Cost]],tDrugUse[[Date]],"&gt;="&amp;DStart,tDrugUse[[Date]],"&lt;="&amp;DEnd,tDrugUse[[Pen ID]],$B77,tDrugUse[[Batch ID]],FBatch,tDrugUse[[Animal Type]],FAnimal))</f>
        <v/>
      </c>
      <c r="J77" s="29">
        <f>IF($B77="","",SUMIFS(tExp[[Amount]],tExp[[Date]],"&gt;="&amp;DStart,tExp[[Date]],"&lt;="&amp;DEnd,tExp[[Pen ID / General]],$B77,tExp[[Batch ID (if applicable)]],FBatch,tExp[[Animal Type]],FAnimal))</f>
        <v/>
      </c>
      <c r="K77" s="41">
        <f>IF($B77="","",H77+I77+J77)</f>
        <v/>
      </c>
      <c r="L77" s="41">
        <f>IF($B77="","",SUMIFS(tSales[[Total Revenue]],tSales[[Date]],"&gt;="&amp;DStart,tSales[[Date]],"&lt;="&amp;DEnd,tSales[[Pen ID]],$B77,tSales[[Batch ID]],FBatch,tSales[[Animal Type]],FAnimal))</f>
        <v/>
      </c>
      <c r="M77" s="41">
        <f>IF($B77="","",L77-K77)</f>
        <v/>
      </c>
      <c r="N77" s="39">
        <f>IF($B77="","",SUMIFS(tMort[[Number of Deaths]],tMort[[Date]],"&gt;="&amp;DStart,tMort[[Date]],"&lt;="&amp;DEnd,tMort[[Pen ID]],$B77,tMort[[Batch ID]],FBatch,tMort[[Animal Type]],FAnimal))</f>
        <v/>
      </c>
    </row>
    <row r="78">
      <c r="B78" s="27">
        <f>IFERROR(INDEX(tPens[[Pen ID]],36)&amp;"","")</f>
        <v/>
      </c>
      <c r="C78" s="36">
        <f>IF($B78="","",INDEX(tPens[[Pen Name]],36)&amp;"")</f>
        <v/>
      </c>
      <c r="D78" s="36">
        <f>IF($B78="","",INDEX(tPens[[Current Batch ID]],36)&amp;"")</f>
        <v/>
      </c>
      <c r="E78" s="36">
        <f>IF($B78="","",INDEX(tPens[[Status]],36)&amp;"")</f>
        <v/>
      </c>
      <c r="F78" s="39">
        <f>IF($B78="","",INDEX(tPens[[Current Stock]],36))</f>
        <v/>
      </c>
      <c r="G78" s="28">
        <f>IF($B78="","",SUMIFS(tFeedIss[[Quantity Issued in kg]],tFeedIss[[Date]],"&gt;="&amp;DStart,tFeedIss[[Date]],"&lt;="&amp;DEnd,tFeedIss[[Pen ID]],$B78,tFeedIss[[Batch ID]],FBatch,tFeedIss[[Animal Type]],FAnimal))</f>
        <v/>
      </c>
      <c r="H78" s="29">
        <f>IF($B78="","",SUMIFS(tFeedIss[[Total Cost]],tFeedIss[[Date]],"&gt;="&amp;DStart,tFeedIss[[Date]],"&lt;="&amp;DEnd,tFeedIss[[Pen ID]],$B78,tFeedIss[[Batch ID]],FBatch,tFeedIss[[Animal Type]],FAnimal))</f>
        <v/>
      </c>
      <c r="I78" s="29">
        <f>IF($B78="","",SUMIFS(tDrugUse[[Total Cost]],tDrugUse[[Date]],"&gt;="&amp;DStart,tDrugUse[[Date]],"&lt;="&amp;DEnd,tDrugUse[[Pen ID]],$B78,tDrugUse[[Batch ID]],FBatch,tDrugUse[[Animal Type]],FAnimal))</f>
        <v/>
      </c>
      <c r="J78" s="29">
        <f>IF($B78="","",SUMIFS(tExp[[Amount]],tExp[[Date]],"&gt;="&amp;DStart,tExp[[Date]],"&lt;="&amp;DEnd,tExp[[Pen ID / General]],$B78,tExp[[Batch ID (if applicable)]],FBatch,tExp[[Animal Type]],FAnimal))</f>
        <v/>
      </c>
      <c r="K78" s="41">
        <f>IF($B78="","",H78+I78+J78)</f>
        <v/>
      </c>
      <c r="L78" s="41">
        <f>IF($B78="","",SUMIFS(tSales[[Total Revenue]],tSales[[Date]],"&gt;="&amp;DStart,tSales[[Date]],"&lt;="&amp;DEnd,tSales[[Pen ID]],$B78,tSales[[Batch ID]],FBatch,tSales[[Animal Type]],FAnimal))</f>
        <v/>
      </c>
      <c r="M78" s="41">
        <f>IF($B78="","",L78-K78)</f>
        <v/>
      </c>
      <c r="N78" s="39">
        <f>IF($B78="","",SUMIFS(tMort[[Number of Deaths]],tMort[[Date]],"&gt;="&amp;DStart,tMort[[Date]],"&lt;="&amp;DEnd,tMort[[Pen ID]],$B78,tMort[[Batch ID]],FBatch,tMort[[Animal Type]],FAnimal))</f>
        <v/>
      </c>
    </row>
    <row r="79">
      <c r="B79" s="27">
        <f>IFERROR(INDEX(tPens[[Pen ID]],37)&amp;"","")</f>
        <v/>
      </c>
      <c r="C79" s="36">
        <f>IF($B79="","",INDEX(tPens[[Pen Name]],37)&amp;"")</f>
        <v/>
      </c>
      <c r="D79" s="36">
        <f>IF($B79="","",INDEX(tPens[[Current Batch ID]],37)&amp;"")</f>
        <v/>
      </c>
      <c r="E79" s="36">
        <f>IF($B79="","",INDEX(tPens[[Status]],37)&amp;"")</f>
        <v/>
      </c>
      <c r="F79" s="39">
        <f>IF($B79="","",INDEX(tPens[[Current Stock]],37))</f>
        <v/>
      </c>
      <c r="G79" s="28">
        <f>IF($B79="","",SUMIFS(tFeedIss[[Quantity Issued in kg]],tFeedIss[[Date]],"&gt;="&amp;DStart,tFeedIss[[Date]],"&lt;="&amp;DEnd,tFeedIss[[Pen ID]],$B79,tFeedIss[[Batch ID]],FBatch,tFeedIss[[Animal Type]],FAnimal))</f>
        <v/>
      </c>
      <c r="H79" s="29">
        <f>IF($B79="","",SUMIFS(tFeedIss[[Total Cost]],tFeedIss[[Date]],"&gt;="&amp;DStart,tFeedIss[[Date]],"&lt;="&amp;DEnd,tFeedIss[[Pen ID]],$B79,tFeedIss[[Batch ID]],FBatch,tFeedIss[[Animal Type]],FAnimal))</f>
        <v/>
      </c>
      <c r="I79" s="29">
        <f>IF($B79="","",SUMIFS(tDrugUse[[Total Cost]],tDrugUse[[Date]],"&gt;="&amp;DStart,tDrugUse[[Date]],"&lt;="&amp;DEnd,tDrugUse[[Pen ID]],$B79,tDrugUse[[Batch ID]],FBatch,tDrugUse[[Animal Type]],FAnimal))</f>
        <v/>
      </c>
      <c r="J79" s="29">
        <f>IF($B79="","",SUMIFS(tExp[[Amount]],tExp[[Date]],"&gt;="&amp;DStart,tExp[[Date]],"&lt;="&amp;DEnd,tExp[[Pen ID / General]],$B79,tExp[[Batch ID (if applicable)]],FBatch,tExp[[Animal Type]],FAnimal))</f>
        <v/>
      </c>
      <c r="K79" s="41">
        <f>IF($B79="","",H79+I79+J79)</f>
        <v/>
      </c>
      <c r="L79" s="41">
        <f>IF($B79="","",SUMIFS(tSales[[Total Revenue]],tSales[[Date]],"&gt;="&amp;DStart,tSales[[Date]],"&lt;="&amp;DEnd,tSales[[Pen ID]],$B79,tSales[[Batch ID]],FBatch,tSales[[Animal Type]],FAnimal))</f>
        <v/>
      </c>
      <c r="M79" s="41">
        <f>IF($B79="","",L79-K79)</f>
        <v/>
      </c>
      <c r="N79" s="39">
        <f>IF($B79="","",SUMIFS(tMort[[Number of Deaths]],tMort[[Date]],"&gt;="&amp;DStart,tMort[[Date]],"&lt;="&amp;DEnd,tMort[[Pen ID]],$B79,tMort[[Batch ID]],FBatch,tMort[[Animal Type]],FAnimal))</f>
        <v/>
      </c>
    </row>
    <row r="80">
      <c r="B80" s="27">
        <f>IFERROR(INDEX(tPens[[Pen ID]],38)&amp;"","")</f>
        <v/>
      </c>
      <c r="C80" s="36">
        <f>IF($B80="","",INDEX(tPens[[Pen Name]],38)&amp;"")</f>
        <v/>
      </c>
      <c r="D80" s="36">
        <f>IF($B80="","",INDEX(tPens[[Current Batch ID]],38)&amp;"")</f>
        <v/>
      </c>
      <c r="E80" s="36">
        <f>IF($B80="","",INDEX(tPens[[Status]],38)&amp;"")</f>
        <v/>
      </c>
      <c r="F80" s="39">
        <f>IF($B80="","",INDEX(tPens[[Current Stock]],38))</f>
        <v/>
      </c>
      <c r="G80" s="28">
        <f>IF($B80="","",SUMIFS(tFeedIss[[Quantity Issued in kg]],tFeedIss[[Date]],"&gt;="&amp;DStart,tFeedIss[[Date]],"&lt;="&amp;DEnd,tFeedIss[[Pen ID]],$B80,tFeedIss[[Batch ID]],FBatch,tFeedIss[[Animal Type]],FAnimal))</f>
        <v/>
      </c>
      <c r="H80" s="29">
        <f>IF($B80="","",SUMIFS(tFeedIss[[Total Cost]],tFeedIss[[Date]],"&gt;="&amp;DStart,tFeedIss[[Date]],"&lt;="&amp;DEnd,tFeedIss[[Pen ID]],$B80,tFeedIss[[Batch ID]],FBatch,tFeedIss[[Animal Type]],FAnimal))</f>
        <v/>
      </c>
      <c r="I80" s="29">
        <f>IF($B80="","",SUMIFS(tDrugUse[[Total Cost]],tDrugUse[[Date]],"&gt;="&amp;DStart,tDrugUse[[Date]],"&lt;="&amp;DEnd,tDrugUse[[Pen ID]],$B80,tDrugUse[[Batch ID]],FBatch,tDrugUse[[Animal Type]],FAnimal))</f>
        <v/>
      </c>
      <c r="J80" s="29">
        <f>IF($B80="","",SUMIFS(tExp[[Amount]],tExp[[Date]],"&gt;="&amp;DStart,tExp[[Date]],"&lt;="&amp;DEnd,tExp[[Pen ID / General]],$B80,tExp[[Batch ID (if applicable)]],FBatch,tExp[[Animal Type]],FAnimal))</f>
        <v/>
      </c>
      <c r="K80" s="41">
        <f>IF($B80="","",H80+I80+J80)</f>
        <v/>
      </c>
      <c r="L80" s="41">
        <f>IF($B80="","",SUMIFS(tSales[[Total Revenue]],tSales[[Date]],"&gt;="&amp;DStart,tSales[[Date]],"&lt;="&amp;DEnd,tSales[[Pen ID]],$B80,tSales[[Batch ID]],FBatch,tSales[[Animal Type]],FAnimal))</f>
        <v/>
      </c>
      <c r="M80" s="41">
        <f>IF($B80="","",L80-K80)</f>
        <v/>
      </c>
      <c r="N80" s="39">
        <f>IF($B80="","",SUMIFS(tMort[[Number of Deaths]],tMort[[Date]],"&gt;="&amp;DStart,tMort[[Date]],"&lt;="&amp;DEnd,tMort[[Pen ID]],$B80,tMort[[Batch ID]],FBatch,tMort[[Animal Type]],FAnimal))</f>
        <v/>
      </c>
    </row>
    <row r="81">
      <c r="B81" s="27">
        <f>IFERROR(INDEX(tPens[[Pen ID]],39)&amp;"","")</f>
        <v/>
      </c>
      <c r="C81" s="36">
        <f>IF($B81="","",INDEX(tPens[[Pen Name]],39)&amp;"")</f>
        <v/>
      </c>
      <c r="D81" s="36">
        <f>IF($B81="","",INDEX(tPens[[Current Batch ID]],39)&amp;"")</f>
        <v/>
      </c>
      <c r="E81" s="36">
        <f>IF($B81="","",INDEX(tPens[[Status]],39)&amp;"")</f>
        <v/>
      </c>
      <c r="F81" s="39">
        <f>IF($B81="","",INDEX(tPens[[Current Stock]],39))</f>
        <v/>
      </c>
      <c r="G81" s="28">
        <f>IF($B81="","",SUMIFS(tFeedIss[[Quantity Issued in kg]],tFeedIss[[Date]],"&gt;="&amp;DStart,tFeedIss[[Date]],"&lt;="&amp;DEnd,tFeedIss[[Pen ID]],$B81,tFeedIss[[Batch ID]],FBatch,tFeedIss[[Animal Type]],FAnimal))</f>
        <v/>
      </c>
      <c r="H81" s="29">
        <f>IF($B81="","",SUMIFS(tFeedIss[[Total Cost]],tFeedIss[[Date]],"&gt;="&amp;DStart,tFeedIss[[Date]],"&lt;="&amp;DEnd,tFeedIss[[Pen ID]],$B81,tFeedIss[[Batch ID]],FBatch,tFeedIss[[Animal Type]],FAnimal))</f>
        <v/>
      </c>
      <c r="I81" s="29">
        <f>IF($B81="","",SUMIFS(tDrugUse[[Total Cost]],tDrugUse[[Date]],"&gt;="&amp;DStart,tDrugUse[[Date]],"&lt;="&amp;DEnd,tDrugUse[[Pen ID]],$B81,tDrugUse[[Batch ID]],FBatch,tDrugUse[[Animal Type]],FAnimal))</f>
        <v/>
      </c>
      <c r="J81" s="29">
        <f>IF($B81="","",SUMIFS(tExp[[Amount]],tExp[[Date]],"&gt;="&amp;DStart,tExp[[Date]],"&lt;="&amp;DEnd,tExp[[Pen ID / General]],$B81,tExp[[Batch ID (if applicable)]],FBatch,tExp[[Animal Type]],FAnimal))</f>
        <v/>
      </c>
      <c r="K81" s="41">
        <f>IF($B81="","",H81+I81+J81)</f>
        <v/>
      </c>
      <c r="L81" s="41">
        <f>IF($B81="","",SUMIFS(tSales[[Total Revenue]],tSales[[Date]],"&gt;="&amp;DStart,tSales[[Date]],"&lt;="&amp;DEnd,tSales[[Pen ID]],$B81,tSales[[Batch ID]],FBatch,tSales[[Animal Type]],FAnimal))</f>
        <v/>
      </c>
      <c r="M81" s="41">
        <f>IF($B81="","",L81-K81)</f>
        <v/>
      </c>
      <c r="N81" s="39">
        <f>IF($B81="","",SUMIFS(tMort[[Number of Deaths]],tMort[[Date]],"&gt;="&amp;DStart,tMort[[Date]],"&lt;="&amp;DEnd,tMort[[Pen ID]],$B81,tMort[[Batch ID]],FBatch,tMort[[Animal Type]],FAnimal))</f>
        <v/>
      </c>
    </row>
    <row r="82">
      <c r="B82" s="27">
        <f>IFERROR(INDEX(tPens[[Pen ID]],40)&amp;"","")</f>
        <v/>
      </c>
      <c r="C82" s="36">
        <f>IF($B82="","",INDEX(tPens[[Pen Name]],40)&amp;"")</f>
        <v/>
      </c>
      <c r="D82" s="36">
        <f>IF($B82="","",INDEX(tPens[[Current Batch ID]],40)&amp;"")</f>
        <v/>
      </c>
      <c r="E82" s="36">
        <f>IF($B82="","",INDEX(tPens[[Status]],40)&amp;"")</f>
        <v/>
      </c>
      <c r="F82" s="39">
        <f>IF($B82="","",INDEX(tPens[[Current Stock]],40))</f>
        <v/>
      </c>
      <c r="G82" s="28">
        <f>IF($B82="","",SUMIFS(tFeedIss[[Quantity Issued in kg]],tFeedIss[[Date]],"&gt;="&amp;DStart,tFeedIss[[Date]],"&lt;="&amp;DEnd,tFeedIss[[Pen ID]],$B82,tFeedIss[[Batch ID]],FBatch,tFeedIss[[Animal Type]],FAnimal))</f>
        <v/>
      </c>
      <c r="H82" s="29">
        <f>IF($B82="","",SUMIFS(tFeedIss[[Total Cost]],tFeedIss[[Date]],"&gt;="&amp;DStart,tFeedIss[[Date]],"&lt;="&amp;DEnd,tFeedIss[[Pen ID]],$B82,tFeedIss[[Batch ID]],FBatch,tFeedIss[[Animal Type]],FAnimal))</f>
        <v/>
      </c>
      <c r="I82" s="29">
        <f>IF($B82="","",SUMIFS(tDrugUse[[Total Cost]],tDrugUse[[Date]],"&gt;="&amp;DStart,tDrugUse[[Date]],"&lt;="&amp;DEnd,tDrugUse[[Pen ID]],$B82,tDrugUse[[Batch ID]],FBatch,tDrugUse[[Animal Type]],FAnimal))</f>
        <v/>
      </c>
      <c r="J82" s="29">
        <f>IF($B82="","",SUMIFS(tExp[[Amount]],tExp[[Date]],"&gt;="&amp;DStart,tExp[[Date]],"&lt;="&amp;DEnd,tExp[[Pen ID / General]],$B82,tExp[[Batch ID (if applicable)]],FBatch,tExp[[Animal Type]],FAnimal))</f>
        <v/>
      </c>
      <c r="K82" s="41">
        <f>IF($B82="","",H82+I82+J82)</f>
        <v/>
      </c>
      <c r="L82" s="41">
        <f>IF($B82="","",SUMIFS(tSales[[Total Revenue]],tSales[[Date]],"&gt;="&amp;DStart,tSales[[Date]],"&lt;="&amp;DEnd,tSales[[Pen ID]],$B82,tSales[[Batch ID]],FBatch,tSales[[Animal Type]],FAnimal))</f>
        <v/>
      </c>
      <c r="M82" s="41">
        <f>IF($B82="","",L82-K82)</f>
        <v/>
      </c>
      <c r="N82" s="39">
        <f>IF($B82="","",SUMIFS(tMort[[Number of Deaths]],tMort[[Date]],"&gt;="&amp;DStart,tMort[[Date]],"&lt;="&amp;DEnd,tMort[[Pen ID]],$B82,tMort[[Batch ID]],FBatch,tMort[[Animal Type]],FAnimal))</f>
        <v/>
      </c>
    </row>
    <row r="83">
      <c r="B83" s="27">
        <f>IFERROR(INDEX(tPens[[Pen ID]],41)&amp;"","")</f>
        <v/>
      </c>
      <c r="C83" s="36">
        <f>IF($B83="","",INDEX(tPens[[Pen Name]],41)&amp;"")</f>
        <v/>
      </c>
      <c r="D83" s="36">
        <f>IF($B83="","",INDEX(tPens[[Current Batch ID]],41)&amp;"")</f>
        <v/>
      </c>
      <c r="E83" s="36">
        <f>IF($B83="","",INDEX(tPens[[Status]],41)&amp;"")</f>
        <v/>
      </c>
      <c r="F83" s="39">
        <f>IF($B83="","",INDEX(tPens[[Current Stock]],41))</f>
        <v/>
      </c>
      <c r="G83" s="28">
        <f>IF($B83="","",SUMIFS(tFeedIss[[Quantity Issued in kg]],tFeedIss[[Date]],"&gt;="&amp;DStart,tFeedIss[[Date]],"&lt;="&amp;DEnd,tFeedIss[[Pen ID]],$B83,tFeedIss[[Batch ID]],FBatch,tFeedIss[[Animal Type]],FAnimal))</f>
        <v/>
      </c>
      <c r="H83" s="29">
        <f>IF($B83="","",SUMIFS(tFeedIss[[Total Cost]],tFeedIss[[Date]],"&gt;="&amp;DStart,tFeedIss[[Date]],"&lt;="&amp;DEnd,tFeedIss[[Pen ID]],$B83,tFeedIss[[Batch ID]],FBatch,tFeedIss[[Animal Type]],FAnimal))</f>
        <v/>
      </c>
      <c r="I83" s="29">
        <f>IF($B83="","",SUMIFS(tDrugUse[[Total Cost]],tDrugUse[[Date]],"&gt;="&amp;DStart,tDrugUse[[Date]],"&lt;="&amp;DEnd,tDrugUse[[Pen ID]],$B83,tDrugUse[[Batch ID]],FBatch,tDrugUse[[Animal Type]],FAnimal))</f>
        <v/>
      </c>
      <c r="J83" s="29">
        <f>IF($B83="","",SUMIFS(tExp[[Amount]],tExp[[Date]],"&gt;="&amp;DStart,tExp[[Date]],"&lt;="&amp;DEnd,tExp[[Pen ID / General]],$B83,tExp[[Batch ID (if applicable)]],FBatch,tExp[[Animal Type]],FAnimal))</f>
        <v/>
      </c>
      <c r="K83" s="41">
        <f>IF($B83="","",H83+I83+J83)</f>
        <v/>
      </c>
      <c r="L83" s="41">
        <f>IF($B83="","",SUMIFS(tSales[[Total Revenue]],tSales[[Date]],"&gt;="&amp;DStart,tSales[[Date]],"&lt;="&amp;DEnd,tSales[[Pen ID]],$B83,tSales[[Batch ID]],FBatch,tSales[[Animal Type]],FAnimal))</f>
        <v/>
      </c>
      <c r="M83" s="41">
        <f>IF($B83="","",L83-K83)</f>
        <v/>
      </c>
      <c r="N83" s="39">
        <f>IF($B83="","",SUMIFS(tMort[[Number of Deaths]],tMort[[Date]],"&gt;="&amp;DStart,tMort[[Date]],"&lt;="&amp;DEnd,tMort[[Pen ID]],$B83,tMort[[Batch ID]],FBatch,tMort[[Animal Type]],FAnimal))</f>
        <v/>
      </c>
    </row>
    <row r="84">
      <c r="B84" s="27">
        <f>IFERROR(INDEX(tPens[[Pen ID]],42)&amp;"","")</f>
        <v/>
      </c>
      <c r="C84" s="36">
        <f>IF($B84="","",INDEX(tPens[[Pen Name]],42)&amp;"")</f>
        <v/>
      </c>
      <c r="D84" s="36">
        <f>IF($B84="","",INDEX(tPens[[Current Batch ID]],42)&amp;"")</f>
        <v/>
      </c>
      <c r="E84" s="36">
        <f>IF($B84="","",INDEX(tPens[[Status]],42)&amp;"")</f>
        <v/>
      </c>
      <c r="F84" s="39">
        <f>IF($B84="","",INDEX(tPens[[Current Stock]],42))</f>
        <v/>
      </c>
      <c r="G84" s="28">
        <f>IF($B84="","",SUMIFS(tFeedIss[[Quantity Issued in kg]],tFeedIss[[Date]],"&gt;="&amp;DStart,tFeedIss[[Date]],"&lt;="&amp;DEnd,tFeedIss[[Pen ID]],$B84,tFeedIss[[Batch ID]],FBatch,tFeedIss[[Animal Type]],FAnimal))</f>
        <v/>
      </c>
      <c r="H84" s="29">
        <f>IF($B84="","",SUMIFS(tFeedIss[[Total Cost]],tFeedIss[[Date]],"&gt;="&amp;DStart,tFeedIss[[Date]],"&lt;="&amp;DEnd,tFeedIss[[Pen ID]],$B84,tFeedIss[[Batch ID]],FBatch,tFeedIss[[Animal Type]],FAnimal))</f>
        <v/>
      </c>
      <c r="I84" s="29">
        <f>IF($B84="","",SUMIFS(tDrugUse[[Total Cost]],tDrugUse[[Date]],"&gt;="&amp;DStart,tDrugUse[[Date]],"&lt;="&amp;DEnd,tDrugUse[[Pen ID]],$B84,tDrugUse[[Batch ID]],FBatch,tDrugUse[[Animal Type]],FAnimal))</f>
        <v/>
      </c>
      <c r="J84" s="29">
        <f>IF($B84="","",SUMIFS(tExp[[Amount]],tExp[[Date]],"&gt;="&amp;DStart,tExp[[Date]],"&lt;="&amp;DEnd,tExp[[Pen ID / General]],$B84,tExp[[Batch ID (if applicable)]],FBatch,tExp[[Animal Type]],FAnimal))</f>
        <v/>
      </c>
      <c r="K84" s="41">
        <f>IF($B84="","",H84+I84+J84)</f>
        <v/>
      </c>
      <c r="L84" s="41">
        <f>IF($B84="","",SUMIFS(tSales[[Total Revenue]],tSales[[Date]],"&gt;="&amp;DStart,tSales[[Date]],"&lt;="&amp;DEnd,tSales[[Pen ID]],$B84,tSales[[Batch ID]],FBatch,tSales[[Animal Type]],FAnimal))</f>
        <v/>
      </c>
      <c r="M84" s="41">
        <f>IF($B84="","",L84-K84)</f>
        <v/>
      </c>
      <c r="N84" s="39">
        <f>IF($B84="","",SUMIFS(tMort[[Number of Deaths]],tMort[[Date]],"&gt;="&amp;DStart,tMort[[Date]],"&lt;="&amp;DEnd,tMort[[Pen ID]],$B84,tMort[[Batch ID]],FBatch,tMort[[Animal Type]],FAnimal))</f>
        <v/>
      </c>
    </row>
    <row r="85">
      <c r="B85" s="27">
        <f>IFERROR(INDEX(tPens[[Pen ID]],43)&amp;"","")</f>
        <v/>
      </c>
      <c r="C85" s="36">
        <f>IF($B85="","",INDEX(tPens[[Pen Name]],43)&amp;"")</f>
        <v/>
      </c>
      <c r="D85" s="36">
        <f>IF($B85="","",INDEX(tPens[[Current Batch ID]],43)&amp;"")</f>
        <v/>
      </c>
      <c r="E85" s="36">
        <f>IF($B85="","",INDEX(tPens[[Status]],43)&amp;"")</f>
        <v/>
      </c>
      <c r="F85" s="39">
        <f>IF($B85="","",INDEX(tPens[[Current Stock]],43))</f>
        <v/>
      </c>
      <c r="G85" s="28">
        <f>IF($B85="","",SUMIFS(tFeedIss[[Quantity Issued in kg]],tFeedIss[[Date]],"&gt;="&amp;DStart,tFeedIss[[Date]],"&lt;="&amp;DEnd,tFeedIss[[Pen ID]],$B85,tFeedIss[[Batch ID]],FBatch,tFeedIss[[Animal Type]],FAnimal))</f>
        <v/>
      </c>
      <c r="H85" s="29">
        <f>IF($B85="","",SUMIFS(tFeedIss[[Total Cost]],tFeedIss[[Date]],"&gt;="&amp;DStart,tFeedIss[[Date]],"&lt;="&amp;DEnd,tFeedIss[[Pen ID]],$B85,tFeedIss[[Batch ID]],FBatch,tFeedIss[[Animal Type]],FAnimal))</f>
        <v/>
      </c>
      <c r="I85" s="29">
        <f>IF($B85="","",SUMIFS(tDrugUse[[Total Cost]],tDrugUse[[Date]],"&gt;="&amp;DStart,tDrugUse[[Date]],"&lt;="&amp;DEnd,tDrugUse[[Pen ID]],$B85,tDrugUse[[Batch ID]],FBatch,tDrugUse[[Animal Type]],FAnimal))</f>
        <v/>
      </c>
      <c r="J85" s="29">
        <f>IF($B85="","",SUMIFS(tExp[[Amount]],tExp[[Date]],"&gt;="&amp;DStart,tExp[[Date]],"&lt;="&amp;DEnd,tExp[[Pen ID / General]],$B85,tExp[[Batch ID (if applicable)]],FBatch,tExp[[Animal Type]],FAnimal))</f>
        <v/>
      </c>
      <c r="K85" s="41">
        <f>IF($B85="","",H85+I85+J85)</f>
        <v/>
      </c>
      <c r="L85" s="41">
        <f>IF($B85="","",SUMIFS(tSales[[Total Revenue]],tSales[[Date]],"&gt;="&amp;DStart,tSales[[Date]],"&lt;="&amp;DEnd,tSales[[Pen ID]],$B85,tSales[[Batch ID]],FBatch,tSales[[Animal Type]],FAnimal))</f>
        <v/>
      </c>
      <c r="M85" s="41">
        <f>IF($B85="","",L85-K85)</f>
        <v/>
      </c>
      <c r="N85" s="39">
        <f>IF($B85="","",SUMIFS(tMort[[Number of Deaths]],tMort[[Date]],"&gt;="&amp;DStart,tMort[[Date]],"&lt;="&amp;DEnd,tMort[[Pen ID]],$B85,tMort[[Batch ID]],FBatch,tMort[[Animal Type]],FAnimal))</f>
        <v/>
      </c>
    </row>
    <row r="86">
      <c r="B86" s="27">
        <f>IFERROR(INDEX(tPens[[Pen ID]],44)&amp;"","")</f>
        <v/>
      </c>
      <c r="C86" s="36">
        <f>IF($B86="","",INDEX(tPens[[Pen Name]],44)&amp;"")</f>
        <v/>
      </c>
      <c r="D86" s="36">
        <f>IF($B86="","",INDEX(tPens[[Current Batch ID]],44)&amp;"")</f>
        <v/>
      </c>
      <c r="E86" s="36">
        <f>IF($B86="","",INDEX(tPens[[Status]],44)&amp;"")</f>
        <v/>
      </c>
      <c r="F86" s="39">
        <f>IF($B86="","",INDEX(tPens[[Current Stock]],44))</f>
        <v/>
      </c>
      <c r="G86" s="28">
        <f>IF($B86="","",SUMIFS(tFeedIss[[Quantity Issued in kg]],tFeedIss[[Date]],"&gt;="&amp;DStart,tFeedIss[[Date]],"&lt;="&amp;DEnd,tFeedIss[[Pen ID]],$B86,tFeedIss[[Batch ID]],FBatch,tFeedIss[[Animal Type]],FAnimal))</f>
        <v/>
      </c>
      <c r="H86" s="29">
        <f>IF($B86="","",SUMIFS(tFeedIss[[Total Cost]],tFeedIss[[Date]],"&gt;="&amp;DStart,tFeedIss[[Date]],"&lt;="&amp;DEnd,tFeedIss[[Pen ID]],$B86,tFeedIss[[Batch ID]],FBatch,tFeedIss[[Animal Type]],FAnimal))</f>
        <v/>
      </c>
      <c r="I86" s="29">
        <f>IF($B86="","",SUMIFS(tDrugUse[[Total Cost]],tDrugUse[[Date]],"&gt;="&amp;DStart,tDrugUse[[Date]],"&lt;="&amp;DEnd,tDrugUse[[Pen ID]],$B86,tDrugUse[[Batch ID]],FBatch,tDrugUse[[Animal Type]],FAnimal))</f>
        <v/>
      </c>
      <c r="J86" s="29">
        <f>IF($B86="","",SUMIFS(tExp[[Amount]],tExp[[Date]],"&gt;="&amp;DStart,tExp[[Date]],"&lt;="&amp;DEnd,tExp[[Pen ID / General]],$B86,tExp[[Batch ID (if applicable)]],FBatch,tExp[[Animal Type]],FAnimal))</f>
        <v/>
      </c>
      <c r="K86" s="41">
        <f>IF($B86="","",H86+I86+J86)</f>
        <v/>
      </c>
      <c r="L86" s="41">
        <f>IF($B86="","",SUMIFS(tSales[[Total Revenue]],tSales[[Date]],"&gt;="&amp;DStart,tSales[[Date]],"&lt;="&amp;DEnd,tSales[[Pen ID]],$B86,tSales[[Batch ID]],FBatch,tSales[[Animal Type]],FAnimal))</f>
        <v/>
      </c>
      <c r="M86" s="41">
        <f>IF($B86="","",L86-K86)</f>
        <v/>
      </c>
      <c r="N86" s="39">
        <f>IF($B86="","",SUMIFS(tMort[[Number of Deaths]],tMort[[Date]],"&gt;="&amp;DStart,tMort[[Date]],"&lt;="&amp;DEnd,tMort[[Pen ID]],$B86,tMort[[Batch ID]],FBatch,tMort[[Animal Type]],FAnimal))</f>
        <v/>
      </c>
    </row>
    <row r="87">
      <c r="B87" s="27">
        <f>IFERROR(INDEX(tPens[[Pen ID]],45)&amp;"","")</f>
        <v/>
      </c>
      <c r="C87" s="36">
        <f>IF($B87="","",INDEX(tPens[[Pen Name]],45)&amp;"")</f>
        <v/>
      </c>
      <c r="D87" s="36">
        <f>IF($B87="","",INDEX(tPens[[Current Batch ID]],45)&amp;"")</f>
        <v/>
      </c>
      <c r="E87" s="36">
        <f>IF($B87="","",INDEX(tPens[[Status]],45)&amp;"")</f>
        <v/>
      </c>
      <c r="F87" s="39">
        <f>IF($B87="","",INDEX(tPens[[Current Stock]],45))</f>
        <v/>
      </c>
      <c r="G87" s="28">
        <f>IF($B87="","",SUMIFS(tFeedIss[[Quantity Issued in kg]],tFeedIss[[Date]],"&gt;="&amp;DStart,tFeedIss[[Date]],"&lt;="&amp;DEnd,tFeedIss[[Pen ID]],$B87,tFeedIss[[Batch ID]],FBatch,tFeedIss[[Animal Type]],FAnimal))</f>
        <v/>
      </c>
      <c r="H87" s="29">
        <f>IF($B87="","",SUMIFS(tFeedIss[[Total Cost]],tFeedIss[[Date]],"&gt;="&amp;DStart,tFeedIss[[Date]],"&lt;="&amp;DEnd,tFeedIss[[Pen ID]],$B87,tFeedIss[[Batch ID]],FBatch,tFeedIss[[Animal Type]],FAnimal))</f>
        <v/>
      </c>
      <c r="I87" s="29">
        <f>IF($B87="","",SUMIFS(tDrugUse[[Total Cost]],tDrugUse[[Date]],"&gt;="&amp;DStart,tDrugUse[[Date]],"&lt;="&amp;DEnd,tDrugUse[[Pen ID]],$B87,tDrugUse[[Batch ID]],FBatch,tDrugUse[[Animal Type]],FAnimal))</f>
        <v/>
      </c>
      <c r="J87" s="29">
        <f>IF($B87="","",SUMIFS(tExp[[Amount]],tExp[[Date]],"&gt;="&amp;DStart,tExp[[Date]],"&lt;="&amp;DEnd,tExp[[Pen ID / General]],$B87,tExp[[Batch ID (if applicable)]],FBatch,tExp[[Animal Type]],FAnimal))</f>
        <v/>
      </c>
      <c r="K87" s="41">
        <f>IF($B87="","",H87+I87+J87)</f>
        <v/>
      </c>
      <c r="L87" s="41">
        <f>IF($B87="","",SUMIFS(tSales[[Total Revenue]],tSales[[Date]],"&gt;="&amp;DStart,tSales[[Date]],"&lt;="&amp;DEnd,tSales[[Pen ID]],$B87,tSales[[Batch ID]],FBatch,tSales[[Animal Type]],FAnimal))</f>
        <v/>
      </c>
      <c r="M87" s="41">
        <f>IF($B87="","",L87-K87)</f>
        <v/>
      </c>
      <c r="N87" s="39">
        <f>IF($B87="","",SUMIFS(tMort[[Number of Deaths]],tMort[[Date]],"&gt;="&amp;DStart,tMort[[Date]],"&lt;="&amp;DEnd,tMort[[Pen ID]],$B87,tMort[[Batch ID]],FBatch,tMort[[Animal Type]],FAnimal))</f>
        <v/>
      </c>
    </row>
    <row r="88">
      <c r="B88" s="27">
        <f>IFERROR(INDEX(tPens[[Pen ID]],46)&amp;"","")</f>
        <v/>
      </c>
      <c r="C88" s="36">
        <f>IF($B88="","",INDEX(tPens[[Pen Name]],46)&amp;"")</f>
        <v/>
      </c>
      <c r="D88" s="36">
        <f>IF($B88="","",INDEX(tPens[[Current Batch ID]],46)&amp;"")</f>
        <v/>
      </c>
      <c r="E88" s="36">
        <f>IF($B88="","",INDEX(tPens[[Status]],46)&amp;"")</f>
        <v/>
      </c>
      <c r="F88" s="39">
        <f>IF($B88="","",INDEX(tPens[[Current Stock]],46))</f>
        <v/>
      </c>
      <c r="G88" s="28">
        <f>IF($B88="","",SUMIFS(tFeedIss[[Quantity Issued in kg]],tFeedIss[[Date]],"&gt;="&amp;DStart,tFeedIss[[Date]],"&lt;="&amp;DEnd,tFeedIss[[Pen ID]],$B88,tFeedIss[[Batch ID]],FBatch,tFeedIss[[Animal Type]],FAnimal))</f>
        <v/>
      </c>
      <c r="H88" s="29">
        <f>IF($B88="","",SUMIFS(tFeedIss[[Total Cost]],tFeedIss[[Date]],"&gt;="&amp;DStart,tFeedIss[[Date]],"&lt;="&amp;DEnd,tFeedIss[[Pen ID]],$B88,tFeedIss[[Batch ID]],FBatch,tFeedIss[[Animal Type]],FAnimal))</f>
        <v/>
      </c>
      <c r="I88" s="29">
        <f>IF($B88="","",SUMIFS(tDrugUse[[Total Cost]],tDrugUse[[Date]],"&gt;="&amp;DStart,tDrugUse[[Date]],"&lt;="&amp;DEnd,tDrugUse[[Pen ID]],$B88,tDrugUse[[Batch ID]],FBatch,tDrugUse[[Animal Type]],FAnimal))</f>
        <v/>
      </c>
      <c r="J88" s="29">
        <f>IF($B88="","",SUMIFS(tExp[[Amount]],tExp[[Date]],"&gt;="&amp;DStart,tExp[[Date]],"&lt;="&amp;DEnd,tExp[[Pen ID / General]],$B88,tExp[[Batch ID (if applicable)]],FBatch,tExp[[Animal Type]],FAnimal))</f>
        <v/>
      </c>
      <c r="K88" s="41">
        <f>IF($B88="","",H88+I88+J88)</f>
        <v/>
      </c>
      <c r="L88" s="41">
        <f>IF($B88="","",SUMIFS(tSales[[Total Revenue]],tSales[[Date]],"&gt;="&amp;DStart,tSales[[Date]],"&lt;="&amp;DEnd,tSales[[Pen ID]],$B88,tSales[[Batch ID]],FBatch,tSales[[Animal Type]],FAnimal))</f>
        <v/>
      </c>
      <c r="M88" s="41">
        <f>IF($B88="","",L88-K88)</f>
        <v/>
      </c>
      <c r="N88" s="39">
        <f>IF($B88="","",SUMIFS(tMort[[Number of Deaths]],tMort[[Date]],"&gt;="&amp;DStart,tMort[[Date]],"&lt;="&amp;DEnd,tMort[[Pen ID]],$B88,tMort[[Batch ID]],FBatch,tMort[[Animal Type]],FAnimal))</f>
        <v/>
      </c>
    </row>
    <row r="89">
      <c r="B89" s="27">
        <f>IFERROR(INDEX(tPens[[Pen ID]],47)&amp;"","")</f>
        <v/>
      </c>
      <c r="C89" s="36">
        <f>IF($B89="","",INDEX(tPens[[Pen Name]],47)&amp;"")</f>
        <v/>
      </c>
      <c r="D89" s="36">
        <f>IF($B89="","",INDEX(tPens[[Current Batch ID]],47)&amp;"")</f>
        <v/>
      </c>
      <c r="E89" s="36">
        <f>IF($B89="","",INDEX(tPens[[Status]],47)&amp;"")</f>
        <v/>
      </c>
      <c r="F89" s="39">
        <f>IF($B89="","",INDEX(tPens[[Current Stock]],47))</f>
        <v/>
      </c>
      <c r="G89" s="28">
        <f>IF($B89="","",SUMIFS(tFeedIss[[Quantity Issued in kg]],tFeedIss[[Date]],"&gt;="&amp;DStart,tFeedIss[[Date]],"&lt;="&amp;DEnd,tFeedIss[[Pen ID]],$B89,tFeedIss[[Batch ID]],FBatch,tFeedIss[[Animal Type]],FAnimal))</f>
        <v/>
      </c>
      <c r="H89" s="29">
        <f>IF($B89="","",SUMIFS(tFeedIss[[Total Cost]],tFeedIss[[Date]],"&gt;="&amp;DStart,tFeedIss[[Date]],"&lt;="&amp;DEnd,tFeedIss[[Pen ID]],$B89,tFeedIss[[Batch ID]],FBatch,tFeedIss[[Animal Type]],FAnimal))</f>
        <v/>
      </c>
      <c r="I89" s="29">
        <f>IF($B89="","",SUMIFS(tDrugUse[[Total Cost]],tDrugUse[[Date]],"&gt;="&amp;DStart,tDrugUse[[Date]],"&lt;="&amp;DEnd,tDrugUse[[Pen ID]],$B89,tDrugUse[[Batch ID]],FBatch,tDrugUse[[Animal Type]],FAnimal))</f>
        <v/>
      </c>
      <c r="J89" s="29">
        <f>IF($B89="","",SUMIFS(tExp[[Amount]],tExp[[Date]],"&gt;="&amp;DStart,tExp[[Date]],"&lt;="&amp;DEnd,tExp[[Pen ID / General]],$B89,tExp[[Batch ID (if applicable)]],FBatch,tExp[[Animal Type]],FAnimal))</f>
        <v/>
      </c>
      <c r="K89" s="41">
        <f>IF($B89="","",H89+I89+J89)</f>
        <v/>
      </c>
      <c r="L89" s="41">
        <f>IF($B89="","",SUMIFS(tSales[[Total Revenue]],tSales[[Date]],"&gt;="&amp;DStart,tSales[[Date]],"&lt;="&amp;DEnd,tSales[[Pen ID]],$B89,tSales[[Batch ID]],FBatch,tSales[[Animal Type]],FAnimal))</f>
        <v/>
      </c>
      <c r="M89" s="41">
        <f>IF($B89="","",L89-K89)</f>
        <v/>
      </c>
      <c r="N89" s="39">
        <f>IF($B89="","",SUMIFS(tMort[[Number of Deaths]],tMort[[Date]],"&gt;="&amp;DStart,tMort[[Date]],"&lt;="&amp;DEnd,tMort[[Pen ID]],$B89,tMort[[Batch ID]],FBatch,tMort[[Animal Type]],FAnimal))</f>
        <v/>
      </c>
    </row>
    <row r="90">
      <c r="B90" s="27">
        <f>IFERROR(INDEX(tPens[[Pen ID]],48)&amp;"","")</f>
        <v/>
      </c>
      <c r="C90" s="36">
        <f>IF($B90="","",INDEX(tPens[[Pen Name]],48)&amp;"")</f>
        <v/>
      </c>
      <c r="D90" s="36">
        <f>IF($B90="","",INDEX(tPens[[Current Batch ID]],48)&amp;"")</f>
        <v/>
      </c>
      <c r="E90" s="36">
        <f>IF($B90="","",INDEX(tPens[[Status]],48)&amp;"")</f>
        <v/>
      </c>
      <c r="F90" s="39">
        <f>IF($B90="","",INDEX(tPens[[Current Stock]],48))</f>
        <v/>
      </c>
      <c r="G90" s="28">
        <f>IF($B90="","",SUMIFS(tFeedIss[[Quantity Issued in kg]],tFeedIss[[Date]],"&gt;="&amp;DStart,tFeedIss[[Date]],"&lt;="&amp;DEnd,tFeedIss[[Pen ID]],$B90,tFeedIss[[Batch ID]],FBatch,tFeedIss[[Animal Type]],FAnimal))</f>
        <v/>
      </c>
      <c r="H90" s="29">
        <f>IF($B90="","",SUMIFS(tFeedIss[[Total Cost]],tFeedIss[[Date]],"&gt;="&amp;DStart,tFeedIss[[Date]],"&lt;="&amp;DEnd,tFeedIss[[Pen ID]],$B90,tFeedIss[[Batch ID]],FBatch,tFeedIss[[Animal Type]],FAnimal))</f>
        <v/>
      </c>
      <c r="I90" s="29">
        <f>IF($B90="","",SUMIFS(tDrugUse[[Total Cost]],tDrugUse[[Date]],"&gt;="&amp;DStart,tDrugUse[[Date]],"&lt;="&amp;DEnd,tDrugUse[[Pen ID]],$B90,tDrugUse[[Batch ID]],FBatch,tDrugUse[[Animal Type]],FAnimal))</f>
        <v/>
      </c>
      <c r="J90" s="29">
        <f>IF($B90="","",SUMIFS(tExp[[Amount]],tExp[[Date]],"&gt;="&amp;DStart,tExp[[Date]],"&lt;="&amp;DEnd,tExp[[Pen ID / General]],$B90,tExp[[Batch ID (if applicable)]],FBatch,tExp[[Animal Type]],FAnimal))</f>
        <v/>
      </c>
      <c r="K90" s="41">
        <f>IF($B90="","",H90+I90+J90)</f>
        <v/>
      </c>
      <c r="L90" s="41">
        <f>IF($B90="","",SUMIFS(tSales[[Total Revenue]],tSales[[Date]],"&gt;="&amp;DStart,tSales[[Date]],"&lt;="&amp;DEnd,tSales[[Pen ID]],$B90,tSales[[Batch ID]],FBatch,tSales[[Animal Type]],FAnimal))</f>
        <v/>
      </c>
      <c r="M90" s="41">
        <f>IF($B90="","",L90-K90)</f>
        <v/>
      </c>
      <c r="N90" s="39">
        <f>IF($B90="","",SUMIFS(tMort[[Number of Deaths]],tMort[[Date]],"&gt;="&amp;DStart,tMort[[Date]],"&lt;="&amp;DEnd,tMort[[Pen ID]],$B90,tMort[[Batch ID]],FBatch,tMort[[Animal Type]],FAnimal))</f>
        <v/>
      </c>
    </row>
    <row r="91">
      <c r="B91" s="27">
        <f>IFERROR(INDEX(tPens[[Pen ID]],49)&amp;"","")</f>
        <v/>
      </c>
      <c r="C91" s="36">
        <f>IF($B91="","",INDEX(tPens[[Pen Name]],49)&amp;"")</f>
        <v/>
      </c>
      <c r="D91" s="36">
        <f>IF($B91="","",INDEX(tPens[[Current Batch ID]],49)&amp;"")</f>
        <v/>
      </c>
      <c r="E91" s="36">
        <f>IF($B91="","",INDEX(tPens[[Status]],49)&amp;"")</f>
        <v/>
      </c>
      <c r="F91" s="39">
        <f>IF($B91="","",INDEX(tPens[[Current Stock]],49))</f>
        <v/>
      </c>
      <c r="G91" s="28">
        <f>IF($B91="","",SUMIFS(tFeedIss[[Quantity Issued in kg]],tFeedIss[[Date]],"&gt;="&amp;DStart,tFeedIss[[Date]],"&lt;="&amp;DEnd,tFeedIss[[Pen ID]],$B91,tFeedIss[[Batch ID]],FBatch,tFeedIss[[Animal Type]],FAnimal))</f>
        <v/>
      </c>
      <c r="H91" s="29">
        <f>IF($B91="","",SUMIFS(tFeedIss[[Total Cost]],tFeedIss[[Date]],"&gt;="&amp;DStart,tFeedIss[[Date]],"&lt;="&amp;DEnd,tFeedIss[[Pen ID]],$B91,tFeedIss[[Batch ID]],FBatch,tFeedIss[[Animal Type]],FAnimal))</f>
        <v/>
      </c>
      <c r="I91" s="29">
        <f>IF($B91="","",SUMIFS(tDrugUse[[Total Cost]],tDrugUse[[Date]],"&gt;="&amp;DStart,tDrugUse[[Date]],"&lt;="&amp;DEnd,tDrugUse[[Pen ID]],$B91,tDrugUse[[Batch ID]],FBatch,tDrugUse[[Animal Type]],FAnimal))</f>
        <v/>
      </c>
      <c r="J91" s="29">
        <f>IF($B91="","",SUMIFS(tExp[[Amount]],tExp[[Date]],"&gt;="&amp;DStart,tExp[[Date]],"&lt;="&amp;DEnd,tExp[[Pen ID / General]],$B91,tExp[[Batch ID (if applicable)]],FBatch,tExp[[Animal Type]],FAnimal))</f>
        <v/>
      </c>
      <c r="K91" s="41">
        <f>IF($B91="","",H91+I91+J91)</f>
        <v/>
      </c>
      <c r="L91" s="41">
        <f>IF($B91="","",SUMIFS(tSales[[Total Revenue]],tSales[[Date]],"&gt;="&amp;DStart,tSales[[Date]],"&lt;="&amp;DEnd,tSales[[Pen ID]],$B91,tSales[[Batch ID]],FBatch,tSales[[Animal Type]],FAnimal))</f>
        <v/>
      </c>
      <c r="M91" s="41">
        <f>IF($B91="","",L91-K91)</f>
        <v/>
      </c>
      <c r="N91" s="39">
        <f>IF($B91="","",SUMIFS(tMort[[Number of Deaths]],tMort[[Date]],"&gt;="&amp;DStart,tMort[[Date]],"&lt;="&amp;DEnd,tMort[[Pen ID]],$B91,tMort[[Batch ID]],FBatch,tMort[[Animal Type]],FAnimal))</f>
        <v/>
      </c>
    </row>
    <row r="92">
      <c r="B92" s="27">
        <f>IFERROR(INDEX(tPens[[Pen ID]],50)&amp;"","")</f>
        <v/>
      </c>
      <c r="C92" s="36">
        <f>IF($B92="","",INDEX(tPens[[Pen Name]],50)&amp;"")</f>
        <v/>
      </c>
      <c r="D92" s="36">
        <f>IF($B92="","",INDEX(tPens[[Current Batch ID]],50)&amp;"")</f>
        <v/>
      </c>
      <c r="E92" s="36">
        <f>IF($B92="","",INDEX(tPens[[Status]],50)&amp;"")</f>
        <v/>
      </c>
      <c r="F92" s="39">
        <f>IF($B92="","",INDEX(tPens[[Current Stock]],50))</f>
        <v/>
      </c>
      <c r="G92" s="28">
        <f>IF($B92="","",SUMIFS(tFeedIss[[Quantity Issued in kg]],tFeedIss[[Date]],"&gt;="&amp;DStart,tFeedIss[[Date]],"&lt;="&amp;DEnd,tFeedIss[[Pen ID]],$B92,tFeedIss[[Batch ID]],FBatch,tFeedIss[[Animal Type]],FAnimal))</f>
        <v/>
      </c>
      <c r="H92" s="29">
        <f>IF($B92="","",SUMIFS(tFeedIss[[Total Cost]],tFeedIss[[Date]],"&gt;="&amp;DStart,tFeedIss[[Date]],"&lt;="&amp;DEnd,tFeedIss[[Pen ID]],$B92,tFeedIss[[Batch ID]],FBatch,tFeedIss[[Animal Type]],FAnimal))</f>
        <v/>
      </c>
      <c r="I92" s="29">
        <f>IF($B92="","",SUMIFS(tDrugUse[[Total Cost]],tDrugUse[[Date]],"&gt;="&amp;DStart,tDrugUse[[Date]],"&lt;="&amp;DEnd,tDrugUse[[Pen ID]],$B92,tDrugUse[[Batch ID]],FBatch,tDrugUse[[Animal Type]],FAnimal))</f>
        <v/>
      </c>
      <c r="J92" s="29">
        <f>IF($B92="","",SUMIFS(tExp[[Amount]],tExp[[Date]],"&gt;="&amp;DStart,tExp[[Date]],"&lt;="&amp;DEnd,tExp[[Pen ID / General]],$B92,tExp[[Batch ID (if applicable)]],FBatch,tExp[[Animal Type]],FAnimal))</f>
        <v/>
      </c>
      <c r="K92" s="41">
        <f>IF($B92="","",H92+I92+J92)</f>
        <v/>
      </c>
      <c r="L92" s="41">
        <f>IF($B92="","",SUMIFS(tSales[[Total Revenue]],tSales[[Date]],"&gt;="&amp;DStart,tSales[[Date]],"&lt;="&amp;DEnd,tSales[[Pen ID]],$B92,tSales[[Batch ID]],FBatch,tSales[[Animal Type]],FAnimal))</f>
        <v/>
      </c>
      <c r="M92" s="41">
        <f>IF($B92="","",L92-K92)</f>
        <v/>
      </c>
      <c r="N92" s="39">
        <f>IF($B92="","",SUMIFS(tMort[[Number of Deaths]],tMort[[Date]],"&gt;="&amp;DStart,tMort[[Date]],"&lt;="&amp;DEnd,tMort[[Pen ID]],$B92,tMort[[Batch ID]],FBatch,tMort[[Animal Type]],FAnimal))</f>
        <v/>
      </c>
    </row>
    <row r="93">
      <c r="B93" s="27">
        <f>IFERROR(INDEX(tPens[[Pen ID]],51)&amp;"","")</f>
        <v/>
      </c>
      <c r="C93" s="36">
        <f>IF($B93="","",INDEX(tPens[[Pen Name]],51)&amp;"")</f>
        <v/>
      </c>
      <c r="D93" s="36">
        <f>IF($B93="","",INDEX(tPens[[Current Batch ID]],51)&amp;"")</f>
        <v/>
      </c>
      <c r="E93" s="36">
        <f>IF($B93="","",INDEX(tPens[[Status]],51)&amp;"")</f>
        <v/>
      </c>
      <c r="F93" s="39">
        <f>IF($B93="","",INDEX(tPens[[Current Stock]],51))</f>
        <v/>
      </c>
      <c r="G93" s="28">
        <f>IF($B93="","",SUMIFS(tFeedIss[[Quantity Issued in kg]],tFeedIss[[Date]],"&gt;="&amp;DStart,tFeedIss[[Date]],"&lt;="&amp;DEnd,tFeedIss[[Pen ID]],$B93,tFeedIss[[Batch ID]],FBatch,tFeedIss[[Animal Type]],FAnimal))</f>
        <v/>
      </c>
      <c r="H93" s="29">
        <f>IF($B93="","",SUMIFS(tFeedIss[[Total Cost]],tFeedIss[[Date]],"&gt;="&amp;DStart,tFeedIss[[Date]],"&lt;="&amp;DEnd,tFeedIss[[Pen ID]],$B93,tFeedIss[[Batch ID]],FBatch,tFeedIss[[Animal Type]],FAnimal))</f>
        <v/>
      </c>
      <c r="I93" s="29">
        <f>IF($B93="","",SUMIFS(tDrugUse[[Total Cost]],tDrugUse[[Date]],"&gt;="&amp;DStart,tDrugUse[[Date]],"&lt;="&amp;DEnd,tDrugUse[[Pen ID]],$B93,tDrugUse[[Batch ID]],FBatch,tDrugUse[[Animal Type]],FAnimal))</f>
        <v/>
      </c>
      <c r="J93" s="29">
        <f>IF($B93="","",SUMIFS(tExp[[Amount]],tExp[[Date]],"&gt;="&amp;DStart,tExp[[Date]],"&lt;="&amp;DEnd,tExp[[Pen ID / General]],$B93,tExp[[Batch ID (if applicable)]],FBatch,tExp[[Animal Type]],FAnimal))</f>
        <v/>
      </c>
      <c r="K93" s="41">
        <f>IF($B93="","",H93+I93+J93)</f>
        <v/>
      </c>
      <c r="L93" s="41">
        <f>IF($B93="","",SUMIFS(tSales[[Total Revenue]],tSales[[Date]],"&gt;="&amp;DStart,tSales[[Date]],"&lt;="&amp;DEnd,tSales[[Pen ID]],$B93,tSales[[Batch ID]],FBatch,tSales[[Animal Type]],FAnimal))</f>
        <v/>
      </c>
      <c r="M93" s="41">
        <f>IF($B93="","",L93-K93)</f>
        <v/>
      </c>
      <c r="N93" s="39">
        <f>IF($B93="","",SUMIFS(tMort[[Number of Deaths]],tMort[[Date]],"&gt;="&amp;DStart,tMort[[Date]],"&lt;="&amp;DEnd,tMort[[Pen ID]],$B93,tMort[[Batch ID]],FBatch,tMort[[Animal Type]],FAnimal))</f>
        <v/>
      </c>
    </row>
    <row r="94">
      <c r="B94" s="27">
        <f>IFERROR(INDEX(tPens[[Pen ID]],52)&amp;"","")</f>
        <v/>
      </c>
      <c r="C94" s="36">
        <f>IF($B94="","",INDEX(tPens[[Pen Name]],52)&amp;"")</f>
        <v/>
      </c>
      <c r="D94" s="36">
        <f>IF($B94="","",INDEX(tPens[[Current Batch ID]],52)&amp;"")</f>
        <v/>
      </c>
      <c r="E94" s="36">
        <f>IF($B94="","",INDEX(tPens[[Status]],52)&amp;"")</f>
        <v/>
      </c>
      <c r="F94" s="39">
        <f>IF($B94="","",INDEX(tPens[[Current Stock]],52))</f>
        <v/>
      </c>
      <c r="G94" s="28">
        <f>IF($B94="","",SUMIFS(tFeedIss[[Quantity Issued in kg]],tFeedIss[[Date]],"&gt;="&amp;DStart,tFeedIss[[Date]],"&lt;="&amp;DEnd,tFeedIss[[Pen ID]],$B94,tFeedIss[[Batch ID]],FBatch,tFeedIss[[Animal Type]],FAnimal))</f>
        <v/>
      </c>
      <c r="H94" s="29">
        <f>IF($B94="","",SUMIFS(tFeedIss[[Total Cost]],tFeedIss[[Date]],"&gt;="&amp;DStart,tFeedIss[[Date]],"&lt;="&amp;DEnd,tFeedIss[[Pen ID]],$B94,tFeedIss[[Batch ID]],FBatch,tFeedIss[[Animal Type]],FAnimal))</f>
        <v/>
      </c>
      <c r="I94" s="29">
        <f>IF($B94="","",SUMIFS(tDrugUse[[Total Cost]],tDrugUse[[Date]],"&gt;="&amp;DStart,tDrugUse[[Date]],"&lt;="&amp;DEnd,tDrugUse[[Pen ID]],$B94,tDrugUse[[Batch ID]],FBatch,tDrugUse[[Animal Type]],FAnimal))</f>
        <v/>
      </c>
      <c r="J94" s="29">
        <f>IF($B94="","",SUMIFS(tExp[[Amount]],tExp[[Date]],"&gt;="&amp;DStart,tExp[[Date]],"&lt;="&amp;DEnd,tExp[[Pen ID / General]],$B94,tExp[[Batch ID (if applicable)]],FBatch,tExp[[Animal Type]],FAnimal))</f>
        <v/>
      </c>
      <c r="K94" s="41">
        <f>IF($B94="","",H94+I94+J94)</f>
        <v/>
      </c>
      <c r="L94" s="41">
        <f>IF($B94="","",SUMIFS(tSales[[Total Revenue]],tSales[[Date]],"&gt;="&amp;DStart,tSales[[Date]],"&lt;="&amp;DEnd,tSales[[Pen ID]],$B94,tSales[[Batch ID]],FBatch,tSales[[Animal Type]],FAnimal))</f>
        <v/>
      </c>
      <c r="M94" s="41">
        <f>IF($B94="","",L94-K94)</f>
        <v/>
      </c>
      <c r="N94" s="39">
        <f>IF($B94="","",SUMIFS(tMort[[Number of Deaths]],tMort[[Date]],"&gt;="&amp;DStart,tMort[[Date]],"&lt;="&amp;DEnd,tMort[[Pen ID]],$B94,tMort[[Batch ID]],FBatch,tMort[[Animal Type]],FAnimal))</f>
        <v/>
      </c>
    </row>
    <row r="95">
      <c r="B95" s="27">
        <f>IFERROR(INDEX(tPens[[Pen ID]],53)&amp;"","")</f>
        <v/>
      </c>
      <c r="C95" s="36">
        <f>IF($B95="","",INDEX(tPens[[Pen Name]],53)&amp;"")</f>
        <v/>
      </c>
      <c r="D95" s="36">
        <f>IF($B95="","",INDEX(tPens[[Current Batch ID]],53)&amp;"")</f>
        <v/>
      </c>
      <c r="E95" s="36">
        <f>IF($B95="","",INDEX(tPens[[Status]],53)&amp;"")</f>
        <v/>
      </c>
      <c r="F95" s="39">
        <f>IF($B95="","",INDEX(tPens[[Current Stock]],53))</f>
        <v/>
      </c>
      <c r="G95" s="28">
        <f>IF($B95="","",SUMIFS(tFeedIss[[Quantity Issued in kg]],tFeedIss[[Date]],"&gt;="&amp;DStart,tFeedIss[[Date]],"&lt;="&amp;DEnd,tFeedIss[[Pen ID]],$B95,tFeedIss[[Batch ID]],FBatch,tFeedIss[[Animal Type]],FAnimal))</f>
        <v/>
      </c>
      <c r="H95" s="29">
        <f>IF($B95="","",SUMIFS(tFeedIss[[Total Cost]],tFeedIss[[Date]],"&gt;="&amp;DStart,tFeedIss[[Date]],"&lt;="&amp;DEnd,tFeedIss[[Pen ID]],$B95,tFeedIss[[Batch ID]],FBatch,tFeedIss[[Animal Type]],FAnimal))</f>
        <v/>
      </c>
      <c r="I95" s="29">
        <f>IF($B95="","",SUMIFS(tDrugUse[[Total Cost]],tDrugUse[[Date]],"&gt;="&amp;DStart,tDrugUse[[Date]],"&lt;="&amp;DEnd,tDrugUse[[Pen ID]],$B95,tDrugUse[[Batch ID]],FBatch,tDrugUse[[Animal Type]],FAnimal))</f>
        <v/>
      </c>
      <c r="J95" s="29">
        <f>IF($B95="","",SUMIFS(tExp[[Amount]],tExp[[Date]],"&gt;="&amp;DStart,tExp[[Date]],"&lt;="&amp;DEnd,tExp[[Pen ID / General]],$B95,tExp[[Batch ID (if applicable)]],FBatch,tExp[[Animal Type]],FAnimal))</f>
        <v/>
      </c>
      <c r="K95" s="41">
        <f>IF($B95="","",H95+I95+J95)</f>
        <v/>
      </c>
      <c r="L95" s="41">
        <f>IF($B95="","",SUMIFS(tSales[[Total Revenue]],tSales[[Date]],"&gt;="&amp;DStart,tSales[[Date]],"&lt;="&amp;DEnd,tSales[[Pen ID]],$B95,tSales[[Batch ID]],FBatch,tSales[[Animal Type]],FAnimal))</f>
        <v/>
      </c>
      <c r="M95" s="41">
        <f>IF($B95="","",L95-K95)</f>
        <v/>
      </c>
      <c r="N95" s="39">
        <f>IF($B95="","",SUMIFS(tMort[[Number of Deaths]],tMort[[Date]],"&gt;="&amp;DStart,tMort[[Date]],"&lt;="&amp;DEnd,tMort[[Pen ID]],$B95,tMort[[Batch ID]],FBatch,tMort[[Animal Type]],FAnimal))</f>
        <v/>
      </c>
    </row>
    <row r="96">
      <c r="B96" s="27">
        <f>IFERROR(INDEX(tPens[[Pen ID]],54)&amp;"","")</f>
        <v/>
      </c>
      <c r="C96" s="36">
        <f>IF($B96="","",INDEX(tPens[[Pen Name]],54)&amp;"")</f>
        <v/>
      </c>
      <c r="D96" s="36">
        <f>IF($B96="","",INDEX(tPens[[Current Batch ID]],54)&amp;"")</f>
        <v/>
      </c>
      <c r="E96" s="36">
        <f>IF($B96="","",INDEX(tPens[[Status]],54)&amp;"")</f>
        <v/>
      </c>
      <c r="F96" s="39">
        <f>IF($B96="","",INDEX(tPens[[Current Stock]],54))</f>
        <v/>
      </c>
      <c r="G96" s="28">
        <f>IF($B96="","",SUMIFS(tFeedIss[[Quantity Issued in kg]],tFeedIss[[Date]],"&gt;="&amp;DStart,tFeedIss[[Date]],"&lt;="&amp;DEnd,tFeedIss[[Pen ID]],$B96,tFeedIss[[Batch ID]],FBatch,tFeedIss[[Animal Type]],FAnimal))</f>
        <v/>
      </c>
      <c r="H96" s="29">
        <f>IF($B96="","",SUMIFS(tFeedIss[[Total Cost]],tFeedIss[[Date]],"&gt;="&amp;DStart,tFeedIss[[Date]],"&lt;="&amp;DEnd,tFeedIss[[Pen ID]],$B96,tFeedIss[[Batch ID]],FBatch,tFeedIss[[Animal Type]],FAnimal))</f>
        <v/>
      </c>
      <c r="I96" s="29">
        <f>IF($B96="","",SUMIFS(tDrugUse[[Total Cost]],tDrugUse[[Date]],"&gt;="&amp;DStart,tDrugUse[[Date]],"&lt;="&amp;DEnd,tDrugUse[[Pen ID]],$B96,tDrugUse[[Batch ID]],FBatch,tDrugUse[[Animal Type]],FAnimal))</f>
        <v/>
      </c>
      <c r="J96" s="29">
        <f>IF($B96="","",SUMIFS(tExp[[Amount]],tExp[[Date]],"&gt;="&amp;DStart,tExp[[Date]],"&lt;="&amp;DEnd,tExp[[Pen ID / General]],$B96,tExp[[Batch ID (if applicable)]],FBatch,tExp[[Animal Type]],FAnimal))</f>
        <v/>
      </c>
      <c r="K96" s="41">
        <f>IF($B96="","",H96+I96+J96)</f>
        <v/>
      </c>
      <c r="L96" s="41">
        <f>IF($B96="","",SUMIFS(tSales[[Total Revenue]],tSales[[Date]],"&gt;="&amp;DStart,tSales[[Date]],"&lt;="&amp;DEnd,tSales[[Pen ID]],$B96,tSales[[Batch ID]],FBatch,tSales[[Animal Type]],FAnimal))</f>
        <v/>
      </c>
      <c r="M96" s="41">
        <f>IF($B96="","",L96-K96)</f>
        <v/>
      </c>
      <c r="N96" s="39">
        <f>IF($B96="","",SUMIFS(tMort[[Number of Deaths]],tMort[[Date]],"&gt;="&amp;DStart,tMort[[Date]],"&lt;="&amp;DEnd,tMort[[Pen ID]],$B96,tMort[[Batch ID]],FBatch,tMort[[Animal Type]],FAnimal))</f>
        <v/>
      </c>
    </row>
    <row r="97">
      <c r="B97" s="27">
        <f>IFERROR(INDEX(tPens[[Pen ID]],55)&amp;"","")</f>
        <v/>
      </c>
      <c r="C97" s="36">
        <f>IF($B97="","",INDEX(tPens[[Pen Name]],55)&amp;"")</f>
        <v/>
      </c>
      <c r="D97" s="36">
        <f>IF($B97="","",INDEX(tPens[[Current Batch ID]],55)&amp;"")</f>
        <v/>
      </c>
      <c r="E97" s="36">
        <f>IF($B97="","",INDEX(tPens[[Status]],55)&amp;"")</f>
        <v/>
      </c>
      <c r="F97" s="39">
        <f>IF($B97="","",INDEX(tPens[[Current Stock]],55))</f>
        <v/>
      </c>
      <c r="G97" s="28">
        <f>IF($B97="","",SUMIFS(tFeedIss[[Quantity Issued in kg]],tFeedIss[[Date]],"&gt;="&amp;DStart,tFeedIss[[Date]],"&lt;="&amp;DEnd,tFeedIss[[Pen ID]],$B97,tFeedIss[[Batch ID]],FBatch,tFeedIss[[Animal Type]],FAnimal))</f>
        <v/>
      </c>
      <c r="H97" s="29">
        <f>IF($B97="","",SUMIFS(tFeedIss[[Total Cost]],tFeedIss[[Date]],"&gt;="&amp;DStart,tFeedIss[[Date]],"&lt;="&amp;DEnd,tFeedIss[[Pen ID]],$B97,tFeedIss[[Batch ID]],FBatch,tFeedIss[[Animal Type]],FAnimal))</f>
        <v/>
      </c>
      <c r="I97" s="29">
        <f>IF($B97="","",SUMIFS(tDrugUse[[Total Cost]],tDrugUse[[Date]],"&gt;="&amp;DStart,tDrugUse[[Date]],"&lt;="&amp;DEnd,tDrugUse[[Pen ID]],$B97,tDrugUse[[Batch ID]],FBatch,tDrugUse[[Animal Type]],FAnimal))</f>
        <v/>
      </c>
      <c r="J97" s="29">
        <f>IF($B97="","",SUMIFS(tExp[[Amount]],tExp[[Date]],"&gt;="&amp;DStart,tExp[[Date]],"&lt;="&amp;DEnd,tExp[[Pen ID / General]],$B97,tExp[[Batch ID (if applicable)]],FBatch,tExp[[Animal Type]],FAnimal))</f>
        <v/>
      </c>
      <c r="K97" s="41">
        <f>IF($B97="","",H97+I97+J97)</f>
        <v/>
      </c>
      <c r="L97" s="41">
        <f>IF($B97="","",SUMIFS(tSales[[Total Revenue]],tSales[[Date]],"&gt;="&amp;DStart,tSales[[Date]],"&lt;="&amp;DEnd,tSales[[Pen ID]],$B97,tSales[[Batch ID]],FBatch,tSales[[Animal Type]],FAnimal))</f>
        <v/>
      </c>
      <c r="M97" s="41">
        <f>IF($B97="","",L97-K97)</f>
        <v/>
      </c>
      <c r="N97" s="39">
        <f>IF($B97="","",SUMIFS(tMort[[Number of Deaths]],tMort[[Date]],"&gt;="&amp;DStart,tMort[[Date]],"&lt;="&amp;DEnd,tMort[[Pen ID]],$B97,tMort[[Batch ID]],FBatch,tMort[[Animal Type]],FAnimal))</f>
        <v/>
      </c>
    </row>
    <row r="98">
      <c r="B98" s="27">
        <f>IFERROR(INDEX(tPens[[Pen ID]],56)&amp;"","")</f>
        <v/>
      </c>
      <c r="C98" s="36">
        <f>IF($B98="","",INDEX(tPens[[Pen Name]],56)&amp;"")</f>
        <v/>
      </c>
      <c r="D98" s="36">
        <f>IF($B98="","",INDEX(tPens[[Current Batch ID]],56)&amp;"")</f>
        <v/>
      </c>
      <c r="E98" s="36">
        <f>IF($B98="","",INDEX(tPens[[Status]],56)&amp;"")</f>
        <v/>
      </c>
      <c r="F98" s="39">
        <f>IF($B98="","",INDEX(tPens[[Current Stock]],56))</f>
        <v/>
      </c>
      <c r="G98" s="28">
        <f>IF($B98="","",SUMIFS(tFeedIss[[Quantity Issued in kg]],tFeedIss[[Date]],"&gt;="&amp;DStart,tFeedIss[[Date]],"&lt;="&amp;DEnd,tFeedIss[[Pen ID]],$B98,tFeedIss[[Batch ID]],FBatch,tFeedIss[[Animal Type]],FAnimal))</f>
        <v/>
      </c>
      <c r="H98" s="29">
        <f>IF($B98="","",SUMIFS(tFeedIss[[Total Cost]],tFeedIss[[Date]],"&gt;="&amp;DStart,tFeedIss[[Date]],"&lt;="&amp;DEnd,tFeedIss[[Pen ID]],$B98,tFeedIss[[Batch ID]],FBatch,tFeedIss[[Animal Type]],FAnimal))</f>
        <v/>
      </c>
      <c r="I98" s="29">
        <f>IF($B98="","",SUMIFS(tDrugUse[[Total Cost]],tDrugUse[[Date]],"&gt;="&amp;DStart,tDrugUse[[Date]],"&lt;="&amp;DEnd,tDrugUse[[Pen ID]],$B98,tDrugUse[[Batch ID]],FBatch,tDrugUse[[Animal Type]],FAnimal))</f>
        <v/>
      </c>
      <c r="J98" s="29">
        <f>IF($B98="","",SUMIFS(tExp[[Amount]],tExp[[Date]],"&gt;="&amp;DStart,tExp[[Date]],"&lt;="&amp;DEnd,tExp[[Pen ID / General]],$B98,tExp[[Batch ID (if applicable)]],FBatch,tExp[[Animal Type]],FAnimal))</f>
        <v/>
      </c>
      <c r="K98" s="41">
        <f>IF($B98="","",H98+I98+J98)</f>
        <v/>
      </c>
      <c r="L98" s="41">
        <f>IF($B98="","",SUMIFS(tSales[[Total Revenue]],tSales[[Date]],"&gt;="&amp;DStart,tSales[[Date]],"&lt;="&amp;DEnd,tSales[[Pen ID]],$B98,tSales[[Batch ID]],FBatch,tSales[[Animal Type]],FAnimal))</f>
        <v/>
      </c>
      <c r="M98" s="41">
        <f>IF($B98="","",L98-K98)</f>
        <v/>
      </c>
      <c r="N98" s="39">
        <f>IF($B98="","",SUMIFS(tMort[[Number of Deaths]],tMort[[Date]],"&gt;="&amp;DStart,tMort[[Date]],"&lt;="&amp;DEnd,tMort[[Pen ID]],$B98,tMort[[Batch ID]],FBatch,tMort[[Animal Type]],FAnimal))</f>
        <v/>
      </c>
    </row>
    <row r="99">
      <c r="B99" s="27">
        <f>IFERROR(INDEX(tPens[[Pen ID]],57)&amp;"","")</f>
        <v/>
      </c>
      <c r="C99" s="36">
        <f>IF($B99="","",INDEX(tPens[[Pen Name]],57)&amp;"")</f>
        <v/>
      </c>
      <c r="D99" s="36">
        <f>IF($B99="","",INDEX(tPens[[Current Batch ID]],57)&amp;"")</f>
        <v/>
      </c>
      <c r="E99" s="36">
        <f>IF($B99="","",INDEX(tPens[[Status]],57)&amp;"")</f>
        <v/>
      </c>
      <c r="F99" s="39">
        <f>IF($B99="","",INDEX(tPens[[Current Stock]],57))</f>
        <v/>
      </c>
      <c r="G99" s="28">
        <f>IF($B99="","",SUMIFS(tFeedIss[[Quantity Issued in kg]],tFeedIss[[Date]],"&gt;="&amp;DStart,tFeedIss[[Date]],"&lt;="&amp;DEnd,tFeedIss[[Pen ID]],$B99,tFeedIss[[Batch ID]],FBatch,tFeedIss[[Animal Type]],FAnimal))</f>
        <v/>
      </c>
      <c r="H99" s="29">
        <f>IF($B99="","",SUMIFS(tFeedIss[[Total Cost]],tFeedIss[[Date]],"&gt;="&amp;DStart,tFeedIss[[Date]],"&lt;="&amp;DEnd,tFeedIss[[Pen ID]],$B99,tFeedIss[[Batch ID]],FBatch,tFeedIss[[Animal Type]],FAnimal))</f>
        <v/>
      </c>
      <c r="I99" s="29">
        <f>IF($B99="","",SUMIFS(tDrugUse[[Total Cost]],tDrugUse[[Date]],"&gt;="&amp;DStart,tDrugUse[[Date]],"&lt;="&amp;DEnd,tDrugUse[[Pen ID]],$B99,tDrugUse[[Batch ID]],FBatch,tDrugUse[[Animal Type]],FAnimal))</f>
        <v/>
      </c>
      <c r="J99" s="29">
        <f>IF($B99="","",SUMIFS(tExp[[Amount]],tExp[[Date]],"&gt;="&amp;DStart,tExp[[Date]],"&lt;="&amp;DEnd,tExp[[Pen ID / General]],$B99,tExp[[Batch ID (if applicable)]],FBatch,tExp[[Animal Type]],FAnimal))</f>
        <v/>
      </c>
      <c r="K99" s="41">
        <f>IF($B99="","",H99+I99+J99)</f>
        <v/>
      </c>
      <c r="L99" s="41">
        <f>IF($B99="","",SUMIFS(tSales[[Total Revenue]],tSales[[Date]],"&gt;="&amp;DStart,tSales[[Date]],"&lt;="&amp;DEnd,tSales[[Pen ID]],$B99,tSales[[Batch ID]],FBatch,tSales[[Animal Type]],FAnimal))</f>
        <v/>
      </c>
      <c r="M99" s="41">
        <f>IF($B99="","",L99-K99)</f>
        <v/>
      </c>
      <c r="N99" s="39">
        <f>IF($B99="","",SUMIFS(tMort[[Number of Deaths]],tMort[[Date]],"&gt;="&amp;DStart,tMort[[Date]],"&lt;="&amp;DEnd,tMort[[Pen ID]],$B99,tMort[[Batch ID]],FBatch,tMort[[Animal Type]],FAnimal))</f>
        <v/>
      </c>
    </row>
    <row r="100">
      <c r="B100" s="27">
        <f>IFERROR(INDEX(tPens[[Pen ID]],58)&amp;"","")</f>
        <v/>
      </c>
      <c r="C100" s="36">
        <f>IF($B100="","",INDEX(tPens[[Pen Name]],58)&amp;"")</f>
        <v/>
      </c>
      <c r="D100" s="36">
        <f>IF($B100="","",INDEX(tPens[[Current Batch ID]],58)&amp;"")</f>
        <v/>
      </c>
      <c r="E100" s="36">
        <f>IF($B100="","",INDEX(tPens[[Status]],58)&amp;"")</f>
        <v/>
      </c>
      <c r="F100" s="39">
        <f>IF($B100="","",INDEX(tPens[[Current Stock]],58))</f>
        <v/>
      </c>
      <c r="G100" s="28">
        <f>IF($B100="","",SUMIFS(tFeedIss[[Quantity Issued in kg]],tFeedIss[[Date]],"&gt;="&amp;DStart,tFeedIss[[Date]],"&lt;="&amp;DEnd,tFeedIss[[Pen ID]],$B100,tFeedIss[[Batch ID]],FBatch,tFeedIss[[Animal Type]],FAnimal))</f>
        <v/>
      </c>
      <c r="H100" s="29">
        <f>IF($B100="","",SUMIFS(tFeedIss[[Total Cost]],tFeedIss[[Date]],"&gt;="&amp;DStart,tFeedIss[[Date]],"&lt;="&amp;DEnd,tFeedIss[[Pen ID]],$B100,tFeedIss[[Batch ID]],FBatch,tFeedIss[[Animal Type]],FAnimal))</f>
        <v/>
      </c>
      <c r="I100" s="29">
        <f>IF($B100="","",SUMIFS(tDrugUse[[Total Cost]],tDrugUse[[Date]],"&gt;="&amp;DStart,tDrugUse[[Date]],"&lt;="&amp;DEnd,tDrugUse[[Pen ID]],$B100,tDrugUse[[Batch ID]],FBatch,tDrugUse[[Animal Type]],FAnimal))</f>
        <v/>
      </c>
      <c r="J100" s="29">
        <f>IF($B100="","",SUMIFS(tExp[[Amount]],tExp[[Date]],"&gt;="&amp;DStart,tExp[[Date]],"&lt;="&amp;DEnd,tExp[[Pen ID / General]],$B100,tExp[[Batch ID (if applicable)]],FBatch,tExp[[Animal Type]],FAnimal))</f>
        <v/>
      </c>
      <c r="K100" s="41">
        <f>IF($B100="","",H100+I100+J100)</f>
        <v/>
      </c>
      <c r="L100" s="41">
        <f>IF($B100="","",SUMIFS(tSales[[Total Revenue]],tSales[[Date]],"&gt;="&amp;DStart,tSales[[Date]],"&lt;="&amp;DEnd,tSales[[Pen ID]],$B100,tSales[[Batch ID]],FBatch,tSales[[Animal Type]],FAnimal))</f>
        <v/>
      </c>
      <c r="M100" s="41">
        <f>IF($B100="","",L100-K100)</f>
        <v/>
      </c>
      <c r="N100" s="39">
        <f>IF($B100="","",SUMIFS(tMort[[Number of Deaths]],tMort[[Date]],"&gt;="&amp;DStart,tMort[[Date]],"&lt;="&amp;DEnd,tMort[[Pen ID]],$B100,tMort[[Batch ID]],FBatch,tMort[[Animal Type]],FAnimal))</f>
        <v/>
      </c>
    </row>
    <row r="101">
      <c r="B101" s="27">
        <f>IFERROR(INDEX(tPens[[Pen ID]],59)&amp;"","")</f>
        <v/>
      </c>
      <c r="C101" s="36">
        <f>IF($B101="","",INDEX(tPens[[Pen Name]],59)&amp;"")</f>
        <v/>
      </c>
      <c r="D101" s="36">
        <f>IF($B101="","",INDEX(tPens[[Current Batch ID]],59)&amp;"")</f>
        <v/>
      </c>
      <c r="E101" s="36">
        <f>IF($B101="","",INDEX(tPens[[Status]],59)&amp;"")</f>
        <v/>
      </c>
      <c r="F101" s="39">
        <f>IF($B101="","",INDEX(tPens[[Current Stock]],59))</f>
        <v/>
      </c>
      <c r="G101" s="28">
        <f>IF($B101="","",SUMIFS(tFeedIss[[Quantity Issued in kg]],tFeedIss[[Date]],"&gt;="&amp;DStart,tFeedIss[[Date]],"&lt;="&amp;DEnd,tFeedIss[[Pen ID]],$B101,tFeedIss[[Batch ID]],FBatch,tFeedIss[[Animal Type]],FAnimal))</f>
        <v/>
      </c>
      <c r="H101" s="29">
        <f>IF($B101="","",SUMIFS(tFeedIss[[Total Cost]],tFeedIss[[Date]],"&gt;="&amp;DStart,tFeedIss[[Date]],"&lt;="&amp;DEnd,tFeedIss[[Pen ID]],$B101,tFeedIss[[Batch ID]],FBatch,tFeedIss[[Animal Type]],FAnimal))</f>
        <v/>
      </c>
      <c r="I101" s="29">
        <f>IF($B101="","",SUMIFS(tDrugUse[[Total Cost]],tDrugUse[[Date]],"&gt;="&amp;DStart,tDrugUse[[Date]],"&lt;="&amp;DEnd,tDrugUse[[Pen ID]],$B101,tDrugUse[[Batch ID]],FBatch,tDrugUse[[Animal Type]],FAnimal))</f>
        <v/>
      </c>
      <c r="J101" s="29">
        <f>IF($B101="","",SUMIFS(tExp[[Amount]],tExp[[Date]],"&gt;="&amp;DStart,tExp[[Date]],"&lt;="&amp;DEnd,tExp[[Pen ID / General]],$B101,tExp[[Batch ID (if applicable)]],FBatch,tExp[[Animal Type]],FAnimal))</f>
        <v/>
      </c>
      <c r="K101" s="41">
        <f>IF($B101="","",H101+I101+J101)</f>
        <v/>
      </c>
      <c r="L101" s="41">
        <f>IF($B101="","",SUMIFS(tSales[[Total Revenue]],tSales[[Date]],"&gt;="&amp;DStart,tSales[[Date]],"&lt;="&amp;DEnd,tSales[[Pen ID]],$B101,tSales[[Batch ID]],FBatch,tSales[[Animal Type]],FAnimal))</f>
        <v/>
      </c>
      <c r="M101" s="41">
        <f>IF($B101="","",L101-K101)</f>
        <v/>
      </c>
      <c r="N101" s="39">
        <f>IF($B101="","",SUMIFS(tMort[[Number of Deaths]],tMort[[Date]],"&gt;="&amp;DStart,tMort[[Date]],"&lt;="&amp;DEnd,tMort[[Pen ID]],$B101,tMort[[Batch ID]],FBatch,tMort[[Animal Type]],FAnimal))</f>
        <v/>
      </c>
    </row>
    <row r="102">
      <c r="B102" s="27">
        <f>IFERROR(INDEX(tPens[[Pen ID]],60)&amp;"","")</f>
        <v/>
      </c>
      <c r="C102" s="36">
        <f>IF($B102="","",INDEX(tPens[[Pen Name]],60)&amp;"")</f>
        <v/>
      </c>
      <c r="D102" s="36">
        <f>IF($B102="","",INDEX(tPens[[Current Batch ID]],60)&amp;"")</f>
        <v/>
      </c>
      <c r="E102" s="36">
        <f>IF($B102="","",INDEX(tPens[[Status]],60)&amp;"")</f>
        <v/>
      </c>
      <c r="F102" s="39">
        <f>IF($B102="","",INDEX(tPens[[Current Stock]],60))</f>
        <v/>
      </c>
      <c r="G102" s="28">
        <f>IF($B102="","",SUMIFS(tFeedIss[[Quantity Issued in kg]],tFeedIss[[Date]],"&gt;="&amp;DStart,tFeedIss[[Date]],"&lt;="&amp;DEnd,tFeedIss[[Pen ID]],$B102,tFeedIss[[Batch ID]],FBatch,tFeedIss[[Animal Type]],FAnimal))</f>
        <v/>
      </c>
      <c r="H102" s="29">
        <f>IF($B102="","",SUMIFS(tFeedIss[[Total Cost]],tFeedIss[[Date]],"&gt;="&amp;DStart,tFeedIss[[Date]],"&lt;="&amp;DEnd,tFeedIss[[Pen ID]],$B102,tFeedIss[[Batch ID]],FBatch,tFeedIss[[Animal Type]],FAnimal))</f>
        <v/>
      </c>
      <c r="I102" s="29">
        <f>IF($B102="","",SUMIFS(tDrugUse[[Total Cost]],tDrugUse[[Date]],"&gt;="&amp;DStart,tDrugUse[[Date]],"&lt;="&amp;DEnd,tDrugUse[[Pen ID]],$B102,tDrugUse[[Batch ID]],FBatch,tDrugUse[[Animal Type]],FAnimal))</f>
        <v/>
      </c>
      <c r="J102" s="29">
        <f>IF($B102="","",SUMIFS(tExp[[Amount]],tExp[[Date]],"&gt;="&amp;DStart,tExp[[Date]],"&lt;="&amp;DEnd,tExp[[Pen ID / General]],$B102,tExp[[Batch ID (if applicable)]],FBatch,tExp[[Animal Type]],FAnimal))</f>
        <v/>
      </c>
      <c r="K102" s="41">
        <f>IF($B102="","",H102+I102+J102)</f>
        <v/>
      </c>
      <c r="L102" s="41">
        <f>IF($B102="","",SUMIFS(tSales[[Total Revenue]],tSales[[Date]],"&gt;="&amp;DStart,tSales[[Date]],"&lt;="&amp;DEnd,tSales[[Pen ID]],$B102,tSales[[Batch ID]],FBatch,tSales[[Animal Type]],FAnimal))</f>
        <v/>
      </c>
      <c r="M102" s="41">
        <f>IF($B102="","",L102-K102)</f>
        <v/>
      </c>
      <c r="N102" s="39">
        <f>IF($B102="","",SUMIFS(tMort[[Number of Deaths]],tMort[[Date]],"&gt;="&amp;DStart,tMort[[Date]],"&lt;="&amp;DEnd,tMort[[Pen ID]],$B102,tMort[[Batch ID]],FBatch,tMort[[Animal Type]],FAnimal))</f>
        <v/>
      </c>
    </row>
    <row r="103">
      <c r="B103" s="32" t="inlineStr">
        <is>
          <t>GENERAL (farm-wide)</t>
        </is>
      </c>
      <c r="C103" s="35" t="n"/>
      <c r="D103" s="35" t="n"/>
      <c r="E103" s="35" t="n"/>
      <c r="F103" s="35" t="n"/>
      <c r="G103" s="35" t="n"/>
      <c r="H103" s="35" t="n"/>
      <c r="I103" s="35" t="n"/>
      <c r="J103" s="58">
        <f>SUMIFS(tExp[[Amount]],tExp[[Date]],"&gt;="&amp;DStart,tExp[[Date]],"&lt;="&amp;DEnd,tExp[[Pen ID / General]],"GENERAL",tExp[[Batch ID (if applicable)]],FBatch,tExp[[Animal Type]],FAnimal)</f>
        <v/>
      </c>
      <c r="K103" s="34">
        <f>J103</f>
        <v/>
      </c>
      <c r="L103" s="34">
        <f>SUMIFS(tSales[[Total Revenue]],tSales[[Date]],"&gt;="&amp;DStart,tSales[[Date]],"&lt;="&amp;DEnd,tSales[[Pen ID]],"GENERAL",tSales[[Batch ID]],FBatch,tSales[[Animal Type]],FAnimal)</f>
        <v/>
      </c>
      <c r="M103" s="34">
        <f>L103-K103</f>
        <v/>
      </c>
      <c r="N103" s="35" t="n"/>
    </row>
    <row r="104">
      <c r="B104" s="32" t="inlineStr">
        <is>
          <t>TOTAL</t>
        </is>
      </c>
      <c r="C104" s="35" t="n"/>
      <c r="D104" s="35" t="n"/>
      <c r="E104" s="35" t="n"/>
      <c r="F104" s="37">
        <f>SUM(F43:F103)</f>
        <v/>
      </c>
      <c r="G104" s="33">
        <f>SUM(G43:G103)</f>
        <v/>
      </c>
      <c r="H104" s="34">
        <f>SUM(H43:H103)</f>
        <v/>
      </c>
      <c r="I104" s="34">
        <f>SUM(I43:I103)</f>
        <v/>
      </c>
      <c r="J104" s="34">
        <f>SUM(J43:J103)</f>
        <v/>
      </c>
      <c r="K104" s="34">
        <f>SUM(K43:K103)</f>
        <v/>
      </c>
      <c r="L104" s="34">
        <f>SUM(L43:L103)</f>
        <v/>
      </c>
      <c r="M104" s="34">
        <f>SUM(M43:M103)</f>
        <v/>
      </c>
      <c r="N104" s="37">
        <f>SUM(N43:N103)</f>
        <v/>
      </c>
    </row>
  </sheetData>
  <sheetProtection selectLockedCells="0" selectUnlockedCells="0" sheet="1" objects="0" insertRows="1" insertHyperlinks="1" autoFilter="0" scenarios="0" formatColumns="0" deleteColumns="1" insertColumns="1" pivotTables="1" deleteRows="1" formatCells="1" formatRows="0" sort="0"/>
  <mergeCells count="48">
    <mergeCell ref="K16:L16"/>
    <mergeCell ref="E12:F12"/>
    <mergeCell ref="B16:C16"/>
    <mergeCell ref="H20:I20"/>
    <mergeCell ref="B7:C7"/>
    <mergeCell ref="K15:L15"/>
    <mergeCell ref="E5:F5"/>
    <mergeCell ref="E14:F14"/>
    <mergeCell ref="B18:C18"/>
    <mergeCell ref="E17:F17"/>
    <mergeCell ref="E8:F8"/>
    <mergeCell ref="B12:C12"/>
    <mergeCell ref="B21:C21"/>
    <mergeCell ref="E20:F20"/>
    <mergeCell ref="E10:F10"/>
    <mergeCell ref="E19:F19"/>
    <mergeCell ref="B14:C14"/>
    <mergeCell ref="E13:F13"/>
    <mergeCell ref="B17:C17"/>
    <mergeCell ref="E9:F9"/>
    <mergeCell ref="B8:C8"/>
    <mergeCell ref="H17:I17"/>
    <mergeCell ref="B13:C13"/>
    <mergeCell ref="E6:F6"/>
    <mergeCell ref="K12:L12"/>
    <mergeCell ref="E15:F15"/>
    <mergeCell ref="H16:I16"/>
    <mergeCell ref="B19:C19"/>
    <mergeCell ref="B10:C10"/>
    <mergeCell ref="H19:I19"/>
    <mergeCell ref="B9:C9"/>
    <mergeCell ref="H13:I13"/>
    <mergeCell ref="K14:L14"/>
    <mergeCell ref="K17:L17"/>
    <mergeCell ref="B6:C6"/>
    <mergeCell ref="H12:I12"/>
    <mergeCell ref="B15:C15"/>
    <mergeCell ref="E16:F16"/>
    <mergeCell ref="B5:C5"/>
    <mergeCell ref="B20:C20"/>
    <mergeCell ref="H15:I15"/>
    <mergeCell ref="H18:I18"/>
    <mergeCell ref="E22:F22"/>
    <mergeCell ref="H14:I14"/>
    <mergeCell ref="K13:L13"/>
    <mergeCell ref="E18:F18"/>
    <mergeCell ref="K18:L18"/>
    <mergeCell ref="E21:F21"/>
  </mergeCells>
  <conditionalFormatting sqref="G8">
    <cfRule type="cellIs" priority="1" operator="greaterThan" dxfId="3">
      <formula>0</formula>
    </cfRule>
  </conditionalFormatting>
  <conditionalFormatting sqref="G9">
    <cfRule type="cellIs" priority="2" operator="greaterThan" dxfId="3">
      <formula>0</formula>
    </cfRule>
  </conditionalFormatting>
  <conditionalFormatting sqref="G10">
    <cfRule type="cellIs" priority="3" operator="greaterThan" dxfId="3">
      <formula>0</formula>
    </cfRule>
  </conditionalFormatting>
  <conditionalFormatting sqref="G21">
    <cfRule type="cellIs" priority="4" operator="lessThan" dxfId="9">
      <formula>0</formula>
    </cfRule>
    <cfRule type="cellIs" priority="5" operator="greaterThan" dxfId="2">
      <formula>0</formula>
    </cfRule>
  </conditionalFormatting>
  <conditionalFormatting sqref="M43:M104">
    <cfRule type="cellIs" priority="6" operator="lessThan" dxfId="6">
      <formula>0</formula>
    </cfRule>
  </conditionalFormatting>
  <dataValidations count="6">
    <dataValidation sqref="D5" showDropDown="0" showInputMessage="0" showErrorMessage="1" allowBlank="1" errorTitle="Not in list" error="Choose a value from the dropdown list (lists are maintained on the LISTS / register sheets)." type="list">
      <formula1>"Today,This Week,This Month,This Year,All Time,Custom"</formula1>
    </dataValidation>
    <dataValidation sqref="D6" showDropDown="0" showInputMessage="0" showErrorMessage="1" allowBlank="1" errorTitle="Invalid date" error="Enter a valid date (DD/MM/YYYY) between 01/01/2000 and 31/12/2099." type="date" operator="between">
      <formula1>36526</formula1>
      <formula2>73050</formula2>
    </dataValidation>
    <dataValidation sqref="D7" showDropDown="0" showInputMessage="0" showErrorMessage="1" allowBlank="1" errorTitle="Invalid date" error="Enter a valid date (DD/MM/YYYY) between 01/01/2000 and 31/12/2099." type="date" operator="between">
      <formula1>36526</formula1>
      <formula2>73050</formula2>
    </dataValidation>
    <dataValidation sqref="D8" showDropDown="0" showInputMessage="0" showErrorMessage="1" allowBlank="1" errorTitle="Not in list" error="Choose a value from the dropdown list (lists are maintained on the LISTS / register sheets)." type="list">
      <formula1>L_PenFilter</formula1>
    </dataValidation>
    <dataValidation sqref="D9" showDropDown="0" showInputMessage="0" showErrorMessage="1" allowBlank="1" errorTitle="Not in list" error="Choose a value from the dropdown list (lists are maintained on the LISTS / register sheets)." type="list">
      <formula1>L_BatchFilter</formula1>
    </dataValidation>
    <dataValidation sqref="D10" showDropDown="0" showInputMessage="0" showErrorMessage="1" allowBlank="1" errorTitle="Not in list" error="Choose a value from the dropdown list (lists are maintained on the LISTS / register sheets)." type="list">
      <formula1>L_AnimalFilter</formula1>
    </dataValidation>
  </dataValidation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J6"/>
  <sheetViews>
    <sheetView showGridLines="0" tabSelected="0" zoomScale="90" workbookViewId="0">
      <pane ySplit="4" topLeftCell="A5" activePane="bottomLeft" state="frozen"/>
      <selection pane="bottomLeft" activeCell="A1" sqref="A1"/>
    </sheetView>
  </sheetViews>
  <sheetFormatPr baseColWidth="8" defaultRowHeight="15"/>
  <cols>
    <col width="11" customWidth="1" min="1" max="1"/>
    <col width="11" customWidth="1" min="2" max="2"/>
    <col width="8" customWidth="1" min="3" max="3"/>
    <col width="18" customWidth="1" min="4" max="4"/>
    <col width="14" customWidth="1" min="5" max="5"/>
    <col width="9" customWidth="1" min="6" max="6"/>
    <col width="9" customWidth="1" min="7" max="7"/>
    <col width="18" customWidth="1" min="8" max="8"/>
    <col width="34" customWidth="1" min="9" max="9"/>
    <col width="30" customWidth="1" min="10" max="10"/>
  </cols>
  <sheetData>
    <row r="1">
      <c r="A1" s="1" t="inlineStr">
        <is>
          <t>STOCK MOVEMENTS</t>
        </is>
      </c>
    </row>
    <row r="2">
      <c r="A2" s="7" t="inlineStr">
        <is>
          <t>Head-count changes that are not deaths or sales: transfers between batches, extra stock added, count corrections. A transfer = one Out row + one In row.</t>
        </is>
      </c>
    </row>
    <row r="3">
      <c r="A3" s="8" t="inlineStr">
        <is>
          <t>■ GREEN header = you enter / select      ■ GREY header = automatic (do not type)      Add a new record by typing in the first empty row directly under the table.</t>
        </is>
      </c>
    </row>
    <row r="4" ht="32" customHeight="1">
      <c r="A4" s="9" t="inlineStr">
        <is>
          <t>Date</t>
        </is>
      </c>
      <c r="B4" s="10" t="inlineStr">
        <is>
          <t>Movement ID</t>
        </is>
      </c>
      <c r="C4" s="9" t="inlineStr">
        <is>
          <t>Pen ID</t>
        </is>
      </c>
      <c r="D4" s="9" t="inlineStr">
        <is>
          <t>Batch ID</t>
        </is>
      </c>
      <c r="E4" s="9" t="inlineStr">
        <is>
          <t>Movement Type</t>
        </is>
      </c>
      <c r="F4" s="9" t="inlineStr">
        <is>
          <t>Quantity In</t>
        </is>
      </c>
      <c r="G4" s="9" t="inlineStr">
        <is>
          <t>Quantity Out</t>
        </is>
      </c>
      <c r="H4" s="9" t="inlineStr">
        <is>
          <t>Related Batch ID</t>
        </is>
      </c>
      <c r="I4" s="9" t="inlineStr">
        <is>
          <t>Notes</t>
        </is>
      </c>
      <c r="J4" s="10" t="inlineStr">
        <is>
          <t>Check</t>
        </is>
      </c>
    </row>
    <row r="5">
      <c r="A5" s="16" t="n">
        <v>46270</v>
      </c>
      <c r="B5" s="13">
        <f>"SM-"&amp;TEXT(ROW()-ROW(tMoves[[#Headers],[Date]]),"00000")</f>
        <v/>
      </c>
      <c r="C5" s="12" t="inlineStr">
        <is>
          <t>P002</t>
        </is>
      </c>
      <c r="D5" s="12" t="inlineStr">
        <is>
          <t>BROILER-SEP-002</t>
        </is>
      </c>
      <c r="E5" s="12" t="inlineStr">
        <is>
          <t>Transfer Out</t>
        </is>
      </c>
      <c r="F5" s="17" t="n"/>
      <c r="G5" s="17" t="n">
        <v>10</v>
      </c>
      <c r="H5" s="12" t="inlineStr">
        <is>
          <t>BROILER-SEP-001</t>
        </is>
      </c>
      <c r="I5" s="12" t="inlineStr">
        <is>
          <t>SAMPLE DATA - delete or replace. Overcrowding relief.</t>
        </is>
      </c>
      <c r="J5" s="13">
        <f>IF(AND(tMoves[[#This Row],[Date]]="",tMoves[[#This Row],[Pen ID]]="",tMoves[[#This Row],[Batch ID]]="",tMoves[[#This Row],[Quantity In]]="",tMoves[[#This Row],[Quantity Out]]=""),"",IF(tMoves[[#This Row],[Date]]="","Missing date",IF(NOT(ISNUMBER(tMoves[[#This Row],[Date]])),"Date is not a valid date",IF(tMoves[[#This Row],[Pen ID]]="","Missing Pen ID",IF(COUNTIF(tPens[[Pen ID]],tMoves[[#This Row],[Pen ID]])=0,"Pen "&amp;tMoves[[#This Row],[Pen ID]]&amp;" is not in PEN_REGISTER",IF(tMoves[[#This Row],[Batch ID]]="","Missing Batch ID",IF(COUNTIF(tBatches[[Batch ID]],tMoves[[#This Row],[Batch ID]])=0,"Batch "&amp;tMoves[[#This Row],[Batch ID]]&amp;" is not in BATCH_REGISTER",IF(COUNTIFS(tBatches[[Batch ID]],tMoves[[#This Row],[Batch ID]],tBatches[[Pen ID]],tMoves[[#This Row],[Pen ID]])=0,"Batch "&amp;tMoves[[#This Row],[Batch ID]]&amp;" belongs to pen "&amp;INDEX(tBatches[[Pen ID]],MATCH(tMoves[[#This Row],[Batch ID]],tBatches[[Batch ID]],0)),IF(tMoves[[#This Row],[Date]]&lt;INDEX(tBatches[[Batch Start Date]],MATCH(tMoves[[#This Row],[Batch ID]],tBatches[[Batch ID]],0)),"Date is before the batch start date",IF(AND(N(INDEX(tBatches[[Closing Date]],MATCH(tMoves[[#This Row],[Batch ID]],tBatches[[Batch ID]],0)))&gt;0,tMoves[[#This Row],[Date]]&gt;INDEX(tBatches[[Closing Date]],MATCH(tMoves[[#This Row],[Batch ID]],tBatches[[Batch ID]],0))),"Date is after the batch closing date",IF(tMoves[[#This Row],[Movement Type]]="","Missing movement type",IF(AND(N(tMoves[[#This Row],[Quantity In]])&gt;0,N(tMoves[[#This Row],[Quantity Out]])&gt;0),"Use separate rows for In and Out",IF(N(tMoves[[#This Row],[Quantity In]])+N(tMoves[[#This Row],[Quantity Out]])=0,"Enter a quantity",IF(AND(tMoves[[#This Row],[Related Batch ID]]&lt;&gt;"",COUNTIF(tBatches[[Batch ID]],tMoves[[#This Row],[Related Batch ID]])=0),"Related batch not found","OK"))))))))))))))</f>
        <v/>
      </c>
    </row>
    <row r="6">
      <c r="A6" s="16" t="n">
        <v>46270</v>
      </c>
      <c r="B6" s="13">
        <f>"SM-"&amp;TEXT(ROW()-ROW(tMoves[[#Headers],[Date]]),"00000")</f>
        <v/>
      </c>
      <c r="C6" s="12" t="inlineStr">
        <is>
          <t>P001</t>
        </is>
      </c>
      <c r="D6" s="12" t="inlineStr">
        <is>
          <t>BROILER-SEP-001</t>
        </is>
      </c>
      <c r="E6" s="12" t="inlineStr">
        <is>
          <t>Transfer In</t>
        </is>
      </c>
      <c r="F6" s="17" t="n">
        <v>10</v>
      </c>
      <c r="G6" s="17" t="n"/>
      <c r="H6" s="12" t="inlineStr">
        <is>
          <t>BROILER-SEP-002</t>
        </is>
      </c>
      <c r="I6" s="12" t="inlineStr">
        <is>
          <t>SAMPLE DATA - delete or replace. Overcrowding relief.</t>
        </is>
      </c>
      <c r="J6" s="13">
        <f>IF(AND(tMoves[[#This Row],[Date]]="",tMoves[[#This Row],[Pen ID]]="",tMoves[[#This Row],[Batch ID]]="",tMoves[[#This Row],[Quantity In]]="",tMoves[[#This Row],[Quantity Out]]=""),"",IF(tMoves[[#This Row],[Date]]="","Missing date",IF(NOT(ISNUMBER(tMoves[[#This Row],[Date]])),"Date is not a valid date",IF(tMoves[[#This Row],[Pen ID]]="","Missing Pen ID",IF(COUNTIF(tPens[[Pen ID]],tMoves[[#This Row],[Pen ID]])=0,"Pen "&amp;tMoves[[#This Row],[Pen ID]]&amp;" is not in PEN_REGISTER",IF(tMoves[[#This Row],[Batch ID]]="","Missing Batch ID",IF(COUNTIF(tBatches[[Batch ID]],tMoves[[#This Row],[Batch ID]])=0,"Batch "&amp;tMoves[[#This Row],[Batch ID]]&amp;" is not in BATCH_REGISTER",IF(COUNTIFS(tBatches[[Batch ID]],tMoves[[#This Row],[Batch ID]],tBatches[[Pen ID]],tMoves[[#This Row],[Pen ID]])=0,"Batch "&amp;tMoves[[#This Row],[Batch ID]]&amp;" belongs to pen "&amp;INDEX(tBatches[[Pen ID]],MATCH(tMoves[[#This Row],[Batch ID]],tBatches[[Batch ID]],0)),IF(tMoves[[#This Row],[Date]]&lt;INDEX(tBatches[[Batch Start Date]],MATCH(tMoves[[#This Row],[Batch ID]],tBatches[[Batch ID]],0)),"Date is before the batch start date",IF(AND(N(INDEX(tBatches[[Closing Date]],MATCH(tMoves[[#This Row],[Batch ID]],tBatches[[Batch ID]],0)))&gt;0,tMoves[[#This Row],[Date]]&gt;INDEX(tBatches[[Closing Date]],MATCH(tMoves[[#This Row],[Batch ID]],tBatches[[Batch ID]],0))),"Date is after the batch closing date",IF(tMoves[[#This Row],[Movement Type]]="","Missing movement type",IF(AND(N(tMoves[[#This Row],[Quantity In]])&gt;0,N(tMoves[[#This Row],[Quantity Out]])&gt;0),"Use separate rows for In and Out",IF(N(tMoves[[#This Row],[Quantity In]])+N(tMoves[[#This Row],[Quantity Out]])=0,"Enter a quantity",IF(AND(tMoves[[#This Row],[Related Batch ID]]&lt;&gt;"",COUNTIF(tBatches[[Batch ID]],tMoves[[#This Row],[Related Batch ID]])=0),"Related batch not found","OK"))))))))))))))</f>
        <v/>
      </c>
    </row>
  </sheetData>
  <conditionalFormatting sqref="J5:J5000">
    <cfRule type="expression" priority="1" dxfId="0">
      <formula>AND(J5&lt;&gt;"",J5&lt;&gt;"OK")</formula>
    </cfRule>
    <cfRule type="expression" priority="2" dxfId="1">
      <formula>J5="OK"</formula>
    </cfRule>
  </conditionalFormatting>
  <dataValidations count="7">
    <dataValidation sqref="A5:A5000" showDropDown="0" showInputMessage="0" showErrorMessage="1" allowBlank="1" errorTitle="Invalid date" error="Enter a valid date (DD/MM/YYYY) between 01/01/2000 and 31/12/2099." type="date" operator="between">
      <formula1>36526</formula1>
      <formula2>73050</formula2>
    </dataValidation>
    <dataValidation sqref="C5:C5000" showDropDown="0" showInputMessage="0" showErrorMessage="1" allowBlank="1" errorTitle="Not in list" error="Choose a value from the dropdown list (lists are maintained on the LISTS / register sheets)." type="list">
      <formula1>L_Pens</formula1>
    </dataValidation>
    <dataValidation sqref="D5:D5000" showDropDown="0" showInputMessage="0" showErrorMessage="1" allowBlank="1" errorTitle="Not in list" error="Choose a value from the dropdown list (lists are maintained on the LISTS / register sheets)." type="list">
      <formula1>L_Batches</formula1>
    </dataValidation>
    <dataValidation sqref="E5:E5000" showDropDown="0" showInputMessage="0" showErrorMessage="1" allowBlank="1" errorTitle="Not in list" error="Choose a value from the dropdown list (lists are maintained on the LISTS / register sheets)." type="list">
      <formula1>L_MoveTypes</formula1>
    </dataValidation>
    <dataValidation sqref="F5:F5000" showDropDown="0" showInputMessage="0" showErrorMessage="1" allowBlank="1" errorTitle="Invalid number" error="Enter a whole number that is zero or greater." type="whole" operator="greaterThanOrEqual">
      <formula1>0</formula1>
    </dataValidation>
    <dataValidation sqref="G5:G5000" showDropDown="0" showInputMessage="0" showErrorMessage="1" allowBlank="1" errorTitle="Invalid number" error="Enter a whole number that is zero or greater." type="whole" operator="greaterThanOrEqual">
      <formula1>0</formula1>
    </dataValidation>
    <dataValidation sqref="H5:H5000" showDropDown="0" showInputMessage="0" showErrorMessage="1" allowBlank="1" errorTitle="Not in list" error="Choose a value from the dropdown list (lists are maintained on the LISTS / register sheets)." type="list">
      <formula1>L_Batches</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tabColor rgb="002F75B5"/>
    <outlinePr summaryBelow="1" summaryRight="1"/>
    <pageSetUpPr/>
  </sheetPr>
  <dimension ref="A1:K82"/>
  <sheetViews>
    <sheetView showGridLines="0" tabSelected="0" zoomScale="90" workbookViewId="0">
      <pane ySplit="3" topLeftCell="A4" activePane="bottomLeft" state="frozen"/>
      <selection pane="bottomLeft" activeCell="A1" sqref="A1"/>
    </sheetView>
  </sheetViews>
  <sheetFormatPr baseColWidth="8" defaultRowHeight="15"/>
  <cols>
    <col width="30" customWidth="1" min="1" max="1"/>
    <col width="13" customWidth="1" min="2" max="2"/>
    <col width="14" customWidth="1" min="3" max="3"/>
    <col width="11" customWidth="1" min="4" max="4"/>
    <col width="9" customWidth="1" min="5" max="5"/>
    <col width="3" customWidth="1" min="6" max="6"/>
    <col width="30" customWidth="1" min="7" max="7"/>
    <col width="13" customWidth="1" min="8" max="8"/>
    <col width="14" customWidth="1" min="9" max="9"/>
    <col width="11" customWidth="1" min="10" max="10"/>
    <col width="9" customWidth="1" min="11" max="11"/>
  </cols>
  <sheetData>
    <row r="1">
      <c r="A1" s="1" t="inlineStr">
        <is>
          <t>REPORTS</t>
        </is>
      </c>
    </row>
    <row r="2">
      <c r="A2" s="7" t="inlineStr">
        <is>
          <t>Breakdowns for the period and Pen / Batch / Animal filters chosen on the DASHBOARD. Monthly &amp; daily views are on TRENDS; batch results on BATCH_PROFITABILITY; stock on INVENTORY.</t>
        </is>
      </c>
    </row>
    <row r="3">
      <c r="A3" s="47">
        <f>"Filters in use: "&amp;FilterText</f>
        <v/>
      </c>
    </row>
    <row r="5">
      <c r="A5" s="25" t="inlineStr">
        <is>
          <t>FEED CONSUMPTION BY FEED TYPE</t>
        </is>
      </c>
      <c r="G5" s="25" t="inlineStr">
        <is>
          <t>DRUG USAGE BY DRUG</t>
        </is>
      </c>
    </row>
    <row r="6" ht="30" customHeight="1">
      <c r="A6" s="26" t="inlineStr">
        <is>
          <t>Feed Type</t>
        </is>
      </c>
      <c r="B6" s="26" t="inlineStr">
        <is>
          <t>kg Issued</t>
        </is>
      </c>
      <c r="C6" s="26" t="inlineStr">
        <is>
          <t>Cost</t>
        </is>
      </c>
      <c r="D6" s="26" t="inlineStr">
        <is>
          <t>Issues (records)</t>
        </is>
      </c>
      <c r="E6" s="26" t="inlineStr">
        <is>
          <t>% of kg</t>
        </is>
      </c>
      <c r="G6" s="26" t="inlineStr">
        <is>
          <t>Drug</t>
        </is>
      </c>
      <c r="H6" s="26" t="inlineStr">
        <is>
          <t>Qty Used</t>
        </is>
      </c>
      <c r="I6" s="26" t="inlineStr">
        <is>
          <t>Cost</t>
        </is>
      </c>
      <c r="J6" s="26" t="inlineStr">
        <is>
          <t>Administrations</t>
        </is>
      </c>
      <c r="K6" s="26" t="inlineStr">
        <is>
          <t>Unit</t>
        </is>
      </c>
    </row>
    <row r="7">
      <c r="A7" s="27">
        <f>IFERROR(INDEX(tFeedTypes[[Feed Type]],1)&amp;"","")</f>
        <v/>
      </c>
      <c r="B7" s="28">
        <f>IF($A7="","",SUMIFS(tFeedIss[[Quantity Issued in kg]],tFeedIss[[Date]],"&gt;="&amp;DStart,tFeedIss[[Date]],"&lt;="&amp;DEnd,tFeedIss[[Pen ID]],FPen,tFeedIss[[Batch ID]],FBatch,tFeedIss[[Animal Type]],FAnimal,tFeedIss[[Feed Type]],$A7))</f>
        <v/>
      </c>
      <c r="C7" s="29">
        <f>IF($A7="","",SUMIFS(tFeedIss[[Total Cost]],tFeedIss[[Date]],"&gt;="&amp;DStart,tFeedIss[[Date]],"&lt;="&amp;DEnd,tFeedIss[[Pen ID]],FPen,tFeedIss[[Batch ID]],FBatch,tFeedIss[[Animal Type]],FAnimal,tFeedIss[[Feed Type]],$A7))</f>
        <v/>
      </c>
      <c r="D7" s="39">
        <f>IF($A7="","",COUNTIFS(tFeedIss[[Date]],"&gt;="&amp;DStart,tFeedIss[[Date]],"&lt;="&amp;DEnd,tFeedIss[[Pen ID]],FPen,tFeedIss[[Batch ID]],FBatch,tFeedIss[[Animal Type]],FAnimal,tFeedIss[[Feed Type]],$A7))</f>
        <v/>
      </c>
      <c r="E7" s="40">
        <f>IF($A7="","",IFERROR(B7/B$28,0))</f>
        <v/>
      </c>
      <c r="G7" s="27">
        <f>IFERROR(INDEX(tDrugs[[Drug Name]],1)&amp;"","")</f>
        <v/>
      </c>
      <c r="H7" s="28">
        <f>IF($G7="","",SUMIFS(tDrugUse[[Quantity Used]],tDrugUse[[Date]],"&gt;="&amp;DStart,tDrugUse[[Date]],"&lt;="&amp;DEnd,tDrugUse[[Pen ID]],FPen,tDrugUse[[Batch ID]],FBatch,tDrugUse[[Animal Type]],FAnimal,tDrugUse[[Drug Name]],$G7))</f>
        <v/>
      </c>
      <c r="I7" s="29">
        <f>IF($G7="","",SUMIFS(tDrugUse[[Total Cost]],tDrugUse[[Date]],"&gt;="&amp;DStart,tDrugUse[[Date]],"&lt;="&amp;DEnd,tDrugUse[[Pen ID]],FPen,tDrugUse[[Batch ID]],FBatch,tDrugUse[[Animal Type]],FAnimal,tDrugUse[[Drug Name]],$G7))</f>
        <v/>
      </c>
      <c r="J7" s="39">
        <f>IF($G7="","",COUNTIFS(tDrugUse[[Date]],"&gt;="&amp;DStart,tDrugUse[[Date]],"&lt;="&amp;DEnd,tDrugUse[[Pen ID]],FPen,tDrugUse[[Batch ID]],FBatch,tDrugUse[[Animal Type]],FAnimal,tDrugUse[[Drug Name]],$G7))</f>
        <v/>
      </c>
      <c r="K7" s="36">
        <f>IF($G7="","",IFERROR(INDEX(tDrugs[[Stock Unit]],MATCH($G7,tDrugs[[Drug Name]],0))&amp;"",""))</f>
        <v/>
      </c>
    </row>
    <row r="8">
      <c r="A8" s="27">
        <f>IFERROR(INDEX(tFeedTypes[[Feed Type]],2)&amp;"","")</f>
        <v/>
      </c>
      <c r="B8" s="28">
        <f>IF($A8="","",SUMIFS(tFeedIss[[Quantity Issued in kg]],tFeedIss[[Date]],"&gt;="&amp;DStart,tFeedIss[[Date]],"&lt;="&amp;DEnd,tFeedIss[[Pen ID]],FPen,tFeedIss[[Batch ID]],FBatch,tFeedIss[[Animal Type]],FAnimal,tFeedIss[[Feed Type]],$A8))</f>
        <v/>
      </c>
      <c r="C8" s="29">
        <f>IF($A8="","",SUMIFS(tFeedIss[[Total Cost]],tFeedIss[[Date]],"&gt;="&amp;DStart,tFeedIss[[Date]],"&lt;="&amp;DEnd,tFeedIss[[Pen ID]],FPen,tFeedIss[[Batch ID]],FBatch,tFeedIss[[Animal Type]],FAnimal,tFeedIss[[Feed Type]],$A8))</f>
        <v/>
      </c>
      <c r="D8" s="39">
        <f>IF($A8="","",COUNTIFS(tFeedIss[[Date]],"&gt;="&amp;DStart,tFeedIss[[Date]],"&lt;="&amp;DEnd,tFeedIss[[Pen ID]],FPen,tFeedIss[[Batch ID]],FBatch,tFeedIss[[Animal Type]],FAnimal,tFeedIss[[Feed Type]],$A8))</f>
        <v/>
      </c>
      <c r="E8" s="40">
        <f>IF($A8="","",IFERROR(B8/B$28,0))</f>
        <v/>
      </c>
      <c r="G8" s="27">
        <f>IFERROR(INDEX(tDrugs[[Drug Name]],2)&amp;"","")</f>
        <v/>
      </c>
      <c r="H8" s="28">
        <f>IF($G8="","",SUMIFS(tDrugUse[[Quantity Used]],tDrugUse[[Date]],"&gt;="&amp;DStart,tDrugUse[[Date]],"&lt;="&amp;DEnd,tDrugUse[[Pen ID]],FPen,tDrugUse[[Batch ID]],FBatch,tDrugUse[[Animal Type]],FAnimal,tDrugUse[[Drug Name]],$G8))</f>
        <v/>
      </c>
      <c r="I8" s="29">
        <f>IF($G8="","",SUMIFS(tDrugUse[[Total Cost]],tDrugUse[[Date]],"&gt;="&amp;DStart,tDrugUse[[Date]],"&lt;="&amp;DEnd,tDrugUse[[Pen ID]],FPen,tDrugUse[[Batch ID]],FBatch,tDrugUse[[Animal Type]],FAnimal,tDrugUse[[Drug Name]],$G8))</f>
        <v/>
      </c>
      <c r="J8" s="39">
        <f>IF($G8="","",COUNTIFS(tDrugUse[[Date]],"&gt;="&amp;DStart,tDrugUse[[Date]],"&lt;="&amp;DEnd,tDrugUse[[Pen ID]],FPen,tDrugUse[[Batch ID]],FBatch,tDrugUse[[Animal Type]],FAnimal,tDrugUse[[Drug Name]],$G8))</f>
        <v/>
      </c>
      <c r="K8" s="36">
        <f>IF($G8="","",IFERROR(INDEX(tDrugs[[Stock Unit]],MATCH($G8,tDrugs[[Drug Name]],0))&amp;"",""))</f>
        <v/>
      </c>
    </row>
    <row r="9">
      <c r="A9" s="27">
        <f>IFERROR(INDEX(tFeedTypes[[Feed Type]],3)&amp;"","")</f>
        <v/>
      </c>
      <c r="B9" s="28">
        <f>IF($A9="","",SUMIFS(tFeedIss[[Quantity Issued in kg]],tFeedIss[[Date]],"&gt;="&amp;DStart,tFeedIss[[Date]],"&lt;="&amp;DEnd,tFeedIss[[Pen ID]],FPen,tFeedIss[[Batch ID]],FBatch,tFeedIss[[Animal Type]],FAnimal,tFeedIss[[Feed Type]],$A9))</f>
        <v/>
      </c>
      <c r="C9" s="29">
        <f>IF($A9="","",SUMIFS(tFeedIss[[Total Cost]],tFeedIss[[Date]],"&gt;="&amp;DStart,tFeedIss[[Date]],"&lt;="&amp;DEnd,tFeedIss[[Pen ID]],FPen,tFeedIss[[Batch ID]],FBatch,tFeedIss[[Animal Type]],FAnimal,tFeedIss[[Feed Type]],$A9))</f>
        <v/>
      </c>
      <c r="D9" s="39">
        <f>IF($A9="","",COUNTIFS(tFeedIss[[Date]],"&gt;="&amp;DStart,tFeedIss[[Date]],"&lt;="&amp;DEnd,tFeedIss[[Pen ID]],FPen,tFeedIss[[Batch ID]],FBatch,tFeedIss[[Animal Type]],FAnimal,tFeedIss[[Feed Type]],$A9))</f>
        <v/>
      </c>
      <c r="E9" s="40">
        <f>IF($A9="","",IFERROR(B9/B$28,0))</f>
        <v/>
      </c>
      <c r="G9" s="27">
        <f>IFERROR(INDEX(tDrugs[[Drug Name]],3)&amp;"","")</f>
        <v/>
      </c>
      <c r="H9" s="28">
        <f>IF($G9="","",SUMIFS(tDrugUse[[Quantity Used]],tDrugUse[[Date]],"&gt;="&amp;DStart,tDrugUse[[Date]],"&lt;="&amp;DEnd,tDrugUse[[Pen ID]],FPen,tDrugUse[[Batch ID]],FBatch,tDrugUse[[Animal Type]],FAnimal,tDrugUse[[Drug Name]],$G9))</f>
        <v/>
      </c>
      <c r="I9" s="29">
        <f>IF($G9="","",SUMIFS(tDrugUse[[Total Cost]],tDrugUse[[Date]],"&gt;="&amp;DStart,tDrugUse[[Date]],"&lt;="&amp;DEnd,tDrugUse[[Pen ID]],FPen,tDrugUse[[Batch ID]],FBatch,tDrugUse[[Animal Type]],FAnimal,tDrugUse[[Drug Name]],$G9))</f>
        <v/>
      </c>
      <c r="J9" s="39">
        <f>IF($G9="","",COUNTIFS(tDrugUse[[Date]],"&gt;="&amp;DStart,tDrugUse[[Date]],"&lt;="&amp;DEnd,tDrugUse[[Pen ID]],FPen,tDrugUse[[Batch ID]],FBatch,tDrugUse[[Animal Type]],FAnimal,tDrugUse[[Drug Name]],$G9))</f>
        <v/>
      </c>
      <c r="K9" s="36">
        <f>IF($G9="","",IFERROR(INDEX(tDrugs[[Stock Unit]],MATCH($G9,tDrugs[[Drug Name]],0))&amp;"",""))</f>
        <v/>
      </c>
    </row>
    <row r="10">
      <c r="A10" s="27">
        <f>IFERROR(INDEX(tFeedTypes[[Feed Type]],4)&amp;"","")</f>
        <v/>
      </c>
      <c r="B10" s="28">
        <f>IF($A10="","",SUMIFS(tFeedIss[[Quantity Issued in kg]],tFeedIss[[Date]],"&gt;="&amp;DStart,tFeedIss[[Date]],"&lt;="&amp;DEnd,tFeedIss[[Pen ID]],FPen,tFeedIss[[Batch ID]],FBatch,tFeedIss[[Animal Type]],FAnimal,tFeedIss[[Feed Type]],$A10))</f>
        <v/>
      </c>
      <c r="C10" s="29">
        <f>IF($A10="","",SUMIFS(tFeedIss[[Total Cost]],tFeedIss[[Date]],"&gt;="&amp;DStart,tFeedIss[[Date]],"&lt;="&amp;DEnd,tFeedIss[[Pen ID]],FPen,tFeedIss[[Batch ID]],FBatch,tFeedIss[[Animal Type]],FAnimal,tFeedIss[[Feed Type]],$A10))</f>
        <v/>
      </c>
      <c r="D10" s="39">
        <f>IF($A10="","",COUNTIFS(tFeedIss[[Date]],"&gt;="&amp;DStart,tFeedIss[[Date]],"&lt;="&amp;DEnd,tFeedIss[[Pen ID]],FPen,tFeedIss[[Batch ID]],FBatch,tFeedIss[[Animal Type]],FAnimal,tFeedIss[[Feed Type]],$A10))</f>
        <v/>
      </c>
      <c r="E10" s="40">
        <f>IF($A10="","",IFERROR(B10/B$28,0))</f>
        <v/>
      </c>
      <c r="G10" s="27">
        <f>IFERROR(INDEX(tDrugs[[Drug Name]],4)&amp;"","")</f>
        <v/>
      </c>
      <c r="H10" s="28">
        <f>IF($G10="","",SUMIFS(tDrugUse[[Quantity Used]],tDrugUse[[Date]],"&gt;="&amp;DStart,tDrugUse[[Date]],"&lt;="&amp;DEnd,tDrugUse[[Pen ID]],FPen,tDrugUse[[Batch ID]],FBatch,tDrugUse[[Animal Type]],FAnimal,tDrugUse[[Drug Name]],$G10))</f>
        <v/>
      </c>
      <c r="I10" s="29">
        <f>IF($G10="","",SUMIFS(tDrugUse[[Total Cost]],tDrugUse[[Date]],"&gt;="&amp;DStart,tDrugUse[[Date]],"&lt;="&amp;DEnd,tDrugUse[[Pen ID]],FPen,tDrugUse[[Batch ID]],FBatch,tDrugUse[[Animal Type]],FAnimal,tDrugUse[[Drug Name]],$G10))</f>
        <v/>
      </c>
      <c r="J10" s="39">
        <f>IF($G10="","",COUNTIFS(tDrugUse[[Date]],"&gt;="&amp;DStart,tDrugUse[[Date]],"&lt;="&amp;DEnd,tDrugUse[[Pen ID]],FPen,tDrugUse[[Batch ID]],FBatch,tDrugUse[[Animal Type]],FAnimal,tDrugUse[[Drug Name]],$G10))</f>
        <v/>
      </c>
      <c r="K10" s="36">
        <f>IF($G10="","",IFERROR(INDEX(tDrugs[[Stock Unit]],MATCH($G10,tDrugs[[Drug Name]],0))&amp;"",""))</f>
        <v/>
      </c>
    </row>
    <row r="11">
      <c r="A11" s="27">
        <f>IFERROR(INDEX(tFeedTypes[[Feed Type]],5)&amp;"","")</f>
        <v/>
      </c>
      <c r="B11" s="28">
        <f>IF($A11="","",SUMIFS(tFeedIss[[Quantity Issued in kg]],tFeedIss[[Date]],"&gt;="&amp;DStart,tFeedIss[[Date]],"&lt;="&amp;DEnd,tFeedIss[[Pen ID]],FPen,tFeedIss[[Batch ID]],FBatch,tFeedIss[[Animal Type]],FAnimal,tFeedIss[[Feed Type]],$A11))</f>
        <v/>
      </c>
      <c r="C11" s="29">
        <f>IF($A11="","",SUMIFS(tFeedIss[[Total Cost]],tFeedIss[[Date]],"&gt;="&amp;DStart,tFeedIss[[Date]],"&lt;="&amp;DEnd,tFeedIss[[Pen ID]],FPen,tFeedIss[[Batch ID]],FBatch,tFeedIss[[Animal Type]],FAnimal,tFeedIss[[Feed Type]],$A11))</f>
        <v/>
      </c>
      <c r="D11" s="39">
        <f>IF($A11="","",COUNTIFS(tFeedIss[[Date]],"&gt;="&amp;DStart,tFeedIss[[Date]],"&lt;="&amp;DEnd,tFeedIss[[Pen ID]],FPen,tFeedIss[[Batch ID]],FBatch,tFeedIss[[Animal Type]],FAnimal,tFeedIss[[Feed Type]],$A11))</f>
        <v/>
      </c>
      <c r="E11" s="40">
        <f>IF($A11="","",IFERROR(B11/B$28,0))</f>
        <v/>
      </c>
      <c r="G11" s="27">
        <f>IFERROR(INDEX(tDrugs[[Drug Name]],5)&amp;"","")</f>
        <v/>
      </c>
      <c r="H11" s="28">
        <f>IF($G11="","",SUMIFS(tDrugUse[[Quantity Used]],tDrugUse[[Date]],"&gt;="&amp;DStart,tDrugUse[[Date]],"&lt;="&amp;DEnd,tDrugUse[[Pen ID]],FPen,tDrugUse[[Batch ID]],FBatch,tDrugUse[[Animal Type]],FAnimal,tDrugUse[[Drug Name]],$G11))</f>
        <v/>
      </c>
      <c r="I11" s="29">
        <f>IF($G11="","",SUMIFS(tDrugUse[[Total Cost]],tDrugUse[[Date]],"&gt;="&amp;DStart,tDrugUse[[Date]],"&lt;="&amp;DEnd,tDrugUse[[Pen ID]],FPen,tDrugUse[[Batch ID]],FBatch,tDrugUse[[Animal Type]],FAnimal,tDrugUse[[Drug Name]],$G11))</f>
        <v/>
      </c>
      <c r="J11" s="39">
        <f>IF($G11="","",COUNTIFS(tDrugUse[[Date]],"&gt;="&amp;DStart,tDrugUse[[Date]],"&lt;="&amp;DEnd,tDrugUse[[Pen ID]],FPen,tDrugUse[[Batch ID]],FBatch,tDrugUse[[Animal Type]],FAnimal,tDrugUse[[Drug Name]],$G11))</f>
        <v/>
      </c>
      <c r="K11" s="36">
        <f>IF($G11="","",IFERROR(INDEX(tDrugs[[Stock Unit]],MATCH($G11,tDrugs[[Drug Name]],0))&amp;"",""))</f>
        <v/>
      </c>
    </row>
    <row r="12">
      <c r="A12" s="27">
        <f>IFERROR(INDEX(tFeedTypes[[Feed Type]],6)&amp;"","")</f>
        <v/>
      </c>
      <c r="B12" s="28">
        <f>IF($A12="","",SUMIFS(tFeedIss[[Quantity Issued in kg]],tFeedIss[[Date]],"&gt;="&amp;DStart,tFeedIss[[Date]],"&lt;="&amp;DEnd,tFeedIss[[Pen ID]],FPen,tFeedIss[[Batch ID]],FBatch,tFeedIss[[Animal Type]],FAnimal,tFeedIss[[Feed Type]],$A12))</f>
        <v/>
      </c>
      <c r="C12" s="29">
        <f>IF($A12="","",SUMIFS(tFeedIss[[Total Cost]],tFeedIss[[Date]],"&gt;="&amp;DStart,tFeedIss[[Date]],"&lt;="&amp;DEnd,tFeedIss[[Pen ID]],FPen,tFeedIss[[Batch ID]],FBatch,tFeedIss[[Animal Type]],FAnimal,tFeedIss[[Feed Type]],$A12))</f>
        <v/>
      </c>
      <c r="D12" s="39">
        <f>IF($A12="","",COUNTIFS(tFeedIss[[Date]],"&gt;="&amp;DStart,tFeedIss[[Date]],"&lt;="&amp;DEnd,tFeedIss[[Pen ID]],FPen,tFeedIss[[Batch ID]],FBatch,tFeedIss[[Animal Type]],FAnimal,tFeedIss[[Feed Type]],$A12))</f>
        <v/>
      </c>
      <c r="E12" s="40">
        <f>IF($A12="","",IFERROR(B12/B$28,0))</f>
        <v/>
      </c>
      <c r="G12" s="27">
        <f>IFERROR(INDEX(tDrugs[[Drug Name]],6)&amp;"","")</f>
        <v/>
      </c>
      <c r="H12" s="28">
        <f>IF($G12="","",SUMIFS(tDrugUse[[Quantity Used]],tDrugUse[[Date]],"&gt;="&amp;DStart,tDrugUse[[Date]],"&lt;="&amp;DEnd,tDrugUse[[Pen ID]],FPen,tDrugUse[[Batch ID]],FBatch,tDrugUse[[Animal Type]],FAnimal,tDrugUse[[Drug Name]],$G12))</f>
        <v/>
      </c>
      <c r="I12" s="29">
        <f>IF($G12="","",SUMIFS(tDrugUse[[Total Cost]],tDrugUse[[Date]],"&gt;="&amp;DStart,tDrugUse[[Date]],"&lt;="&amp;DEnd,tDrugUse[[Pen ID]],FPen,tDrugUse[[Batch ID]],FBatch,tDrugUse[[Animal Type]],FAnimal,tDrugUse[[Drug Name]],$G12))</f>
        <v/>
      </c>
      <c r="J12" s="39">
        <f>IF($G12="","",COUNTIFS(tDrugUse[[Date]],"&gt;="&amp;DStart,tDrugUse[[Date]],"&lt;="&amp;DEnd,tDrugUse[[Pen ID]],FPen,tDrugUse[[Batch ID]],FBatch,tDrugUse[[Animal Type]],FAnimal,tDrugUse[[Drug Name]],$G12))</f>
        <v/>
      </c>
      <c r="K12" s="36">
        <f>IF($G12="","",IFERROR(INDEX(tDrugs[[Stock Unit]],MATCH($G12,tDrugs[[Drug Name]],0))&amp;"",""))</f>
        <v/>
      </c>
    </row>
    <row r="13">
      <c r="A13" s="27">
        <f>IFERROR(INDEX(tFeedTypes[[Feed Type]],7)&amp;"","")</f>
        <v/>
      </c>
      <c r="B13" s="28">
        <f>IF($A13="","",SUMIFS(tFeedIss[[Quantity Issued in kg]],tFeedIss[[Date]],"&gt;="&amp;DStart,tFeedIss[[Date]],"&lt;="&amp;DEnd,tFeedIss[[Pen ID]],FPen,tFeedIss[[Batch ID]],FBatch,tFeedIss[[Animal Type]],FAnimal,tFeedIss[[Feed Type]],$A13))</f>
        <v/>
      </c>
      <c r="C13" s="29">
        <f>IF($A13="","",SUMIFS(tFeedIss[[Total Cost]],tFeedIss[[Date]],"&gt;="&amp;DStart,tFeedIss[[Date]],"&lt;="&amp;DEnd,tFeedIss[[Pen ID]],FPen,tFeedIss[[Batch ID]],FBatch,tFeedIss[[Animal Type]],FAnimal,tFeedIss[[Feed Type]],$A13))</f>
        <v/>
      </c>
      <c r="D13" s="39">
        <f>IF($A13="","",COUNTIFS(tFeedIss[[Date]],"&gt;="&amp;DStart,tFeedIss[[Date]],"&lt;="&amp;DEnd,tFeedIss[[Pen ID]],FPen,tFeedIss[[Batch ID]],FBatch,tFeedIss[[Animal Type]],FAnimal,tFeedIss[[Feed Type]],$A13))</f>
        <v/>
      </c>
      <c r="E13" s="40">
        <f>IF($A13="","",IFERROR(B13/B$28,0))</f>
        <v/>
      </c>
      <c r="G13" s="27">
        <f>IFERROR(INDEX(tDrugs[[Drug Name]],7)&amp;"","")</f>
        <v/>
      </c>
      <c r="H13" s="28">
        <f>IF($G13="","",SUMIFS(tDrugUse[[Quantity Used]],tDrugUse[[Date]],"&gt;="&amp;DStart,tDrugUse[[Date]],"&lt;="&amp;DEnd,tDrugUse[[Pen ID]],FPen,tDrugUse[[Batch ID]],FBatch,tDrugUse[[Animal Type]],FAnimal,tDrugUse[[Drug Name]],$G13))</f>
        <v/>
      </c>
      <c r="I13" s="29">
        <f>IF($G13="","",SUMIFS(tDrugUse[[Total Cost]],tDrugUse[[Date]],"&gt;="&amp;DStart,tDrugUse[[Date]],"&lt;="&amp;DEnd,tDrugUse[[Pen ID]],FPen,tDrugUse[[Batch ID]],FBatch,tDrugUse[[Animal Type]],FAnimal,tDrugUse[[Drug Name]],$G13))</f>
        <v/>
      </c>
      <c r="J13" s="39">
        <f>IF($G13="","",COUNTIFS(tDrugUse[[Date]],"&gt;="&amp;DStart,tDrugUse[[Date]],"&lt;="&amp;DEnd,tDrugUse[[Pen ID]],FPen,tDrugUse[[Batch ID]],FBatch,tDrugUse[[Animal Type]],FAnimal,tDrugUse[[Drug Name]],$G13))</f>
        <v/>
      </c>
      <c r="K13" s="36">
        <f>IF($G13="","",IFERROR(INDEX(tDrugs[[Stock Unit]],MATCH($G13,tDrugs[[Drug Name]],0))&amp;"",""))</f>
        <v/>
      </c>
    </row>
    <row r="14">
      <c r="A14" s="27">
        <f>IFERROR(INDEX(tFeedTypes[[Feed Type]],8)&amp;"","")</f>
        <v/>
      </c>
      <c r="B14" s="28">
        <f>IF($A14="","",SUMIFS(tFeedIss[[Quantity Issued in kg]],tFeedIss[[Date]],"&gt;="&amp;DStart,tFeedIss[[Date]],"&lt;="&amp;DEnd,tFeedIss[[Pen ID]],FPen,tFeedIss[[Batch ID]],FBatch,tFeedIss[[Animal Type]],FAnimal,tFeedIss[[Feed Type]],$A14))</f>
        <v/>
      </c>
      <c r="C14" s="29">
        <f>IF($A14="","",SUMIFS(tFeedIss[[Total Cost]],tFeedIss[[Date]],"&gt;="&amp;DStart,tFeedIss[[Date]],"&lt;="&amp;DEnd,tFeedIss[[Pen ID]],FPen,tFeedIss[[Batch ID]],FBatch,tFeedIss[[Animal Type]],FAnimal,tFeedIss[[Feed Type]],$A14))</f>
        <v/>
      </c>
      <c r="D14" s="39">
        <f>IF($A14="","",COUNTIFS(tFeedIss[[Date]],"&gt;="&amp;DStart,tFeedIss[[Date]],"&lt;="&amp;DEnd,tFeedIss[[Pen ID]],FPen,tFeedIss[[Batch ID]],FBatch,tFeedIss[[Animal Type]],FAnimal,tFeedIss[[Feed Type]],$A14))</f>
        <v/>
      </c>
      <c r="E14" s="40">
        <f>IF($A14="","",IFERROR(B14/B$28,0))</f>
        <v/>
      </c>
      <c r="G14" s="27">
        <f>IFERROR(INDEX(tDrugs[[Drug Name]],8)&amp;"","")</f>
        <v/>
      </c>
      <c r="H14" s="28">
        <f>IF($G14="","",SUMIFS(tDrugUse[[Quantity Used]],tDrugUse[[Date]],"&gt;="&amp;DStart,tDrugUse[[Date]],"&lt;="&amp;DEnd,tDrugUse[[Pen ID]],FPen,tDrugUse[[Batch ID]],FBatch,tDrugUse[[Animal Type]],FAnimal,tDrugUse[[Drug Name]],$G14))</f>
        <v/>
      </c>
      <c r="I14" s="29">
        <f>IF($G14="","",SUMIFS(tDrugUse[[Total Cost]],tDrugUse[[Date]],"&gt;="&amp;DStart,tDrugUse[[Date]],"&lt;="&amp;DEnd,tDrugUse[[Pen ID]],FPen,tDrugUse[[Batch ID]],FBatch,tDrugUse[[Animal Type]],FAnimal,tDrugUse[[Drug Name]],$G14))</f>
        <v/>
      </c>
      <c r="J14" s="39">
        <f>IF($G14="","",COUNTIFS(tDrugUse[[Date]],"&gt;="&amp;DStart,tDrugUse[[Date]],"&lt;="&amp;DEnd,tDrugUse[[Pen ID]],FPen,tDrugUse[[Batch ID]],FBatch,tDrugUse[[Animal Type]],FAnimal,tDrugUse[[Drug Name]],$G14))</f>
        <v/>
      </c>
      <c r="K14" s="36">
        <f>IF($G14="","",IFERROR(INDEX(tDrugs[[Stock Unit]],MATCH($G14,tDrugs[[Drug Name]],0))&amp;"",""))</f>
        <v/>
      </c>
    </row>
    <row r="15">
      <c r="A15" s="27">
        <f>IFERROR(INDEX(tFeedTypes[[Feed Type]],9)&amp;"","")</f>
        <v/>
      </c>
      <c r="B15" s="28">
        <f>IF($A15="","",SUMIFS(tFeedIss[[Quantity Issued in kg]],tFeedIss[[Date]],"&gt;="&amp;DStart,tFeedIss[[Date]],"&lt;="&amp;DEnd,tFeedIss[[Pen ID]],FPen,tFeedIss[[Batch ID]],FBatch,tFeedIss[[Animal Type]],FAnimal,tFeedIss[[Feed Type]],$A15))</f>
        <v/>
      </c>
      <c r="C15" s="29">
        <f>IF($A15="","",SUMIFS(tFeedIss[[Total Cost]],tFeedIss[[Date]],"&gt;="&amp;DStart,tFeedIss[[Date]],"&lt;="&amp;DEnd,tFeedIss[[Pen ID]],FPen,tFeedIss[[Batch ID]],FBatch,tFeedIss[[Animal Type]],FAnimal,tFeedIss[[Feed Type]],$A15))</f>
        <v/>
      </c>
      <c r="D15" s="39">
        <f>IF($A15="","",COUNTIFS(tFeedIss[[Date]],"&gt;="&amp;DStart,tFeedIss[[Date]],"&lt;="&amp;DEnd,tFeedIss[[Pen ID]],FPen,tFeedIss[[Batch ID]],FBatch,tFeedIss[[Animal Type]],FAnimal,tFeedIss[[Feed Type]],$A15))</f>
        <v/>
      </c>
      <c r="E15" s="40">
        <f>IF($A15="","",IFERROR(B15/B$28,0))</f>
        <v/>
      </c>
      <c r="G15" s="27">
        <f>IFERROR(INDEX(tDrugs[[Drug Name]],9)&amp;"","")</f>
        <v/>
      </c>
      <c r="H15" s="28">
        <f>IF($G15="","",SUMIFS(tDrugUse[[Quantity Used]],tDrugUse[[Date]],"&gt;="&amp;DStart,tDrugUse[[Date]],"&lt;="&amp;DEnd,tDrugUse[[Pen ID]],FPen,tDrugUse[[Batch ID]],FBatch,tDrugUse[[Animal Type]],FAnimal,tDrugUse[[Drug Name]],$G15))</f>
        <v/>
      </c>
      <c r="I15" s="29">
        <f>IF($G15="","",SUMIFS(tDrugUse[[Total Cost]],tDrugUse[[Date]],"&gt;="&amp;DStart,tDrugUse[[Date]],"&lt;="&amp;DEnd,tDrugUse[[Pen ID]],FPen,tDrugUse[[Batch ID]],FBatch,tDrugUse[[Animal Type]],FAnimal,tDrugUse[[Drug Name]],$G15))</f>
        <v/>
      </c>
      <c r="J15" s="39">
        <f>IF($G15="","",COUNTIFS(tDrugUse[[Date]],"&gt;="&amp;DStart,tDrugUse[[Date]],"&lt;="&amp;DEnd,tDrugUse[[Pen ID]],FPen,tDrugUse[[Batch ID]],FBatch,tDrugUse[[Animal Type]],FAnimal,tDrugUse[[Drug Name]],$G15))</f>
        <v/>
      </c>
      <c r="K15" s="36">
        <f>IF($G15="","",IFERROR(INDEX(tDrugs[[Stock Unit]],MATCH($G15,tDrugs[[Drug Name]],0))&amp;"",""))</f>
        <v/>
      </c>
    </row>
    <row r="16">
      <c r="A16" s="27">
        <f>IFERROR(INDEX(tFeedTypes[[Feed Type]],10)&amp;"","")</f>
        <v/>
      </c>
      <c r="B16" s="28">
        <f>IF($A16="","",SUMIFS(tFeedIss[[Quantity Issued in kg]],tFeedIss[[Date]],"&gt;="&amp;DStart,tFeedIss[[Date]],"&lt;="&amp;DEnd,tFeedIss[[Pen ID]],FPen,tFeedIss[[Batch ID]],FBatch,tFeedIss[[Animal Type]],FAnimal,tFeedIss[[Feed Type]],$A16))</f>
        <v/>
      </c>
      <c r="C16" s="29">
        <f>IF($A16="","",SUMIFS(tFeedIss[[Total Cost]],tFeedIss[[Date]],"&gt;="&amp;DStart,tFeedIss[[Date]],"&lt;="&amp;DEnd,tFeedIss[[Pen ID]],FPen,tFeedIss[[Batch ID]],FBatch,tFeedIss[[Animal Type]],FAnimal,tFeedIss[[Feed Type]],$A16))</f>
        <v/>
      </c>
      <c r="D16" s="39">
        <f>IF($A16="","",COUNTIFS(tFeedIss[[Date]],"&gt;="&amp;DStart,tFeedIss[[Date]],"&lt;="&amp;DEnd,tFeedIss[[Pen ID]],FPen,tFeedIss[[Batch ID]],FBatch,tFeedIss[[Animal Type]],FAnimal,tFeedIss[[Feed Type]],$A16))</f>
        <v/>
      </c>
      <c r="E16" s="40">
        <f>IF($A16="","",IFERROR(B16/B$28,0))</f>
        <v/>
      </c>
      <c r="G16" s="27">
        <f>IFERROR(INDEX(tDrugs[[Drug Name]],10)&amp;"","")</f>
        <v/>
      </c>
      <c r="H16" s="28">
        <f>IF($G16="","",SUMIFS(tDrugUse[[Quantity Used]],tDrugUse[[Date]],"&gt;="&amp;DStart,tDrugUse[[Date]],"&lt;="&amp;DEnd,tDrugUse[[Pen ID]],FPen,tDrugUse[[Batch ID]],FBatch,tDrugUse[[Animal Type]],FAnimal,tDrugUse[[Drug Name]],$G16))</f>
        <v/>
      </c>
      <c r="I16" s="29">
        <f>IF($G16="","",SUMIFS(tDrugUse[[Total Cost]],tDrugUse[[Date]],"&gt;="&amp;DStart,tDrugUse[[Date]],"&lt;="&amp;DEnd,tDrugUse[[Pen ID]],FPen,tDrugUse[[Batch ID]],FBatch,tDrugUse[[Animal Type]],FAnimal,tDrugUse[[Drug Name]],$G16))</f>
        <v/>
      </c>
      <c r="J16" s="39">
        <f>IF($G16="","",COUNTIFS(tDrugUse[[Date]],"&gt;="&amp;DStart,tDrugUse[[Date]],"&lt;="&amp;DEnd,tDrugUse[[Pen ID]],FPen,tDrugUse[[Batch ID]],FBatch,tDrugUse[[Animal Type]],FAnimal,tDrugUse[[Drug Name]],$G16))</f>
        <v/>
      </c>
      <c r="K16" s="36">
        <f>IF($G16="","",IFERROR(INDEX(tDrugs[[Stock Unit]],MATCH($G16,tDrugs[[Drug Name]],0))&amp;"",""))</f>
        <v/>
      </c>
    </row>
    <row r="17">
      <c r="A17" s="27">
        <f>IFERROR(INDEX(tFeedTypes[[Feed Type]],11)&amp;"","")</f>
        <v/>
      </c>
      <c r="B17" s="28">
        <f>IF($A17="","",SUMIFS(tFeedIss[[Quantity Issued in kg]],tFeedIss[[Date]],"&gt;="&amp;DStart,tFeedIss[[Date]],"&lt;="&amp;DEnd,tFeedIss[[Pen ID]],FPen,tFeedIss[[Batch ID]],FBatch,tFeedIss[[Animal Type]],FAnimal,tFeedIss[[Feed Type]],$A17))</f>
        <v/>
      </c>
      <c r="C17" s="29">
        <f>IF($A17="","",SUMIFS(tFeedIss[[Total Cost]],tFeedIss[[Date]],"&gt;="&amp;DStart,tFeedIss[[Date]],"&lt;="&amp;DEnd,tFeedIss[[Pen ID]],FPen,tFeedIss[[Batch ID]],FBatch,tFeedIss[[Animal Type]],FAnimal,tFeedIss[[Feed Type]],$A17))</f>
        <v/>
      </c>
      <c r="D17" s="39">
        <f>IF($A17="","",COUNTIFS(tFeedIss[[Date]],"&gt;="&amp;DStart,tFeedIss[[Date]],"&lt;="&amp;DEnd,tFeedIss[[Pen ID]],FPen,tFeedIss[[Batch ID]],FBatch,tFeedIss[[Animal Type]],FAnimal,tFeedIss[[Feed Type]],$A17))</f>
        <v/>
      </c>
      <c r="E17" s="40">
        <f>IF($A17="","",IFERROR(B17/B$28,0))</f>
        <v/>
      </c>
      <c r="G17" s="27">
        <f>IFERROR(INDEX(tDrugs[[Drug Name]],11)&amp;"","")</f>
        <v/>
      </c>
      <c r="H17" s="28">
        <f>IF($G17="","",SUMIFS(tDrugUse[[Quantity Used]],tDrugUse[[Date]],"&gt;="&amp;DStart,tDrugUse[[Date]],"&lt;="&amp;DEnd,tDrugUse[[Pen ID]],FPen,tDrugUse[[Batch ID]],FBatch,tDrugUse[[Animal Type]],FAnimal,tDrugUse[[Drug Name]],$G17))</f>
        <v/>
      </c>
      <c r="I17" s="29">
        <f>IF($G17="","",SUMIFS(tDrugUse[[Total Cost]],tDrugUse[[Date]],"&gt;="&amp;DStart,tDrugUse[[Date]],"&lt;="&amp;DEnd,tDrugUse[[Pen ID]],FPen,tDrugUse[[Batch ID]],FBatch,tDrugUse[[Animal Type]],FAnimal,tDrugUse[[Drug Name]],$G17))</f>
        <v/>
      </c>
      <c r="J17" s="39">
        <f>IF($G17="","",COUNTIFS(tDrugUse[[Date]],"&gt;="&amp;DStart,tDrugUse[[Date]],"&lt;="&amp;DEnd,tDrugUse[[Pen ID]],FPen,tDrugUse[[Batch ID]],FBatch,tDrugUse[[Animal Type]],FAnimal,tDrugUse[[Drug Name]],$G17))</f>
        <v/>
      </c>
      <c r="K17" s="36">
        <f>IF($G17="","",IFERROR(INDEX(tDrugs[[Stock Unit]],MATCH($G17,tDrugs[[Drug Name]],0))&amp;"",""))</f>
        <v/>
      </c>
    </row>
    <row r="18">
      <c r="A18" s="27">
        <f>IFERROR(INDEX(tFeedTypes[[Feed Type]],12)&amp;"","")</f>
        <v/>
      </c>
      <c r="B18" s="28">
        <f>IF($A18="","",SUMIFS(tFeedIss[[Quantity Issued in kg]],tFeedIss[[Date]],"&gt;="&amp;DStart,tFeedIss[[Date]],"&lt;="&amp;DEnd,tFeedIss[[Pen ID]],FPen,tFeedIss[[Batch ID]],FBatch,tFeedIss[[Animal Type]],FAnimal,tFeedIss[[Feed Type]],$A18))</f>
        <v/>
      </c>
      <c r="C18" s="29">
        <f>IF($A18="","",SUMIFS(tFeedIss[[Total Cost]],tFeedIss[[Date]],"&gt;="&amp;DStart,tFeedIss[[Date]],"&lt;="&amp;DEnd,tFeedIss[[Pen ID]],FPen,tFeedIss[[Batch ID]],FBatch,tFeedIss[[Animal Type]],FAnimal,tFeedIss[[Feed Type]],$A18))</f>
        <v/>
      </c>
      <c r="D18" s="39">
        <f>IF($A18="","",COUNTIFS(tFeedIss[[Date]],"&gt;="&amp;DStart,tFeedIss[[Date]],"&lt;="&amp;DEnd,tFeedIss[[Pen ID]],FPen,tFeedIss[[Batch ID]],FBatch,tFeedIss[[Animal Type]],FAnimal,tFeedIss[[Feed Type]],$A18))</f>
        <v/>
      </c>
      <c r="E18" s="40">
        <f>IF($A18="","",IFERROR(B18/B$28,0))</f>
        <v/>
      </c>
      <c r="G18" s="27">
        <f>IFERROR(INDEX(tDrugs[[Drug Name]],12)&amp;"","")</f>
        <v/>
      </c>
      <c r="H18" s="28">
        <f>IF($G18="","",SUMIFS(tDrugUse[[Quantity Used]],tDrugUse[[Date]],"&gt;="&amp;DStart,tDrugUse[[Date]],"&lt;="&amp;DEnd,tDrugUse[[Pen ID]],FPen,tDrugUse[[Batch ID]],FBatch,tDrugUse[[Animal Type]],FAnimal,tDrugUse[[Drug Name]],$G18))</f>
        <v/>
      </c>
      <c r="I18" s="29">
        <f>IF($G18="","",SUMIFS(tDrugUse[[Total Cost]],tDrugUse[[Date]],"&gt;="&amp;DStart,tDrugUse[[Date]],"&lt;="&amp;DEnd,tDrugUse[[Pen ID]],FPen,tDrugUse[[Batch ID]],FBatch,tDrugUse[[Animal Type]],FAnimal,tDrugUse[[Drug Name]],$G18))</f>
        <v/>
      </c>
      <c r="J18" s="39">
        <f>IF($G18="","",COUNTIFS(tDrugUse[[Date]],"&gt;="&amp;DStart,tDrugUse[[Date]],"&lt;="&amp;DEnd,tDrugUse[[Pen ID]],FPen,tDrugUse[[Batch ID]],FBatch,tDrugUse[[Animal Type]],FAnimal,tDrugUse[[Drug Name]],$G18))</f>
        <v/>
      </c>
      <c r="K18" s="36">
        <f>IF($G18="","",IFERROR(INDEX(tDrugs[[Stock Unit]],MATCH($G18,tDrugs[[Drug Name]],0))&amp;"",""))</f>
        <v/>
      </c>
    </row>
    <row r="19">
      <c r="A19" s="27">
        <f>IFERROR(INDEX(tFeedTypes[[Feed Type]],13)&amp;"","")</f>
        <v/>
      </c>
      <c r="B19" s="28">
        <f>IF($A19="","",SUMIFS(tFeedIss[[Quantity Issued in kg]],tFeedIss[[Date]],"&gt;="&amp;DStart,tFeedIss[[Date]],"&lt;="&amp;DEnd,tFeedIss[[Pen ID]],FPen,tFeedIss[[Batch ID]],FBatch,tFeedIss[[Animal Type]],FAnimal,tFeedIss[[Feed Type]],$A19))</f>
        <v/>
      </c>
      <c r="C19" s="29">
        <f>IF($A19="","",SUMIFS(tFeedIss[[Total Cost]],tFeedIss[[Date]],"&gt;="&amp;DStart,tFeedIss[[Date]],"&lt;="&amp;DEnd,tFeedIss[[Pen ID]],FPen,tFeedIss[[Batch ID]],FBatch,tFeedIss[[Animal Type]],FAnimal,tFeedIss[[Feed Type]],$A19))</f>
        <v/>
      </c>
      <c r="D19" s="39">
        <f>IF($A19="","",COUNTIFS(tFeedIss[[Date]],"&gt;="&amp;DStart,tFeedIss[[Date]],"&lt;="&amp;DEnd,tFeedIss[[Pen ID]],FPen,tFeedIss[[Batch ID]],FBatch,tFeedIss[[Animal Type]],FAnimal,tFeedIss[[Feed Type]],$A19))</f>
        <v/>
      </c>
      <c r="E19" s="40">
        <f>IF($A19="","",IFERROR(B19/B$28,0))</f>
        <v/>
      </c>
      <c r="G19" s="27">
        <f>IFERROR(INDEX(tDrugs[[Drug Name]],13)&amp;"","")</f>
        <v/>
      </c>
      <c r="H19" s="28">
        <f>IF($G19="","",SUMIFS(tDrugUse[[Quantity Used]],tDrugUse[[Date]],"&gt;="&amp;DStart,tDrugUse[[Date]],"&lt;="&amp;DEnd,tDrugUse[[Pen ID]],FPen,tDrugUse[[Batch ID]],FBatch,tDrugUse[[Animal Type]],FAnimal,tDrugUse[[Drug Name]],$G19))</f>
        <v/>
      </c>
      <c r="I19" s="29">
        <f>IF($G19="","",SUMIFS(tDrugUse[[Total Cost]],tDrugUse[[Date]],"&gt;="&amp;DStart,tDrugUse[[Date]],"&lt;="&amp;DEnd,tDrugUse[[Pen ID]],FPen,tDrugUse[[Batch ID]],FBatch,tDrugUse[[Animal Type]],FAnimal,tDrugUse[[Drug Name]],$G19))</f>
        <v/>
      </c>
      <c r="J19" s="39">
        <f>IF($G19="","",COUNTIFS(tDrugUse[[Date]],"&gt;="&amp;DStart,tDrugUse[[Date]],"&lt;="&amp;DEnd,tDrugUse[[Pen ID]],FPen,tDrugUse[[Batch ID]],FBatch,tDrugUse[[Animal Type]],FAnimal,tDrugUse[[Drug Name]],$G19))</f>
        <v/>
      </c>
      <c r="K19" s="36">
        <f>IF($G19="","",IFERROR(INDEX(tDrugs[[Stock Unit]],MATCH($G19,tDrugs[[Drug Name]],0))&amp;"",""))</f>
        <v/>
      </c>
    </row>
    <row r="20">
      <c r="A20" s="27">
        <f>IFERROR(INDEX(tFeedTypes[[Feed Type]],14)&amp;"","")</f>
        <v/>
      </c>
      <c r="B20" s="28">
        <f>IF($A20="","",SUMIFS(tFeedIss[[Quantity Issued in kg]],tFeedIss[[Date]],"&gt;="&amp;DStart,tFeedIss[[Date]],"&lt;="&amp;DEnd,tFeedIss[[Pen ID]],FPen,tFeedIss[[Batch ID]],FBatch,tFeedIss[[Animal Type]],FAnimal,tFeedIss[[Feed Type]],$A20))</f>
        <v/>
      </c>
      <c r="C20" s="29">
        <f>IF($A20="","",SUMIFS(tFeedIss[[Total Cost]],tFeedIss[[Date]],"&gt;="&amp;DStart,tFeedIss[[Date]],"&lt;="&amp;DEnd,tFeedIss[[Pen ID]],FPen,tFeedIss[[Batch ID]],FBatch,tFeedIss[[Animal Type]],FAnimal,tFeedIss[[Feed Type]],$A20))</f>
        <v/>
      </c>
      <c r="D20" s="39">
        <f>IF($A20="","",COUNTIFS(tFeedIss[[Date]],"&gt;="&amp;DStart,tFeedIss[[Date]],"&lt;="&amp;DEnd,tFeedIss[[Pen ID]],FPen,tFeedIss[[Batch ID]],FBatch,tFeedIss[[Animal Type]],FAnimal,tFeedIss[[Feed Type]],$A20))</f>
        <v/>
      </c>
      <c r="E20" s="40">
        <f>IF($A20="","",IFERROR(B20/B$28,0))</f>
        <v/>
      </c>
      <c r="G20" s="27">
        <f>IFERROR(INDEX(tDrugs[[Drug Name]],14)&amp;"","")</f>
        <v/>
      </c>
      <c r="H20" s="28">
        <f>IF($G20="","",SUMIFS(tDrugUse[[Quantity Used]],tDrugUse[[Date]],"&gt;="&amp;DStart,tDrugUse[[Date]],"&lt;="&amp;DEnd,tDrugUse[[Pen ID]],FPen,tDrugUse[[Batch ID]],FBatch,tDrugUse[[Animal Type]],FAnimal,tDrugUse[[Drug Name]],$G20))</f>
        <v/>
      </c>
      <c r="I20" s="29">
        <f>IF($G20="","",SUMIFS(tDrugUse[[Total Cost]],tDrugUse[[Date]],"&gt;="&amp;DStart,tDrugUse[[Date]],"&lt;="&amp;DEnd,tDrugUse[[Pen ID]],FPen,tDrugUse[[Batch ID]],FBatch,tDrugUse[[Animal Type]],FAnimal,tDrugUse[[Drug Name]],$G20))</f>
        <v/>
      </c>
      <c r="J20" s="39">
        <f>IF($G20="","",COUNTIFS(tDrugUse[[Date]],"&gt;="&amp;DStart,tDrugUse[[Date]],"&lt;="&amp;DEnd,tDrugUse[[Pen ID]],FPen,tDrugUse[[Batch ID]],FBatch,tDrugUse[[Animal Type]],FAnimal,tDrugUse[[Drug Name]],$G20))</f>
        <v/>
      </c>
      <c r="K20" s="36">
        <f>IF($G20="","",IFERROR(INDEX(tDrugs[[Stock Unit]],MATCH($G20,tDrugs[[Drug Name]],0))&amp;"",""))</f>
        <v/>
      </c>
    </row>
    <row r="21">
      <c r="A21" s="27">
        <f>IFERROR(INDEX(tFeedTypes[[Feed Type]],15)&amp;"","")</f>
        <v/>
      </c>
      <c r="B21" s="28">
        <f>IF($A21="","",SUMIFS(tFeedIss[[Quantity Issued in kg]],tFeedIss[[Date]],"&gt;="&amp;DStart,tFeedIss[[Date]],"&lt;="&amp;DEnd,tFeedIss[[Pen ID]],FPen,tFeedIss[[Batch ID]],FBatch,tFeedIss[[Animal Type]],FAnimal,tFeedIss[[Feed Type]],$A21))</f>
        <v/>
      </c>
      <c r="C21" s="29">
        <f>IF($A21="","",SUMIFS(tFeedIss[[Total Cost]],tFeedIss[[Date]],"&gt;="&amp;DStart,tFeedIss[[Date]],"&lt;="&amp;DEnd,tFeedIss[[Pen ID]],FPen,tFeedIss[[Batch ID]],FBatch,tFeedIss[[Animal Type]],FAnimal,tFeedIss[[Feed Type]],$A21))</f>
        <v/>
      </c>
      <c r="D21" s="39">
        <f>IF($A21="","",COUNTIFS(tFeedIss[[Date]],"&gt;="&amp;DStart,tFeedIss[[Date]],"&lt;="&amp;DEnd,tFeedIss[[Pen ID]],FPen,tFeedIss[[Batch ID]],FBatch,tFeedIss[[Animal Type]],FAnimal,tFeedIss[[Feed Type]],$A21))</f>
        <v/>
      </c>
      <c r="E21" s="40">
        <f>IF($A21="","",IFERROR(B21/B$28,0))</f>
        <v/>
      </c>
      <c r="G21" s="27">
        <f>IFERROR(INDEX(tDrugs[[Drug Name]],15)&amp;"","")</f>
        <v/>
      </c>
      <c r="H21" s="28">
        <f>IF($G21="","",SUMIFS(tDrugUse[[Quantity Used]],tDrugUse[[Date]],"&gt;="&amp;DStart,tDrugUse[[Date]],"&lt;="&amp;DEnd,tDrugUse[[Pen ID]],FPen,tDrugUse[[Batch ID]],FBatch,tDrugUse[[Animal Type]],FAnimal,tDrugUse[[Drug Name]],$G21))</f>
        <v/>
      </c>
      <c r="I21" s="29">
        <f>IF($G21="","",SUMIFS(tDrugUse[[Total Cost]],tDrugUse[[Date]],"&gt;="&amp;DStart,tDrugUse[[Date]],"&lt;="&amp;DEnd,tDrugUse[[Pen ID]],FPen,tDrugUse[[Batch ID]],FBatch,tDrugUse[[Animal Type]],FAnimal,tDrugUse[[Drug Name]],$G21))</f>
        <v/>
      </c>
      <c r="J21" s="39">
        <f>IF($G21="","",COUNTIFS(tDrugUse[[Date]],"&gt;="&amp;DStart,tDrugUse[[Date]],"&lt;="&amp;DEnd,tDrugUse[[Pen ID]],FPen,tDrugUse[[Batch ID]],FBatch,tDrugUse[[Animal Type]],FAnimal,tDrugUse[[Drug Name]],$G21))</f>
        <v/>
      </c>
      <c r="K21" s="36">
        <f>IF($G21="","",IFERROR(INDEX(tDrugs[[Stock Unit]],MATCH($G21,tDrugs[[Drug Name]],0))&amp;"",""))</f>
        <v/>
      </c>
    </row>
    <row r="22">
      <c r="A22" s="27">
        <f>IFERROR(INDEX(tFeedTypes[[Feed Type]],16)&amp;"","")</f>
        <v/>
      </c>
      <c r="B22" s="28">
        <f>IF($A22="","",SUMIFS(tFeedIss[[Quantity Issued in kg]],tFeedIss[[Date]],"&gt;="&amp;DStart,tFeedIss[[Date]],"&lt;="&amp;DEnd,tFeedIss[[Pen ID]],FPen,tFeedIss[[Batch ID]],FBatch,tFeedIss[[Animal Type]],FAnimal,tFeedIss[[Feed Type]],$A22))</f>
        <v/>
      </c>
      <c r="C22" s="29">
        <f>IF($A22="","",SUMIFS(tFeedIss[[Total Cost]],tFeedIss[[Date]],"&gt;="&amp;DStart,tFeedIss[[Date]],"&lt;="&amp;DEnd,tFeedIss[[Pen ID]],FPen,tFeedIss[[Batch ID]],FBatch,tFeedIss[[Animal Type]],FAnimal,tFeedIss[[Feed Type]],$A22))</f>
        <v/>
      </c>
      <c r="D22" s="39">
        <f>IF($A22="","",COUNTIFS(tFeedIss[[Date]],"&gt;="&amp;DStart,tFeedIss[[Date]],"&lt;="&amp;DEnd,tFeedIss[[Pen ID]],FPen,tFeedIss[[Batch ID]],FBatch,tFeedIss[[Animal Type]],FAnimal,tFeedIss[[Feed Type]],$A22))</f>
        <v/>
      </c>
      <c r="E22" s="40">
        <f>IF($A22="","",IFERROR(B22/B$28,0))</f>
        <v/>
      </c>
      <c r="G22" s="27">
        <f>IFERROR(INDEX(tDrugs[[Drug Name]],16)&amp;"","")</f>
        <v/>
      </c>
      <c r="H22" s="28">
        <f>IF($G22="","",SUMIFS(tDrugUse[[Quantity Used]],tDrugUse[[Date]],"&gt;="&amp;DStart,tDrugUse[[Date]],"&lt;="&amp;DEnd,tDrugUse[[Pen ID]],FPen,tDrugUse[[Batch ID]],FBatch,tDrugUse[[Animal Type]],FAnimal,tDrugUse[[Drug Name]],$G22))</f>
        <v/>
      </c>
      <c r="I22" s="29">
        <f>IF($G22="","",SUMIFS(tDrugUse[[Total Cost]],tDrugUse[[Date]],"&gt;="&amp;DStart,tDrugUse[[Date]],"&lt;="&amp;DEnd,tDrugUse[[Pen ID]],FPen,tDrugUse[[Batch ID]],FBatch,tDrugUse[[Animal Type]],FAnimal,tDrugUse[[Drug Name]],$G22))</f>
        <v/>
      </c>
      <c r="J22" s="39">
        <f>IF($G22="","",COUNTIFS(tDrugUse[[Date]],"&gt;="&amp;DStart,tDrugUse[[Date]],"&lt;="&amp;DEnd,tDrugUse[[Pen ID]],FPen,tDrugUse[[Batch ID]],FBatch,tDrugUse[[Animal Type]],FAnimal,tDrugUse[[Drug Name]],$G22))</f>
        <v/>
      </c>
      <c r="K22" s="36">
        <f>IF($G22="","",IFERROR(INDEX(tDrugs[[Stock Unit]],MATCH($G22,tDrugs[[Drug Name]],0))&amp;"",""))</f>
        <v/>
      </c>
    </row>
    <row r="23">
      <c r="A23" s="27">
        <f>IFERROR(INDEX(tFeedTypes[[Feed Type]],17)&amp;"","")</f>
        <v/>
      </c>
      <c r="B23" s="28">
        <f>IF($A23="","",SUMIFS(tFeedIss[[Quantity Issued in kg]],tFeedIss[[Date]],"&gt;="&amp;DStart,tFeedIss[[Date]],"&lt;="&amp;DEnd,tFeedIss[[Pen ID]],FPen,tFeedIss[[Batch ID]],FBatch,tFeedIss[[Animal Type]],FAnimal,tFeedIss[[Feed Type]],$A23))</f>
        <v/>
      </c>
      <c r="C23" s="29">
        <f>IF($A23="","",SUMIFS(tFeedIss[[Total Cost]],tFeedIss[[Date]],"&gt;="&amp;DStart,tFeedIss[[Date]],"&lt;="&amp;DEnd,tFeedIss[[Pen ID]],FPen,tFeedIss[[Batch ID]],FBatch,tFeedIss[[Animal Type]],FAnimal,tFeedIss[[Feed Type]],$A23))</f>
        <v/>
      </c>
      <c r="D23" s="39">
        <f>IF($A23="","",COUNTIFS(tFeedIss[[Date]],"&gt;="&amp;DStart,tFeedIss[[Date]],"&lt;="&amp;DEnd,tFeedIss[[Pen ID]],FPen,tFeedIss[[Batch ID]],FBatch,tFeedIss[[Animal Type]],FAnimal,tFeedIss[[Feed Type]],$A23))</f>
        <v/>
      </c>
      <c r="E23" s="40">
        <f>IF($A23="","",IFERROR(B23/B$28,0))</f>
        <v/>
      </c>
      <c r="G23" s="27">
        <f>IFERROR(INDEX(tDrugs[[Drug Name]],17)&amp;"","")</f>
        <v/>
      </c>
      <c r="H23" s="28">
        <f>IF($G23="","",SUMIFS(tDrugUse[[Quantity Used]],tDrugUse[[Date]],"&gt;="&amp;DStart,tDrugUse[[Date]],"&lt;="&amp;DEnd,tDrugUse[[Pen ID]],FPen,tDrugUse[[Batch ID]],FBatch,tDrugUse[[Animal Type]],FAnimal,tDrugUse[[Drug Name]],$G23))</f>
        <v/>
      </c>
      <c r="I23" s="29">
        <f>IF($G23="","",SUMIFS(tDrugUse[[Total Cost]],tDrugUse[[Date]],"&gt;="&amp;DStart,tDrugUse[[Date]],"&lt;="&amp;DEnd,tDrugUse[[Pen ID]],FPen,tDrugUse[[Batch ID]],FBatch,tDrugUse[[Animal Type]],FAnimal,tDrugUse[[Drug Name]],$G23))</f>
        <v/>
      </c>
      <c r="J23" s="39">
        <f>IF($G23="","",COUNTIFS(tDrugUse[[Date]],"&gt;="&amp;DStart,tDrugUse[[Date]],"&lt;="&amp;DEnd,tDrugUse[[Pen ID]],FPen,tDrugUse[[Batch ID]],FBatch,tDrugUse[[Animal Type]],FAnimal,tDrugUse[[Drug Name]],$G23))</f>
        <v/>
      </c>
      <c r="K23" s="36">
        <f>IF($G23="","",IFERROR(INDEX(tDrugs[[Stock Unit]],MATCH($G23,tDrugs[[Drug Name]],0))&amp;"",""))</f>
        <v/>
      </c>
    </row>
    <row r="24">
      <c r="A24" s="27">
        <f>IFERROR(INDEX(tFeedTypes[[Feed Type]],18)&amp;"","")</f>
        <v/>
      </c>
      <c r="B24" s="28">
        <f>IF($A24="","",SUMIFS(tFeedIss[[Quantity Issued in kg]],tFeedIss[[Date]],"&gt;="&amp;DStart,tFeedIss[[Date]],"&lt;="&amp;DEnd,tFeedIss[[Pen ID]],FPen,tFeedIss[[Batch ID]],FBatch,tFeedIss[[Animal Type]],FAnimal,tFeedIss[[Feed Type]],$A24))</f>
        <v/>
      </c>
      <c r="C24" s="29">
        <f>IF($A24="","",SUMIFS(tFeedIss[[Total Cost]],tFeedIss[[Date]],"&gt;="&amp;DStart,tFeedIss[[Date]],"&lt;="&amp;DEnd,tFeedIss[[Pen ID]],FPen,tFeedIss[[Batch ID]],FBatch,tFeedIss[[Animal Type]],FAnimal,tFeedIss[[Feed Type]],$A24))</f>
        <v/>
      </c>
      <c r="D24" s="39">
        <f>IF($A24="","",COUNTIFS(tFeedIss[[Date]],"&gt;="&amp;DStart,tFeedIss[[Date]],"&lt;="&amp;DEnd,tFeedIss[[Pen ID]],FPen,tFeedIss[[Batch ID]],FBatch,tFeedIss[[Animal Type]],FAnimal,tFeedIss[[Feed Type]],$A24))</f>
        <v/>
      </c>
      <c r="E24" s="40">
        <f>IF($A24="","",IFERROR(B24/B$28,0))</f>
        <v/>
      </c>
      <c r="G24" s="27">
        <f>IFERROR(INDEX(tDrugs[[Drug Name]],18)&amp;"","")</f>
        <v/>
      </c>
      <c r="H24" s="28">
        <f>IF($G24="","",SUMIFS(tDrugUse[[Quantity Used]],tDrugUse[[Date]],"&gt;="&amp;DStart,tDrugUse[[Date]],"&lt;="&amp;DEnd,tDrugUse[[Pen ID]],FPen,tDrugUse[[Batch ID]],FBatch,tDrugUse[[Animal Type]],FAnimal,tDrugUse[[Drug Name]],$G24))</f>
        <v/>
      </c>
      <c r="I24" s="29">
        <f>IF($G24="","",SUMIFS(tDrugUse[[Total Cost]],tDrugUse[[Date]],"&gt;="&amp;DStart,tDrugUse[[Date]],"&lt;="&amp;DEnd,tDrugUse[[Pen ID]],FPen,tDrugUse[[Batch ID]],FBatch,tDrugUse[[Animal Type]],FAnimal,tDrugUse[[Drug Name]],$G24))</f>
        <v/>
      </c>
      <c r="J24" s="39">
        <f>IF($G24="","",COUNTIFS(tDrugUse[[Date]],"&gt;="&amp;DStart,tDrugUse[[Date]],"&lt;="&amp;DEnd,tDrugUse[[Pen ID]],FPen,tDrugUse[[Batch ID]],FBatch,tDrugUse[[Animal Type]],FAnimal,tDrugUse[[Drug Name]],$G24))</f>
        <v/>
      </c>
      <c r="K24" s="36">
        <f>IF($G24="","",IFERROR(INDEX(tDrugs[[Stock Unit]],MATCH($G24,tDrugs[[Drug Name]],0))&amp;"",""))</f>
        <v/>
      </c>
    </row>
    <row r="25">
      <c r="A25" s="27">
        <f>IFERROR(INDEX(tFeedTypes[[Feed Type]],19)&amp;"","")</f>
        <v/>
      </c>
      <c r="B25" s="28">
        <f>IF($A25="","",SUMIFS(tFeedIss[[Quantity Issued in kg]],tFeedIss[[Date]],"&gt;="&amp;DStart,tFeedIss[[Date]],"&lt;="&amp;DEnd,tFeedIss[[Pen ID]],FPen,tFeedIss[[Batch ID]],FBatch,tFeedIss[[Animal Type]],FAnimal,tFeedIss[[Feed Type]],$A25))</f>
        <v/>
      </c>
      <c r="C25" s="29">
        <f>IF($A25="","",SUMIFS(tFeedIss[[Total Cost]],tFeedIss[[Date]],"&gt;="&amp;DStart,tFeedIss[[Date]],"&lt;="&amp;DEnd,tFeedIss[[Pen ID]],FPen,tFeedIss[[Batch ID]],FBatch,tFeedIss[[Animal Type]],FAnimal,tFeedIss[[Feed Type]],$A25))</f>
        <v/>
      </c>
      <c r="D25" s="39">
        <f>IF($A25="","",COUNTIFS(tFeedIss[[Date]],"&gt;="&amp;DStart,tFeedIss[[Date]],"&lt;="&amp;DEnd,tFeedIss[[Pen ID]],FPen,tFeedIss[[Batch ID]],FBatch,tFeedIss[[Animal Type]],FAnimal,tFeedIss[[Feed Type]],$A25))</f>
        <v/>
      </c>
      <c r="E25" s="40">
        <f>IF($A25="","",IFERROR(B25/B$28,0))</f>
        <v/>
      </c>
      <c r="G25" s="27">
        <f>IFERROR(INDEX(tDrugs[[Drug Name]],19)&amp;"","")</f>
        <v/>
      </c>
      <c r="H25" s="28">
        <f>IF($G25="","",SUMIFS(tDrugUse[[Quantity Used]],tDrugUse[[Date]],"&gt;="&amp;DStart,tDrugUse[[Date]],"&lt;="&amp;DEnd,tDrugUse[[Pen ID]],FPen,tDrugUse[[Batch ID]],FBatch,tDrugUse[[Animal Type]],FAnimal,tDrugUse[[Drug Name]],$G25))</f>
        <v/>
      </c>
      <c r="I25" s="29">
        <f>IF($G25="","",SUMIFS(tDrugUse[[Total Cost]],tDrugUse[[Date]],"&gt;="&amp;DStart,tDrugUse[[Date]],"&lt;="&amp;DEnd,tDrugUse[[Pen ID]],FPen,tDrugUse[[Batch ID]],FBatch,tDrugUse[[Animal Type]],FAnimal,tDrugUse[[Drug Name]],$G25))</f>
        <v/>
      </c>
      <c r="J25" s="39">
        <f>IF($G25="","",COUNTIFS(tDrugUse[[Date]],"&gt;="&amp;DStart,tDrugUse[[Date]],"&lt;="&amp;DEnd,tDrugUse[[Pen ID]],FPen,tDrugUse[[Batch ID]],FBatch,tDrugUse[[Animal Type]],FAnimal,tDrugUse[[Drug Name]],$G25))</f>
        <v/>
      </c>
      <c r="K25" s="36">
        <f>IF($G25="","",IFERROR(INDEX(tDrugs[[Stock Unit]],MATCH($G25,tDrugs[[Drug Name]],0))&amp;"",""))</f>
        <v/>
      </c>
    </row>
    <row r="26">
      <c r="A26" s="27">
        <f>IFERROR(INDEX(tFeedTypes[[Feed Type]],20)&amp;"","")</f>
        <v/>
      </c>
      <c r="B26" s="28">
        <f>IF($A26="","",SUMIFS(tFeedIss[[Quantity Issued in kg]],tFeedIss[[Date]],"&gt;="&amp;DStart,tFeedIss[[Date]],"&lt;="&amp;DEnd,tFeedIss[[Pen ID]],FPen,tFeedIss[[Batch ID]],FBatch,tFeedIss[[Animal Type]],FAnimal,tFeedIss[[Feed Type]],$A26))</f>
        <v/>
      </c>
      <c r="C26" s="29">
        <f>IF($A26="","",SUMIFS(tFeedIss[[Total Cost]],tFeedIss[[Date]],"&gt;="&amp;DStart,tFeedIss[[Date]],"&lt;="&amp;DEnd,tFeedIss[[Pen ID]],FPen,tFeedIss[[Batch ID]],FBatch,tFeedIss[[Animal Type]],FAnimal,tFeedIss[[Feed Type]],$A26))</f>
        <v/>
      </c>
      <c r="D26" s="39">
        <f>IF($A26="","",COUNTIFS(tFeedIss[[Date]],"&gt;="&amp;DStart,tFeedIss[[Date]],"&lt;="&amp;DEnd,tFeedIss[[Pen ID]],FPen,tFeedIss[[Batch ID]],FBatch,tFeedIss[[Animal Type]],FAnimal,tFeedIss[[Feed Type]],$A26))</f>
        <v/>
      </c>
      <c r="E26" s="40">
        <f>IF($A26="","",IFERROR(B26/B$28,0))</f>
        <v/>
      </c>
      <c r="G26" s="27">
        <f>IFERROR(INDEX(tDrugs[[Drug Name]],20)&amp;"","")</f>
        <v/>
      </c>
      <c r="H26" s="28">
        <f>IF($G26="","",SUMIFS(tDrugUse[[Quantity Used]],tDrugUse[[Date]],"&gt;="&amp;DStart,tDrugUse[[Date]],"&lt;="&amp;DEnd,tDrugUse[[Pen ID]],FPen,tDrugUse[[Batch ID]],FBatch,tDrugUse[[Animal Type]],FAnimal,tDrugUse[[Drug Name]],$G26))</f>
        <v/>
      </c>
      <c r="I26" s="29">
        <f>IF($G26="","",SUMIFS(tDrugUse[[Total Cost]],tDrugUse[[Date]],"&gt;="&amp;DStart,tDrugUse[[Date]],"&lt;="&amp;DEnd,tDrugUse[[Pen ID]],FPen,tDrugUse[[Batch ID]],FBatch,tDrugUse[[Animal Type]],FAnimal,tDrugUse[[Drug Name]],$G26))</f>
        <v/>
      </c>
      <c r="J26" s="39">
        <f>IF($G26="","",COUNTIFS(tDrugUse[[Date]],"&gt;="&amp;DStart,tDrugUse[[Date]],"&lt;="&amp;DEnd,tDrugUse[[Pen ID]],FPen,tDrugUse[[Batch ID]],FBatch,tDrugUse[[Animal Type]],FAnimal,tDrugUse[[Drug Name]],$G26))</f>
        <v/>
      </c>
      <c r="K26" s="36">
        <f>IF($G26="","",IFERROR(INDEX(tDrugs[[Stock Unit]],MATCH($G26,tDrugs[[Drug Name]],0))&amp;"",""))</f>
        <v/>
      </c>
    </row>
    <row r="27">
      <c r="A27" s="59" t="inlineStr">
        <is>
          <t>Not in list / blank</t>
        </is>
      </c>
      <c r="B27" s="28">
        <f>B28-SUM(B7:B26)</f>
        <v/>
      </c>
      <c r="C27" s="29">
        <f>C28-SUM(C7:C26)</f>
        <v/>
      </c>
      <c r="D27" s="39">
        <f>D28-SUM(D7:D26)</f>
        <v/>
      </c>
      <c r="E27" s="36" t="n"/>
      <c r="G27" s="59" t="inlineStr">
        <is>
          <t>Not in list / blank</t>
        </is>
      </c>
      <c r="H27" s="36" t="n"/>
      <c r="I27" s="29">
        <f>I28-SUM(I7:I26)</f>
        <v/>
      </c>
      <c r="J27" s="39">
        <f>J28-SUM(J7:J26)</f>
        <v/>
      </c>
      <c r="K27" s="36" t="n"/>
    </row>
    <row r="28">
      <c r="A28" s="32" t="inlineStr">
        <is>
          <t>TOTAL</t>
        </is>
      </c>
      <c r="B28" s="33">
        <f>SUMIFS(tFeedIss[[Quantity Issued in kg]],tFeedIss[[Date]],"&gt;="&amp;DStart,tFeedIss[[Date]],"&lt;="&amp;DEnd,tFeedIss[[Pen ID]],FPen,tFeedIss[[Batch ID]],FBatch,tFeedIss[[Animal Type]],FAnimal)</f>
        <v/>
      </c>
      <c r="C28" s="34">
        <f>SUMIFS(tFeedIss[[Total Cost]],tFeedIss[[Date]],"&gt;="&amp;DStart,tFeedIss[[Date]],"&lt;="&amp;DEnd,tFeedIss[[Pen ID]],FPen,tFeedIss[[Batch ID]],FBatch,tFeedIss[[Animal Type]],FAnimal)</f>
        <v/>
      </c>
      <c r="D28" s="37">
        <f>COUNTIFS(tFeedIss[[Date]],"&gt;="&amp;DStart,tFeedIss[[Date]],"&lt;="&amp;DEnd,tFeedIss[[Pen ID]],FPen,tFeedIss[[Batch ID]],FBatch,tFeedIss[[Animal Type]],FAnimal)</f>
        <v/>
      </c>
      <c r="E28" s="35" t="n"/>
      <c r="G28" s="32" t="inlineStr">
        <is>
          <t>TOTAL</t>
        </is>
      </c>
      <c r="H28" s="35" t="n"/>
      <c r="I28" s="34">
        <f>SUMIFS(tDrugUse[[Total Cost]],tDrugUse[[Date]],"&gt;="&amp;DStart,tDrugUse[[Date]],"&lt;="&amp;DEnd,tDrugUse[[Pen ID]],FPen,tDrugUse[[Batch ID]],FBatch,tDrugUse[[Animal Type]],FAnimal)</f>
        <v/>
      </c>
      <c r="J28" s="37">
        <f>COUNTIFS(tDrugUse[[Date]],"&gt;="&amp;DStart,tDrugUse[[Date]],"&lt;="&amp;DEnd,tDrugUse[[Pen ID]],FPen,tDrugUse[[Batch ID]],FBatch,tDrugUse[[Animal Type]],FAnimal)</f>
        <v/>
      </c>
      <c r="K28" s="35" t="n"/>
    </row>
    <row r="31">
      <c r="A31" s="25" t="inlineStr">
        <is>
          <t>MORTALITY BY CAUSE</t>
        </is>
      </c>
      <c r="G31" s="25" t="inlineStr">
        <is>
          <t>SALES BY PRODUCT</t>
        </is>
      </c>
    </row>
    <row r="32" ht="30" customHeight="1">
      <c r="A32" s="26" t="inlineStr">
        <is>
          <t>Cause</t>
        </is>
      </c>
      <c r="B32" s="26" t="inlineStr">
        <is>
          <t>Deaths</t>
        </is>
      </c>
      <c r="C32" s="26" t="inlineStr">
        <is>
          <t>Records</t>
        </is>
      </c>
      <c r="D32" s="26" t="inlineStr">
        <is>
          <t>% of deaths</t>
        </is>
      </c>
      <c r="E32" s="26" t="inlineStr"/>
      <c r="G32" s="26" t="inlineStr">
        <is>
          <t>Product</t>
        </is>
      </c>
      <c r="H32" s="26" t="inlineStr">
        <is>
          <t>Qty Sold</t>
        </is>
      </c>
      <c r="I32" s="26" t="inlineStr">
        <is>
          <t>Revenue</t>
        </is>
      </c>
      <c r="J32" s="26" t="inlineStr">
        <is>
          <t>Sales (records)</t>
        </is>
      </c>
      <c r="K32" s="26" t="inlineStr">
        <is>
          <t>Unit</t>
        </is>
      </c>
    </row>
    <row r="33">
      <c r="A33" s="27">
        <f>IFERROR(INDEX(tCauses[[Mortality Cause]],1)&amp;"","")</f>
        <v/>
      </c>
      <c r="B33" s="39">
        <f>IF($A33="","",SUMIFS(tMort[[Number of Deaths]],tMort[[Date]],"&gt;="&amp;DStart,tMort[[Date]],"&lt;="&amp;DEnd,tMort[[Pen ID]],FPen,tMort[[Batch ID]],FBatch,tMort[[Animal Type]],FAnimal,tMort[[Suspected/Recorded Cause]],$A33))</f>
        <v/>
      </c>
      <c r="C33" s="39">
        <f>IF($A33="","",COUNTIFS(tMort[[Date]],"&gt;="&amp;DStart,tMort[[Date]],"&lt;="&amp;DEnd,tMort[[Pen ID]],FPen,tMort[[Batch ID]],FBatch,tMort[[Animal Type]],FAnimal,tMort[[Suspected/Recorded Cause]],$A33))</f>
        <v/>
      </c>
      <c r="D33" s="40">
        <f>IF($A33="","",IFERROR(B33/B$49,0))</f>
        <v/>
      </c>
      <c r="G33" s="27">
        <f>IFERROR(INDEX(tProducts[[Product]],1)&amp;"","")</f>
        <v/>
      </c>
      <c r="H33" s="28">
        <f>IF($G33="","",SUMIFS(tSales[[Quantity Sold]],tSales[[Date]],"&gt;="&amp;DStart,tSales[[Date]],"&lt;="&amp;DEnd,tSales[[Pen ID]],FPen,tSales[[Batch ID]],FBatch,tSales[[Animal Type]],FAnimal,tSales[[Product]],$G33))</f>
        <v/>
      </c>
      <c r="I33" s="29">
        <f>IF($G33="","",SUMIFS(tSales[[Total Revenue]],tSales[[Date]],"&gt;="&amp;DStart,tSales[[Date]],"&lt;="&amp;DEnd,tSales[[Pen ID]],FPen,tSales[[Batch ID]],FBatch,tSales[[Animal Type]],FAnimal,tSales[[Product]],$G33))</f>
        <v/>
      </c>
      <c r="J33" s="39">
        <f>IF($G33="","",COUNTIFS(tSales[[Date]],"&gt;="&amp;DStart,tSales[[Date]],"&lt;="&amp;DEnd,tSales[[Pen ID]],FPen,tSales[[Batch ID]],FBatch,tSales[[Animal Type]],FAnimal,tSales[[Product]],$G33))</f>
        <v/>
      </c>
      <c r="K33" s="36">
        <f>IF($G33="","",IFERROR(INDEX(tProducts[[Sale Unit]],MATCH($G33,tProducts[[Product]],0))&amp;"",""))</f>
        <v/>
      </c>
    </row>
    <row r="34">
      <c r="A34" s="27">
        <f>IFERROR(INDEX(tCauses[[Mortality Cause]],2)&amp;"","")</f>
        <v/>
      </c>
      <c r="B34" s="39">
        <f>IF($A34="","",SUMIFS(tMort[[Number of Deaths]],tMort[[Date]],"&gt;="&amp;DStart,tMort[[Date]],"&lt;="&amp;DEnd,tMort[[Pen ID]],FPen,tMort[[Batch ID]],FBatch,tMort[[Animal Type]],FAnimal,tMort[[Suspected/Recorded Cause]],$A34))</f>
        <v/>
      </c>
      <c r="C34" s="39">
        <f>IF($A34="","",COUNTIFS(tMort[[Date]],"&gt;="&amp;DStart,tMort[[Date]],"&lt;="&amp;DEnd,tMort[[Pen ID]],FPen,tMort[[Batch ID]],FBatch,tMort[[Animal Type]],FAnimal,tMort[[Suspected/Recorded Cause]],$A34))</f>
        <v/>
      </c>
      <c r="D34" s="40">
        <f>IF($A34="","",IFERROR(B34/B$49,0))</f>
        <v/>
      </c>
      <c r="G34" s="27">
        <f>IFERROR(INDEX(tProducts[[Product]],2)&amp;"","")</f>
        <v/>
      </c>
      <c r="H34" s="28">
        <f>IF($G34="","",SUMIFS(tSales[[Quantity Sold]],tSales[[Date]],"&gt;="&amp;DStart,tSales[[Date]],"&lt;="&amp;DEnd,tSales[[Pen ID]],FPen,tSales[[Batch ID]],FBatch,tSales[[Animal Type]],FAnimal,tSales[[Product]],$G34))</f>
        <v/>
      </c>
      <c r="I34" s="29">
        <f>IF($G34="","",SUMIFS(tSales[[Total Revenue]],tSales[[Date]],"&gt;="&amp;DStart,tSales[[Date]],"&lt;="&amp;DEnd,tSales[[Pen ID]],FPen,tSales[[Batch ID]],FBatch,tSales[[Animal Type]],FAnimal,tSales[[Product]],$G34))</f>
        <v/>
      </c>
      <c r="J34" s="39">
        <f>IF($G34="","",COUNTIFS(tSales[[Date]],"&gt;="&amp;DStart,tSales[[Date]],"&lt;="&amp;DEnd,tSales[[Pen ID]],FPen,tSales[[Batch ID]],FBatch,tSales[[Animal Type]],FAnimal,tSales[[Product]],$G34))</f>
        <v/>
      </c>
      <c r="K34" s="36">
        <f>IF($G34="","",IFERROR(INDEX(tProducts[[Sale Unit]],MATCH($G34,tProducts[[Product]],0))&amp;"",""))</f>
        <v/>
      </c>
    </row>
    <row r="35">
      <c r="A35" s="27">
        <f>IFERROR(INDEX(tCauses[[Mortality Cause]],3)&amp;"","")</f>
        <v/>
      </c>
      <c r="B35" s="39">
        <f>IF($A35="","",SUMIFS(tMort[[Number of Deaths]],tMort[[Date]],"&gt;="&amp;DStart,tMort[[Date]],"&lt;="&amp;DEnd,tMort[[Pen ID]],FPen,tMort[[Batch ID]],FBatch,tMort[[Animal Type]],FAnimal,tMort[[Suspected/Recorded Cause]],$A35))</f>
        <v/>
      </c>
      <c r="C35" s="39">
        <f>IF($A35="","",COUNTIFS(tMort[[Date]],"&gt;="&amp;DStart,tMort[[Date]],"&lt;="&amp;DEnd,tMort[[Pen ID]],FPen,tMort[[Batch ID]],FBatch,tMort[[Animal Type]],FAnimal,tMort[[Suspected/Recorded Cause]],$A35))</f>
        <v/>
      </c>
      <c r="D35" s="40">
        <f>IF($A35="","",IFERROR(B35/B$49,0))</f>
        <v/>
      </c>
      <c r="G35" s="27">
        <f>IFERROR(INDEX(tProducts[[Product]],3)&amp;"","")</f>
        <v/>
      </c>
      <c r="H35" s="28">
        <f>IF($G35="","",SUMIFS(tSales[[Quantity Sold]],tSales[[Date]],"&gt;="&amp;DStart,tSales[[Date]],"&lt;="&amp;DEnd,tSales[[Pen ID]],FPen,tSales[[Batch ID]],FBatch,tSales[[Animal Type]],FAnimal,tSales[[Product]],$G35))</f>
        <v/>
      </c>
      <c r="I35" s="29">
        <f>IF($G35="","",SUMIFS(tSales[[Total Revenue]],tSales[[Date]],"&gt;="&amp;DStart,tSales[[Date]],"&lt;="&amp;DEnd,tSales[[Pen ID]],FPen,tSales[[Batch ID]],FBatch,tSales[[Animal Type]],FAnimal,tSales[[Product]],$G35))</f>
        <v/>
      </c>
      <c r="J35" s="39">
        <f>IF($G35="","",COUNTIFS(tSales[[Date]],"&gt;="&amp;DStart,tSales[[Date]],"&lt;="&amp;DEnd,tSales[[Pen ID]],FPen,tSales[[Batch ID]],FBatch,tSales[[Animal Type]],FAnimal,tSales[[Product]],$G35))</f>
        <v/>
      </c>
      <c r="K35" s="36">
        <f>IF($G35="","",IFERROR(INDEX(tProducts[[Sale Unit]],MATCH($G35,tProducts[[Product]],0))&amp;"",""))</f>
        <v/>
      </c>
    </row>
    <row r="36">
      <c r="A36" s="27">
        <f>IFERROR(INDEX(tCauses[[Mortality Cause]],4)&amp;"","")</f>
        <v/>
      </c>
      <c r="B36" s="39">
        <f>IF($A36="","",SUMIFS(tMort[[Number of Deaths]],tMort[[Date]],"&gt;="&amp;DStart,tMort[[Date]],"&lt;="&amp;DEnd,tMort[[Pen ID]],FPen,tMort[[Batch ID]],FBatch,tMort[[Animal Type]],FAnimal,tMort[[Suspected/Recorded Cause]],$A36))</f>
        <v/>
      </c>
      <c r="C36" s="39">
        <f>IF($A36="","",COUNTIFS(tMort[[Date]],"&gt;="&amp;DStart,tMort[[Date]],"&lt;="&amp;DEnd,tMort[[Pen ID]],FPen,tMort[[Batch ID]],FBatch,tMort[[Animal Type]],FAnimal,tMort[[Suspected/Recorded Cause]],$A36))</f>
        <v/>
      </c>
      <c r="D36" s="40">
        <f>IF($A36="","",IFERROR(B36/B$49,0))</f>
        <v/>
      </c>
      <c r="G36" s="27">
        <f>IFERROR(INDEX(tProducts[[Product]],4)&amp;"","")</f>
        <v/>
      </c>
      <c r="H36" s="28">
        <f>IF($G36="","",SUMIFS(tSales[[Quantity Sold]],tSales[[Date]],"&gt;="&amp;DStart,tSales[[Date]],"&lt;="&amp;DEnd,tSales[[Pen ID]],FPen,tSales[[Batch ID]],FBatch,tSales[[Animal Type]],FAnimal,tSales[[Product]],$G36))</f>
        <v/>
      </c>
      <c r="I36" s="29">
        <f>IF($G36="","",SUMIFS(tSales[[Total Revenue]],tSales[[Date]],"&gt;="&amp;DStart,tSales[[Date]],"&lt;="&amp;DEnd,tSales[[Pen ID]],FPen,tSales[[Batch ID]],FBatch,tSales[[Animal Type]],FAnimal,tSales[[Product]],$G36))</f>
        <v/>
      </c>
      <c r="J36" s="39">
        <f>IF($G36="","",COUNTIFS(tSales[[Date]],"&gt;="&amp;DStart,tSales[[Date]],"&lt;="&amp;DEnd,tSales[[Pen ID]],FPen,tSales[[Batch ID]],FBatch,tSales[[Animal Type]],FAnimal,tSales[[Product]],$G36))</f>
        <v/>
      </c>
      <c r="K36" s="36">
        <f>IF($G36="","",IFERROR(INDEX(tProducts[[Sale Unit]],MATCH($G36,tProducts[[Product]],0))&amp;"",""))</f>
        <v/>
      </c>
    </row>
    <row r="37">
      <c r="A37" s="27">
        <f>IFERROR(INDEX(tCauses[[Mortality Cause]],5)&amp;"","")</f>
        <v/>
      </c>
      <c r="B37" s="39">
        <f>IF($A37="","",SUMIFS(tMort[[Number of Deaths]],tMort[[Date]],"&gt;="&amp;DStart,tMort[[Date]],"&lt;="&amp;DEnd,tMort[[Pen ID]],FPen,tMort[[Batch ID]],FBatch,tMort[[Animal Type]],FAnimal,tMort[[Suspected/Recorded Cause]],$A37))</f>
        <v/>
      </c>
      <c r="C37" s="39">
        <f>IF($A37="","",COUNTIFS(tMort[[Date]],"&gt;="&amp;DStart,tMort[[Date]],"&lt;="&amp;DEnd,tMort[[Pen ID]],FPen,tMort[[Batch ID]],FBatch,tMort[[Animal Type]],FAnimal,tMort[[Suspected/Recorded Cause]],$A37))</f>
        <v/>
      </c>
      <c r="D37" s="40">
        <f>IF($A37="","",IFERROR(B37/B$49,0))</f>
        <v/>
      </c>
      <c r="G37" s="27">
        <f>IFERROR(INDEX(tProducts[[Product]],5)&amp;"","")</f>
        <v/>
      </c>
      <c r="H37" s="28">
        <f>IF($G37="","",SUMIFS(tSales[[Quantity Sold]],tSales[[Date]],"&gt;="&amp;DStart,tSales[[Date]],"&lt;="&amp;DEnd,tSales[[Pen ID]],FPen,tSales[[Batch ID]],FBatch,tSales[[Animal Type]],FAnimal,tSales[[Product]],$G37))</f>
        <v/>
      </c>
      <c r="I37" s="29">
        <f>IF($G37="","",SUMIFS(tSales[[Total Revenue]],tSales[[Date]],"&gt;="&amp;DStart,tSales[[Date]],"&lt;="&amp;DEnd,tSales[[Pen ID]],FPen,tSales[[Batch ID]],FBatch,tSales[[Animal Type]],FAnimal,tSales[[Product]],$G37))</f>
        <v/>
      </c>
      <c r="J37" s="39">
        <f>IF($G37="","",COUNTIFS(tSales[[Date]],"&gt;="&amp;DStart,tSales[[Date]],"&lt;="&amp;DEnd,tSales[[Pen ID]],FPen,tSales[[Batch ID]],FBatch,tSales[[Animal Type]],FAnimal,tSales[[Product]],$G37))</f>
        <v/>
      </c>
      <c r="K37" s="36">
        <f>IF($G37="","",IFERROR(INDEX(tProducts[[Sale Unit]],MATCH($G37,tProducts[[Product]],0))&amp;"",""))</f>
        <v/>
      </c>
    </row>
    <row r="38">
      <c r="A38" s="27">
        <f>IFERROR(INDEX(tCauses[[Mortality Cause]],6)&amp;"","")</f>
        <v/>
      </c>
      <c r="B38" s="39">
        <f>IF($A38="","",SUMIFS(tMort[[Number of Deaths]],tMort[[Date]],"&gt;="&amp;DStart,tMort[[Date]],"&lt;="&amp;DEnd,tMort[[Pen ID]],FPen,tMort[[Batch ID]],FBatch,tMort[[Animal Type]],FAnimal,tMort[[Suspected/Recorded Cause]],$A38))</f>
        <v/>
      </c>
      <c r="C38" s="39">
        <f>IF($A38="","",COUNTIFS(tMort[[Date]],"&gt;="&amp;DStart,tMort[[Date]],"&lt;="&amp;DEnd,tMort[[Pen ID]],FPen,tMort[[Batch ID]],FBatch,tMort[[Animal Type]],FAnimal,tMort[[Suspected/Recorded Cause]],$A38))</f>
        <v/>
      </c>
      <c r="D38" s="40">
        <f>IF($A38="","",IFERROR(B38/B$49,0))</f>
        <v/>
      </c>
      <c r="G38" s="27">
        <f>IFERROR(INDEX(tProducts[[Product]],6)&amp;"","")</f>
        <v/>
      </c>
      <c r="H38" s="28">
        <f>IF($G38="","",SUMIFS(tSales[[Quantity Sold]],tSales[[Date]],"&gt;="&amp;DStart,tSales[[Date]],"&lt;="&amp;DEnd,tSales[[Pen ID]],FPen,tSales[[Batch ID]],FBatch,tSales[[Animal Type]],FAnimal,tSales[[Product]],$G38))</f>
        <v/>
      </c>
      <c r="I38" s="29">
        <f>IF($G38="","",SUMIFS(tSales[[Total Revenue]],tSales[[Date]],"&gt;="&amp;DStart,tSales[[Date]],"&lt;="&amp;DEnd,tSales[[Pen ID]],FPen,tSales[[Batch ID]],FBatch,tSales[[Animal Type]],FAnimal,tSales[[Product]],$G38))</f>
        <v/>
      </c>
      <c r="J38" s="39">
        <f>IF($G38="","",COUNTIFS(tSales[[Date]],"&gt;="&amp;DStart,tSales[[Date]],"&lt;="&amp;DEnd,tSales[[Pen ID]],FPen,tSales[[Batch ID]],FBatch,tSales[[Animal Type]],FAnimal,tSales[[Product]],$G38))</f>
        <v/>
      </c>
      <c r="K38" s="36">
        <f>IF($G38="","",IFERROR(INDEX(tProducts[[Sale Unit]],MATCH($G38,tProducts[[Product]],0))&amp;"",""))</f>
        <v/>
      </c>
    </row>
    <row r="39">
      <c r="A39" s="27">
        <f>IFERROR(INDEX(tCauses[[Mortality Cause]],7)&amp;"","")</f>
        <v/>
      </c>
      <c r="B39" s="39">
        <f>IF($A39="","",SUMIFS(tMort[[Number of Deaths]],tMort[[Date]],"&gt;="&amp;DStart,tMort[[Date]],"&lt;="&amp;DEnd,tMort[[Pen ID]],FPen,tMort[[Batch ID]],FBatch,tMort[[Animal Type]],FAnimal,tMort[[Suspected/Recorded Cause]],$A39))</f>
        <v/>
      </c>
      <c r="C39" s="39">
        <f>IF($A39="","",COUNTIFS(tMort[[Date]],"&gt;="&amp;DStart,tMort[[Date]],"&lt;="&amp;DEnd,tMort[[Pen ID]],FPen,tMort[[Batch ID]],FBatch,tMort[[Animal Type]],FAnimal,tMort[[Suspected/Recorded Cause]],$A39))</f>
        <v/>
      </c>
      <c r="D39" s="40">
        <f>IF($A39="","",IFERROR(B39/B$49,0))</f>
        <v/>
      </c>
      <c r="G39" s="27">
        <f>IFERROR(INDEX(tProducts[[Product]],7)&amp;"","")</f>
        <v/>
      </c>
      <c r="H39" s="28">
        <f>IF($G39="","",SUMIFS(tSales[[Quantity Sold]],tSales[[Date]],"&gt;="&amp;DStart,tSales[[Date]],"&lt;="&amp;DEnd,tSales[[Pen ID]],FPen,tSales[[Batch ID]],FBatch,tSales[[Animal Type]],FAnimal,tSales[[Product]],$G39))</f>
        <v/>
      </c>
      <c r="I39" s="29">
        <f>IF($G39="","",SUMIFS(tSales[[Total Revenue]],tSales[[Date]],"&gt;="&amp;DStart,tSales[[Date]],"&lt;="&amp;DEnd,tSales[[Pen ID]],FPen,tSales[[Batch ID]],FBatch,tSales[[Animal Type]],FAnimal,tSales[[Product]],$G39))</f>
        <v/>
      </c>
      <c r="J39" s="39">
        <f>IF($G39="","",COUNTIFS(tSales[[Date]],"&gt;="&amp;DStart,tSales[[Date]],"&lt;="&amp;DEnd,tSales[[Pen ID]],FPen,tSales[[Batch ID]],FBatch,tSales[[Animal Type]],FAnimal,tSales[[Product]],$G39))</f>
        <v/>
      </c>
      <c r="K39" s="36">
        <f>IF($G39="","",IFERROR(INDEX(tProducts[[Sale Unit]],MATCH($G39,tProducts[[Product]],0))&amp;"",""))</f>
        <v/>
      </c>
    </row>
    <row r="40">
      <c r="A40" s="27">
        <f>IFERROR(INDEX(tCauses[[Mortality Cause]],8)&amp;"","")</f>
        <v/>
      </c>
      <c r="B40" s="39">
        <f>IF($A40="","",SUMIFS(tMort[[Number of Deaths]],tMort[[Date]],"&gt;="&amp;DStart,tMort[[Date]],"&lt;="&amp;DEnd,tMort[[Pen ID]],FPen,tMort[[Batch ID]],FBatch,tMort[[Animal Type]],FAnimal,tMort[[Suspected/Recorded Cause]],$A40))</f>
        <v/>
      </c>
      <c r="C40" s="39">
        <f>IF($A40="","",COUNTIFS(tMort[[Date]],"&gt;="&amp;DStart,tMort[[Date]],"&lt;="&amp;DEnd,tMort[[Pen ID]],FPen,tMort[[Batch ID]],FBatch,tMort[[Animal Type]],FAnimal,tMort[[Suspected/Recorded Cause]],$A40))</f>
        <v/>
      </c>
      <c r="D40" s="40">
        <f>IF($A40="","",IFERROR(B40/B$49,0))</f>
        <v/>
      </c>
      <c r="G40" s="27">
        <f>IFERROR(INDEX(tProducts[[Product]],8)&amp;"","")</f>
        <v/>
      </c>
      <c r="H40" s="28">
        <f>IF($G40="","",SUMIFS(tSales[[Quantity Sold]],tSales[[Date]],"&gt;="&amp;DStart,tSales[[Date]],"&lt;="&amp;DEnd,tSales[[Pen ID]],FPen,tSales[[Batch ID]],FBatch,tSales[[Animal Type]],FAnimal,tSales[[Product]],$G40))</f>
        <v/>
      </c>
      <c r="I40" s="29">
        <f>IF($G40="","",SUMIFS(tSales[[Total Revenue]],tSales[[Date]],"&gt;="&amp;DStart,tSales[[Date]],"&lt;="&amp;DEnd,tSales[[Pen ID]],FPen,tSales[[Batch ID]],FBatch,tSales[[Animal Type]],FAnimal,tSales[[Product]],$G40))</f>
        <v/>
      </c>
      <c r="J40" s="39">
        <f>IF($G40="","",COUNTIFS(tSales[[Date]],"&gt;="&amp;DStart,tSales[[Date]],"&lt;="&amp;DEnd,tSales[[Pen ID]],FPen,tSales[[Batch ID]],FBatch,tSales[[Animal Type]],FAnimal,tSales[[Product]],$G40))</f>
        <v/>
      </c>
      <c r="K40" s="36">
        <f>IF($G40="","",IFERROR(INDEX(tProducts[[Sale Unit]],MATCH($G40,tProducts[[Product]],0))&amp;"",""))</f>
        <v/>
      </c>
    </row>
    <row r="41">
      <c r="A41" s="27">
        <f>IFERROR(INDEX(tCauses[[Mortality Cause]],9)&amp;"","")</f>
        <v/>
      </c>
      <c r="B41" s="39">
        <f>IF($A41="","",SUMIFS(tMort[[Number of Deaths]],tMort[[Date]],"&gt;="&amp;DStart,tMort[[Date]],"&lt;="&amp;DEnd,tMort[[Pen ID]],FPen,tMort[[Batch ID]],FBatch,tMort[[Animal Type]],FAnimal,tMort[[Suspected/Recorded Cause]],$A41))</f>
        <v/>
      </c>
      <c r="C41" s="39">
        <f>IF($A41="","",COUNTIFS(tMort[[Date]],"&gt;="&amp;DStart,tMort[[Date]],"&lt;="&amp;DEnd,tMort[[Pen ID]],FPen,tMort[[Batch ID]],FBatch,tMort[[Animal Type]],FAnimal,tMort[[Suspected/Recorded Cause]],$A41))</f>
        <v/>
      </c>
      <c r="D41" s="40">
        <f>IF($A41="","",IFERROR(B41/B$49,0))</f>
        <v/>
      </c>
      <c r="G41" s="27">
        <f>IFERROR(INDEX(tProducts[[Product]],9)&amp;"","")</f>
        <v/>
      </c>
      <c r="H41" s="28">
        <f>IF($G41="","",SUMIFS(tSales[[Quantity Sold]],tSales[[Date]],"&gt;="&amp;DStart,tSales[[Date]],"&lt;="&amp;DEnd,tSales[[Pen ID]],FPen,tSales[[Batch ID]],FBatch,tSales[[Animal Type]],FAnimal,tSales[[Product]],$G41))</f>
        <v/>
      </c>
      <c r="I41" s="29">
        <f>IF($G41="","",SUMIFS(tSales[[Total Revenue]],tSales[[Date]],"&gt;="&amp;DStart,tSales[[Date]],"&lt;="&amp;DEnd,tSales[[Pen ID]],FPen,tSales[[Batch ID]],FBatch,tSales[[Animal Type]],FAnimal,tSales[[Product]],$G41))</f>
        <v/>
      </c>
      <c r="J41" s="39">
        <f>IF($G41="","",COUNTIFS(tSales[[Date]],"&gt;="&amp;DStart,tSales[[Date]],"&lt;="&amp;DEnd,tSales[[Pen ID]],FPen,tSales[[Batch ID]],FBatch,tSales[[Animal Type]],FAnimal,tSales[[Product]],$G41))</f>
        <v/>
      </c>
      <c r="K41" s="36">
        <f>IF($G41="","",IFERROR(INDEX(tProducts[[Sale Unit]],MATCH($G41,tProducts[[Product]],0))&amp;"",""))</f>
        <v/>
      </c>
    </row>
    <row r="42">
      <c r="A42" s="27">
        <f>IFERROR(INDEX(tCauses[[Mortality Cause]],10)&amp;"","")</f>
        <v/>
      </c>
      <c r="B42" s="39">
        <f>IF($A42="","",SUMIFS(tMort[[Number of Deaths]],tMort[[Date]],"&gt;="&amp;DStart,tMort[[Date]],"&lt;="&amp;DEnd,tMort[[Pen ID]],FPen,tMort[[Batch ID]],FBatch,tMort[[Animal Type]],FAnimal,tMort[[Suspected/Recorded Cause]],$A42))</f>
        <v/>
      </c>
      <c r="C42" s="39">
        <f>IF($A42="","",COUNTIFS(tMort[[Date]],"&gt;="&amp;DStart,tMort[[Date]],"&lt;="&amp;DEnd,tMort[[Pen ID]],FPen,tMort[[Batch ID]],FBatch,tMort[[Animal Type]],FAnimal,tMort[[Suspected/Recorded Cause]],$A42))</f>
        <v/>
      </c>
      <c r="D42" s="40">
        <f>IF($A42="","",IFERROR(B42/B$49,0))</f>
        <v/>
      </c>
      <c r="G42" s="27">
        <f>IFERROR(INDEX(tProducts[[Product]],10)&amp;"","")</f>
        <v/>
      </c>
      <c r="H42" s="28">
        <f>IF($G42="","",SUMIFS(tSales[[Quantity Sold]],tSales[[Date]],"&gt;="&amp;DStart,tSales[[Date]],"&lt;="&amp;DEnd,tSales[[Pen ID]],FPen,tSales[[Batch ID]],FBatch,tSales[[Animal Type]],FAnimal,tSales[[Product]],$G42))</f>
        <v/>
      </c>
      <c r="I42" s="29">
        <f>IF($G42="","",SUMIFS(tSales[[Total Revenue]],tSales[[Date]],"&gt;="&amp;DStart,tSales[[Date]],"&lt;="&amp;DEnd,tSales[[Pen ID]],FPen,tSales[[Batch ID]],FBatch,tSales[[Animal Type]],FAnimal,tSales[[Product]],$G42))</f>
        <v/>
      </c>
      <c r="J42" s="39">
        <f>IF($G42="","",COUNTIFS(tSales[[Date]],"&gt;="&amp;DStart,tSales[[Date]],"&lt;="&amp;DEnd,tSales[[Pen ID]],FPen,tSales[[Batch ID]],FBatch,tSales[[Animal Type]],FAnimal,tSales[[Product]],$G42))</f>
        <v/>
      </c>
      <c r="K42" s="36">
        <f>IF($G42="","",IFERROR(INDEX(tProducts[[Sale Unit]],MATCH($G42,tProducts[[Product]],0))&amp;"",""))</f>
        <v/>
      </c>
    </row>
    <row r="43">
      <c r="A43" s="27">
        <f>IFERROR(INDEX(tCauses[[Mortality Cause]],11)&amp;"","")</f>
        <v/>
      </c>
      <c r="B43" s="39">
        <f>IF($A43="","",SUMIFS(tMort[[Number of Deaths]],tMort[[Date]],"&gt;="&amp;DStart,tMort[[Date]],"&lt;="&amp;DEnd,tMort[[Pen ID]],FPen,tMort[[Batch ID]],FBatch,tMort[[Animal Type]],FAnimal,tMort[[Suspected/Recorded Cause]],$A43))</f>
        <v/>
      </c>
      <c r="C43" s="39">
        <f>IF($A43="","",COUNTIFS(tMort[[Date]],"&gt;="&amp;DStart,tMort[[Date]],"&lt;="&amp;DEnd,tMort[[Pen ID]],FPen,tMort[[Batch ID]],FBatch,tMort[[Animal Type]],FAnimal,tMort[[Suspected/Recorded Cause]],$A43))</f>
        <v/>
      </c>
      <c r="D43" s="40">
        <f>IF($A43="","",IFERROR(B43/B$49,0))</f>
        <v/>
      </c>
      <c r="G43" s="27">
        <f>IFERROR(INDEX(tProducts[[Product]],11)&amp;"","")</f>
        <v/>
      </c>
      <c r="H43" s="28">
        <f>IF($G43="","",SUMIFS(tSales[[Quantity Sold]],tSales[[Date]],"&gt;="&amp;DStart,tSales[[Date]],"&lt;="&amp;DEnd,tSales[[Pen ID]],FPen,tSales[[Batch ID]],FBatch,tSales[[Animal Type]],FAnimal,tSales[[Product]],$G43))</f>
        <v/>
      </c>
      <c r="I43" s="29">
        <f>IF($G43="","",SUMIFS(tSales[[Total Revenue]],tSales[[Date]],"&gt;="&amp;DStart,tSales[[Date]],"&lt;="&amp;DEnd,tSales[[Pen ID]],FPen,tSales[[Batch ID]],FBatch,tSales[[Animal Type]],FAnimal,tSales[[Product]],$G43))</f>
        <v/>
      </c>
      <c r="J43" s="39">
        <f>IF($G43="","",COUNTIFS(tSales[[Date]],"&gt;="&amp;DStart,tSales[[Date]],"&lt;="&amp;DEnd,tSales[[Pen ID]],FPen,tSales[[Batch ID]],FBatch,tSales[[Animal Type]],FAnimal,tSales[[Product]],$G43))</f>
        <v/>
      </c>
      <c r="K43" s="36">
        <f>IF($G43="","",IFERROR(INDEX(tProducts[[Sale Unit]],MATCH($G43,tProducts[[Product]],0))&amp;"",""))</f>
        <v/>
      </c>
    </row>
    <row r="44">
      <c r="A44" s="27">
        <f>IFERROR(INDEX(tCauses[[Mortality Cause]],12)&amp;"","")</f>
        <v/>
      </c>
      <c r="B44" s="39">
        <f>IF($A44="","",SUMIFS(tMort[[Number of Deaths]],tMort[[Date]],"&gt;="&amp;DStart,tMort[[Date]],"&lt;="&amp;DEnd,tMort[[Pen ID]],FPen,tMort[[Batch ID]],FBatch,tMort[[Animal Type]],FAnimal,tMort[[Suspected/Recorded Cause]],$A44))</f>
        <v/>
      </c>
      <c r="C44" s="39">
        <f>IF($A44="","",COUNTIFS(tMort[[Date]],"&gt;="&amp;DStart,tMort[[Date]],"&lt;="&amp;DEnd,tMort[[Pen ID]],FPen,tMort[[Batch ID]],FBatch,tMort[[Animal Type]],FAnimal,tMort[[Suspected/Recorded Cause]],$A44))</f>
        <v/>
      </c>
      <c r="D44" s="40">
        <f>IF($A44="","",IFERROR(B44/B$49,0))</f>
        <v/>
      </c>
      <c r="G44" s="27">
        <f>IFERROR(INDEX(tProducts[[Product]],12)&amp;"","")</f>
        <v/>
      </c>
      <c r="H44" s="28">
        <f>IF($G44="","",SUMIFS(tSales[[Quantity Sold]],tSales[[Date]],"&gt;="&amp;DStart,tSales[[Date]],"&lt;="&amp;DEnd,tSales[[Pen ID]],FPen,tSales[[Batch ID]],FBatch,tSales[[Animal Type]],FAnimal,tSales[[Product]],$G44))</f>
        <v/>
      </c>
      <c r="I44" s="29">
        <f>IF($G44="","",SUMIFS(tSales[[Total Revenue]],tSales[[Date]],"&gt;="&amp;DStart,tSales[[Date]],"&lt;="&amp;DEnd,tSales[[Pen ID]],FPen,tSales[[Batch ID]],FBatch,tSales[[Animal Type]],FAnimal,tSales[[Product]],$G44))</f>
        <v/>
      </c>
      <c r="J44" s="39">
        <f>IF($G44="","",COUNTIFS(tSales[[Date]],"&gt;="&amp;DStart,tSales[[Date]],"&lt;="&amp;DEnd,tSales[[Pen ID]],FPen,tSales[[Batch ID]],FBatch,tSales[[Animal Type]],FAnimal,tSales[[Product]],$G44))</f>
        <v/>
      </c>
      <c r="K44" s="36">
        <f>IF($G44="","",IFERROR(INDEX(tProducts[[Sale Unit]],MATCH($G44,tProducts[[Product]],0))&amp;"",""))</f>
        <v/>
      </c>
    </row>
    <row r="45">
      <c r="A45" s="27">
        <f>IFERROR(INDEX(tCauses[[Mortality Cause]],13)&amp;"","")</f>
        <v/>
      </c>
      <c r="B45" s="39">
        <f>IF($A45="","",SUMIFS(tMort[[Number of Deaths]],tMort[[Date]],"&gt;="&amp;DStart,tMort[[Date]],"&lt;="&amp;DEnd,tMort[[Pen ID]],FPen,tMort[[Batch ID]],FBatch,tMort[[Animal Type]],FAnimal,tMort[[Suspected/Recorded Cause]],$A45))</f>
        <v/>
      </c>
      <c r="C45" s="39">
        <f>IF($A45="","",COUNTIFS(tMort[[Date]],"&gt;="&amp;DStart,tMort[[Date]],"&lt;="&amp;DEnd,tMort[[Pen ID]],FPen,tMort[[Batch ID]],FBatch,tMort[[Animal Type]],FAnimal,tMort[[Suspected/Recorded Cause]],$A45))</f>
        <v/>
      </c>
      <c r="D45" s="40">
        <f>IF($A45="","",IFERROR(B45/B$49,0))</f>
        <v/>
      </c>
      <c r="G45" s="27">
        <f>IFERROR(INDEX(tProducts[[Product]],13)&amp;"","")</f>
        <v/>
      </c>
      <c r="H45" s="28">
        <f>IF($G45="","",SUMIFS(tSales[[Quantity Sold]],tSales[[Date]],"&gt;="&amp;DStart,tSales[[Date]],"&lt;="&amp;DEnd,tSales[[Pen ID]],FPen,tSales[[Batch ID]],FBatch,tSales[[Animal Type]],FAnimal,tSales[[Product]],$G45))</f>
        <v/>
      </c>
      <c r="I45" s="29">
        <f>IF($G45="","",SUMIFS(tSales[[Total Revenue]],tSales[[Date]],"&gt;="&amp;DStart,tSales[[Date]],"&lt;="&amp;DEnd,tSales[[Pen ID]],FPen,tSales[[Batch ID]],FBatch,tSales[[Animal Type]],FAnimal,tSales[[Product]],$G45))</f>
        <v/>
      </c>
      <c r="J45" s="39">
        <f>IF($G45="","",COUNTIFS(tSales[[Date]],"&gt;="&amp;DStart,tSales[[Date]],"&lt;="&amp;DEnd,tSales[[Pen ID]],FPen,tSales[[Batch ID]],FBatch,tSales[[Animal Type]],FAnimal,tSales[[Product]],$G45))</f>
        <v/>
      </c>
      <c r="K45" s="36">
        <f>IF($G45="","",IFERROR(INDEX(tProducts[[Sale Unit]],MATCH($G45,tProducts[[Product]],0))&amp;"",""))</f>
        <v/>
      </c>
    </row>
    <row r="46">
      <c r="A46" s="27">
        <f>IFERROR(INDEX(tCauses[[Mortality Cause]],14)&amp;"","")</f>
        <v/>
      </c>
      <c r="B46" s="39">
        <f>IF($A46="","",SUMIFS(tMort[[Number of Deaths]],tMort[[Date]],"&gt;="&amp;DStart,tMort[[Date]],"&lt;="&amp;DEnd,tMort[[Pen ID]],FPen,tMort[[Batch ID]],FBatch,tMort[[Animal Type]],FAnimal,tMort[[Suspected/Recorded Cause]],$A46))</f>
        <v/>
      </c>
      <c r="C46" s="39">
        <f>IF($A46="","",COUNTIFS(tMort[[Date]],"&gt;="&amp;DStart,tMort[[Date]],"&lt;="&amp;DEnd,tMort[[Pen ID]],FPen,tMort[[Batch ID]],FBatch,tMort[[Animal Type]],FAnimal,tMort[[Suspected/Recorded Cause]],$A46))</f>
        <v/>
      </c>
      <c r="D46" s="40">
        <f>IF($A46="","",IFERROR(B46/B$49,0))</f>
        <v/>
      </c>
      <c r="G46" s="27">
        <f>IFERROR(INDEX(tProducts[[Product]],14)&amp;"","")</f>
        <v/>
      </c>
      <c r="H46" s="28">
        <f>IF($G46="","",SUMIFS(tSales[[Quantity Sold]],tSales[[Date]],"&gt;="&amp;DStart,tSales[[Date]],"&lt;="&amp;DEnd,tSales[[Pen ID]],FPen,tSales[[Batch ID]],FBatch,tSales[[Animal Type]],FAnimal,tSales[[Product]],$G46))</f>
        <v/>
      </c>
      <c r="I46" s="29">
        <f>IF($G46="","",SUMIFS(tSales[[Total Revenue]],tSales[[Date]],"&gt;="&amp;DStart,tSales[[Date]],"&lt;="&amp;DEnd,tSales[[Pen ID]],FPen,tSales[[Batch ID]],FBatch,tSales[[Animal Type]],FAnimal,tSales[[Product]],$G46))</f>
        <v/>
      </c>
      <c r="J46" s="39">
        <f>IF($G46="","",COUNTIFS(tSales[[Date]],"&gt;="&amp;DStart,tSales[[Date]],"&lt;="&amp;DEnd,tSales[[Pen ID]],FPen,tSales[[Batch ID]],FBatch,tSales[[Animal Type]],FAnimal,tSales[[Product]],$G46))</f>
        <v/>
      </c>
      <c r="K46" s="36">
        <f>IF($G46="","",IFERROR(INDEX(tProducts[[Sale Unit]],MATCH($G46,tProducts[[Product]],0))&amp;"",""))</f>
        <v/>
      </c>
    </row>
    <row r="47">
      <c r="A47" s="27">
        <f>IFERROR(INDEX(tCauses[[Mortality Cause]],15)&amp;"","")</f>
        <v/>
      </c>
      <c r="B47" s="39">
        <f>IF($A47="","",SUMIFS(tMort[[Number of Deaths]],tMort[[Date]],"&gt;="&amp;DStart,tMort[[Date]],"&lt;="&amp;DEnd,tMort[[Pen ID]],FPen,tMort[[Batch ID]],FBatch,tMort[[Animal Type]],FAnimal,tMort[[Suspected/Recorded Cause]],$A47))</f>
        <v/>
      </c>
      <c r="C47" s="39">
        <f>IF($A47="","",COUNTIFS(tMort[[Date]],"&gt;="&amp;DStart,tMort[[Date]],"&lt;="&amp;DEnd,tMort[[Pen ID]],FPen,tMort[[Batch ID]],FBatch,tMort[[Animal Type]],FAnimal,tMort[[Suspected/Recorded Cause]],$A47))</f>
        <v/>
      </c>
      <c r="D47" s="40">
        <f>IF($A47="","",IFERROR(B47/B$49,0))</f>
        <v/>
      </c>
      <c r="G47" s="27">
        <f>IFERROR(INDEX(tProducts[[Product]],15)&amp;"","")</f>
        <v/>
      </c>
      <c r="H47" s="28">
        <f>IF($G47="","",SUMIFS(tSales[[Quantity Sold]],tSales[[Date]],"&gt;="&amp;DStart,tSales[[Date]],"&lt;="&amp;DEnd,tSales[[Pen ID]],FPen,tSales[[Batch ID]],FBatch,tSales[[Animal Type]],FAnimal,tSales[[Product]],$G47))</f>
        <v/>
      </c>
      <c r="I47" s="29">
        <f>IF($G47="","",SUMIFS(tSales[[Total Revenue]],tSales[[Date]],"&gt;="&amp;DStart,tSales[[Date]],"&lt;="&amp;DEnd,tSales[[Pen ID]],FPen,tSales[[Batch ID]],FBatch,tSales[[Animal Type]],FAnimal,tSales[[Product]],$G47))</f>
        <v/>
      </c>
      <c r="J47" s="39">
        <f>IF($G47="","",COUNTIFS(tSales[[Date]],"&gt;="&amp;DStart,tSales[[Date]],"&lt;="&amp;DEnd,tSales[[Pen ID]],FPen,tSales[[Batch ID]],FBatch,tSales[[Animal Type]],FAnimal,tSales[[Product]],$G47))</f>
        <v/>
      </c>
      <c r="K47" s="36">
        <f>IF($G47="","",IFERROR(INDEX(tProducts[[Sale Unit]],MATCH($G47,tProducts[[Product]],0))&amp;"",""))</f>
        <v/>
      </c>
    </row>
    <row r="48">
      <c r="A48" s="59" t="inlineStr">
        <is>
          <t>Not in list / blank</t>
        </is>
      </c>
      <c r="B48" s="39">
        <f>B49-SUM(B33:B47)</f>
        <v/>
      </c>
      <c r="C48" s="39">
        <f>C49-SUM(C33:C47)</f>
        <v/>
      </c>
      <c r="D48" s="36" t="n"/>
      <c r="G48" s="59" t="inlineStr">
        <is>
          <t>Not in list / blank</t>
        </is>
      </c>
      <c r="H48" s="36" t="n"/>
      <c r="I48" s="29">
        <f>I49-SUM(I33:I47)</f>
        <v/>
      </c>
      <c r="J48" s="39">
        <f>J49-SUM(J33:J47)</f>
        <v/>
      </c>
      <c r="K48" s="36" t="n"/>
    </row>
    <row r="49">
      <c r="A49" s="32" t="inlineStr">
        <is>
          <t>TOTAL</t>
        </is>
      </c>
      <c r="B49" s="37">
        <f>SUMIFS(tMort[[Number of Deaths]],tMort[[Date]],"&gt;="&amp;DStart,tMort[[Date]],"&lt;="&amp;DEnd,tMort[[Pen ID]],FPen,tMort[[Batch ID]],FBatch,tMort[[Animal Type]],FAnimal)</f>
        <v/>
      </c>
      <c r="C49" s="37">
        <f>COUNTIFS(tMort[[Date]],"&gt;="&amp;DStart,tMort[[Date]],"&lt;="&amp;DEnd,tMort[[Pen ID]],FPen,tMort[[Batch ID]],FBatch,tMort[[Animal Type]],FAnimal)</f>
        <v/>
      </c>
      <c r="D49" s="35" t="n"/>
      <c r="G49" s="32" t="inlineStr">
        <is>
          <t>TOTAL</t>
        </is>
      </c>
      <c r="H49" s="35" t="n"/>
      <c r="I49" s="34">
        <f>SUMIFS(tSales[[Total Revenue]],tSales[[Date]],"&gt;="&amp;DStart,tSales[[Date]],"&lt;="&amp;DEnd,tSales[[Pen ID]],FPen,tSales[[Batch ID]],FBatch,tSales[[Animal Type]],FAnimal)</f>
        <v/>
      </c>
      <c r="J49" s="37">
        <f>COUNTIFS(tSales[[Date]],"&gt;="&amp;DStart,tSales[[Date]],"&lt;="&amp;DEnd,tSales[[Pen ID]],FPen,tSales[[Batch ID]],FBatch,tSales[[Animal Type]],FAnimal)</f>
        <v/>
      </c>
      <c r="K49" s="35" t="n"/>
    </row>
    <row r="52">
      <c r="A52" s="25" t="inlineStr">
        <is>
          <t>EXPENSES BY CATEGORY</t>
        </is>
      </c>
      <c r="G52" s="25" t="inlineStr">
        <is>
          <t>SALES BY CUSTOMER</t>
        </is>
      </c>
    </row>
    <row r="53" ht="30" customHeight="1">
      <c r="A53" s="26" t="inlineStr">
        <is>
          <t>Category</t>
        </is>
      </c>
      <c r="B53" s="26" t="inlineStr">
        <is>
          <t>Total</t>
        </is>
      </c>
      <c r="C53" s="26" t="inlineStr">
        <is>
          <t>Batch direct</t>
        </is>
      </c>
      <c r="D53" s="26" t="inlineStr">
        <is>
          <t>Pen-level</t>
        </is>
      </c>
      <c r="E53" s="26" t="inlineStr">
        <is>
          <t>General</t>
        </is>
      </c>
      <c r="G53" s="26" t="inlineStr">
        <is>
          <t>Customer</t>
        </is>
      </c>
      <c r="H53" s="26" t="inlineStr">
        <is>
          <t>Revenue</t>
        </is>
      </c>
      <c r="I53" s="26" t="inlineStr">
        <is>
          <t>Sales (records)</t>
        </is>
      </c>
      <c r="J53" s="26" t="inlineStr">
        <is>
          <t>On credit</t>
        </is>
      </c>
      <c r="K53" s="26" t="inlineStr"/>
    </row>
    <row r="54">
      <c r="A54" s="27">
        <f>IFERROR(INDEX(tExpCat[[Expense Category]],1)&amp;"","")</f>
        <v/>
      </c>
      <c r="B54" s="29">
        <f>IF($A54="","",SUMIFS(tExp[[Amount]],tExp[[Date]],"&gt;="&amp;DStart,tExp[[Date]],"&lt;="&amp;DEnd,tExp[[Pen ID / General]],FPen,tExp[[Batch ID (if applicable)]],FBatch,tExp[[Animal Type]],FAnimal,tExp[[Category]],$A54))</f>
        <v/>
      </c>
      <c r="C54" s="29">
        <f>IF($A54="","",SUMIFS(tExp[[Amount]],tExp[[Date]],"&gt;="&amp;DStart,tExp[[Date]],"&lt;="&amp;DEnd,tExp[[Pen ID / General]],FPen,tExp[[Batch ID (if applicable)]],FBatch,tExp[[Animal Type]],FAnimal,tExp[[Category]],$A54,tExp[[Cost Level]],"Batch direct"))</f>
        <v/>
      </c>
      <c r="D54" s="29">
        <f>IF($A54="","",SUMIFS(tExp[[Amount]],tExp[[Date]],"&gt;="&amp;DStart,tExp[[Date]],"&lt;="&amp;DEnd,tExp[[Pen ID / General]],FPen,tExp[[Batch ID (if applicable)]],FBatch,tExp[[Animal Type]],FAnimal,tExp[[Category]],$A54,tExp[[Cost Level]],"Pen-level"))</f>
        <v/>
      </c>
      <c r="E54" s="29">
        <f>IF($A54="","",SUMIFS(tExp[[Amount]],tExp[[Date]],"&gt;="&amp;DStart,tExp[[Date]],"&lt;="&amp;DEnd,tExp[[Pen ID / General]],FPen,tExp[[Batch ID (if applicable)]],FBatch,tExp[[Animal Type]],FAnimal,tExp[[Category]],$A54,tExp[[Cost Level]],"General overhead"))</f>
        <v/>
      </c>
      <c r="G54" s="27">
        <f>IFERROR(INDEX(tCustomers[[Customer]],1)&amp;"","")</f>
        <v/>
      </c>
      <c r="H54" s="29">
        <f>IF($G54="","",SUMIFS(tSales[[Total Revenue]],tSales[[Date]],"&gt;="&amp;DStart,tSales[[Date]],"&lt;="&amp;DEnd,tSales[[Pen ID]],FPen,tSales[[Batch ID]],FBatch,tSales[[Animal Type]],FAnimal,tSales[[Customer]],$G54))</f>
        <v/>
      </c>
      <c r="I54" s="39">
        <f>IF($G54="","",COUNTIFS(tSales[[Date]],"&gt;="&amp;DStart,tSales[[Date]],"&lt;="&amp;DEnd,tSales[[Pen ID]],FPen,tSales[[Batch ID]],FBatch,tSales[[Animal Type]],FAnimal,tSales[[Customer]],$G54))</f>
        <v/>
      </c>
      <c r="J54" s="29">
        <f>IF($G54="","",SUMIFS(tSales[[Total Revenue]],tSales[[Date]],"&gt;="&amp;DStart,tSales[[Date]],"&lt;="&amp;DEnd,tSales[[Pen ID]],FPen,tSales[[Batch ID]],FBatch,tSales[[Animal Type]],FAnimal,tSales[[Customer]],$G54,tSales[[Payment Method]],"Credit"))</f>
        <v/>
      </c>
    </row>
    <row r="55">
      <c r="A55" s="27">
        <f>IFERROR(INDEX(tExpCat[[Expense Category]],2)&amp;"","")</f>
        <v/>
      </c>
      <c r="B55" s="29">
        <f>IF($A55="","",SUMIFS(tExp[[Amount]],tExp[[Date]],"&gt;="&amp;DStart,tExp[[Date]],"&lt;="&amp;DEnd,tExp[[Pen ID / General]],FPen,tExp[[Batch ID (if applicable)]],FBatch,tExp[[Animal Type]],FAnimal,tExp[[Category]],$A55))</f>
        <v/>
      </c>
      <c r="C55" s="29">
        <f>IF($A55="","",SUMIFS(tExp[[Amount]],tExp[[Date]],"&gt;="&amp;DStart,tExp[[Date]],"&lt;="&amp;DEnd,tExp[[Pen ID / General]],FPen,tExp[[Batch ID (if applicable)]],FBatch,tExp[[Animal Type]],FAnimal,tExp[[Category]],$A55,tExp[[Cost Level]],"Batch direct"))</f>
        <v/>
      </c>
      <c r="D55" s="29">
        <f>IF($A55="","",SUMIFS(tExp[[Amount]],tExp[[Date]],"&gt;="&amp;DStart,tExp[[Date]],"&lt;="&amp;DEnd,tExp[[Pen ID / General]],FPen,tExp[[Batch ID (if applicable)]],FBatch,tExp[[Animal Type]],FAnimal,tExp[[Category]],$A55,tExp[[Cost Level]],"Pen-level"))</f>
        <v/>
      </c>
      <c r="E55" s="29">
        <f>IF($A55="","",SUMIFS(tExp[[Amount]],tExp[[Date]],"&gt;="&amp;DStart,tExp[[Date]],"&lt;="&amp;DEnd,tExp[[Pen ID / General]],FPen,tExp[[Batch ID (if applicable)]],FBatch,tExp[[Animal Type]],FAnimal,tExp[[Category]],$A55,tExp[[Cost Level]],"General overhead"))</f>
        <v/>
      </c>
      <c r="G55" s="27">
        <f>IFERROR(INDEX(tCustomers[[Customer]],2)&amp;"","")</f>
        <v/>
      </c>
      <c r="H55" s="29">
        <f>IF($G55="","",SUMIFS(tSales[[Total Revenue]],tSales[[Date]],"&gt;="&amp;DStart,tSales[[Date]],"&lt;="&amp;DEnd,tSales[[Pen ID]],FPen,tSales[[Batch ID]],FBatch,tSales[[Animal Type]],FAnimal,tSales[[Customer]],$G55))</f>
        <v/>
      </c>
      <c r="I55" s="39">
        <f>IF($G55="","",COUNTIFS(tSales[[Date]],"&gt;="&amp;DStart,tSales[[Date]],"&lt;="&amp;DEnd,tSales[[Pen ID]],FPen,tSales[[Batch ID]],FBatch,tSales[[Animal Type]],FAnimal,tSales[[Customer]],$G55))</f>
        <v/>
      </c>
      <c r="J55" s="29">
        <f>IF($G55="","",SUMIFS(tSales[[Total Revenue]],tSales[[Date]],"&gt;="&amp;DStart,tSales[[Date]],"&lt;="&amp;DEnd,tSales[[Pen ID]],FPen,tSales[[Batch ID]],FBatch,tSales[[Animal Type]],FAnimal,tSales[[Customer]],$G55,tSales[[Payment Method]],"Credit"))</f>
        <v/>
      </c>
    </row>
    <row r="56">
      <c r="A56" s="27">
        <f>IFERROR(INDEX(tExpCat[[Expense Category]],3)&amp;"","")</f>
        <v/>
      </c>
      <c r="B56" s="29">
        <f>IF($A56="","",SUMIFS(tExp[[Amount]],tExp[[Date]],"&gt;="&amp;DStart,tExp[[Date]],"&lt;="&amp;DEnd,tExp[[Pen ID / General]],FPen,tExp[[Batch ID (if applicable)]],FBatch,tExp[[Animal Type]],FAnimal,tExp[[Category]],$A56))</f>
        <v/>
      </c>
      <c r="C56" s="29">
        <f>IF($A56="","",SUMIFS(tExp[[Amount]],tExp[[Date]],"&gt;="&amp;DStart,tExp[[Date]],"&lt;="&amp;DEnd,tExp[[Pen ID / General]],FPen,tExp[[Batch ID (if applicable)]],FBatch,tExp[[Animal Type]],FAnimal,tExp[[Category]],$A56,tExp[[Cost Level]],"Batch direct"))</f>
        <v/>
      </c>
      <c r="D56" s="29">
        <f>IF($A56="","",SUMIFS(tExp[[Amount]],tExp[[Date]],"&gt;="&amp;DStart,tExp[[Date]],"&lt;="&amp;DEnd,tExp[[Pen ID / General]],FPen,tExp[[Batch ID (if applicable)]],FBatch,tExp[[Animal Type]],FAnimal,tExp[[Category]],$A56,tExp[[Cost Level]],"Pen-level"))</f>
        <v/>
      </c>
      <c r="E56" s="29">
        <f>IF($A56="","",SUMIFS(tExp[[Amount]],tExp[[Date]],"&gt;="&amp;DStart,tExp[[Date]],"&lt;="&amp;DEnd,tExp[[Pen ID / General]],FPen,tExp[[Batch ID (if applicable)]],FBatch,tExp[[Animal Type]],FAnimal,tExp[[Category]],$A56,tExp[[Cost Level]],"General overhead"))</f>
        <v/>
      </c>
      <c r="G56" s="27">
        <f>IFERROR(INDEX(tCustomers[[Customer]],3)&amp;"","")</f>
        <v/>
      </c>
      <c r="H56" s="29">
        <f>IF($G56="","",SUMIFS(tSales[[Total Revenue]],tSales[[Date]],"&gt;="&amp;DStart,tSales[[Date]],"&lt;="&amp;DEnd,tSales[[Pen ID]],FPen,tSales[[Batch ID]],FBatch,tSales[[Animal Type]],FAnimal,tSales[[Customer]],$G56))</f>
        <v/>
      </c>
      <c r="I56" s="39">
        <f>IF($G56="","",COUNTIFS(tSales[[Date]],"&gt;="&amp;DStart,tSales[[Date]],"&lt;="&amp;DEnd,tSales[[Pen ID]],FPen,tSales[[Batch ID]],FBatch,tSales[[Animal Type]],FAnimal,tSales[[Customer]],$G56))</f>
        <v/>
      </c>
      <c r="J56" s="29">
        <f>IF($G56="","",SUMIFS(tSales[[Total Revenue]],tSales[[Date]],"&gt;="&amp;DStart,tSales[[Date]],"&lt;="&amp;DEnd,tSales[[Pen ID]],FPen,tSales[[Batch ID]],FBatch,tSales[[Animal Type]],FAnimal,tSales[[Customer]],$G56,tSales[[Payment Method]],"Credit"))</f>
        <v/>
      </c>
    </row>
    <row r="57">
      <c r="A57" s="27">
        <f>IFERROR(INDEX(tExpCat[[Expense Category]],4)&amp;"","")</f>
        <v/>
      </c>
      <c r="B57" s="29">
        <f>IF($A57="","",SUMIFS(tExp[[Amount]],tExp[[Date]],"&gt;="&amp;DStart,tExp[[Date]],"&lt;="&amp;DEnd,tExp[[Pen ID / General]],FPen,tExp[[Batch ID (if applicable)]],FBatch,tExp[[Animal Type]],FAnimal,tExp[[Category]],$A57))</f>
        <v/>
      </c>
      <c r="C57" s="29">
        <f>IF($A57="","",SUMIFS(tExp[[Amount]],tExp[[Date]],"&gt;="&amp;DStart,tExp[[Date]],"&lt;="&amp;DEnd,tExp[[Pen ID / General]],FPen,tExp[[Batch ID (if applicable)]],FBatch,tExp[[Animal Type]],FAnimal,tExp[[Category]],$A57,tExp[[Cost Level]],"Batch direct"))</f>
        <v/>
      </c>
      <c r="D57" s="29">
        <f>IF($A57="","",SUMIFS(tExp[[Amount]],tExp[[Date]],"&gt;="&amp;DStart,tExp[[Date]],"&lt;="&amp;DEnd,tExp[[Pen ID / General]],FPen,tExp[[Batch ID (if applicable)]],FBatch,tExp[[Animal Type]],FAnimal,tExp[[Category]],$A57,tExp[[Cost Level]],"Pen-level"))</f>
        <v/>
      </c>
      <c r="E57" s="29">
        <f>IF($A57="","",SUMIFS(tExp[[Amount]],tExp[[Date]],"&gt;="&amp;DStart,tExp[[Date]],"&lt;="&amp;DEnd,tExp[[Pen ID / General]],FPen,tExp[[Batch ID (if applicable)]],FBatch,tExp[[Animal Type]],FAnimal,tExp[[Category]],$A57,tExp[[Cost Level]],"General overhead"))</f>
        <v/>
      </c>
      <c r="G57" s="27">
        <f>IFERROR(INDEX(tCustomers[[Customer]],4)&amp;"","")</f>
        <v/>
      </c>
      <c r="H57" s="29">
        <f>IF($G57="","",SUMIFS(tSales[[Total Revenue]],tSales[[Date]],"&gt;="&amp;DStart,tSales[[Date]],"&lt;="&amp;DEnd,tSales[[Pen ID]],FPen,tSales[[Batch ID]],FBatch,tSales[[Animal Type]],FAnimal,tSales[[Customer]],$G57))</f>
        <v/>
      </c>
      <c r="I57" s="39">
        <f>IF($G57="","",COUNTIFS(tSales[[Date]],"&gt;="&amp;DStart,tSales[[Date]],"&lt;="&amp;DEnd,tSales[[Pen ID]],FPen,tSales[[Batch ID]],FBatch,tSales[[Animal Type]],FAnimal,tSales[[Customer]],$G57))</f>
        <v/>
      </c>
      <c r="J57" s="29">
        <f>IF($G57="","",SUMIFS(tSales[[Total Revenue]],tSales[[Date]],"&gt;="&amp;DStart,tSales[[Date]],"&lt;="&amp;DEnd,tSales[[Pen ID]],FPen,tSales[[Batch ID]],FBatch,tSales[[Animal Type]],FAnimal,tSales[[Customer]],$G57,tSales[[Payment Method]],"Credit"))</f>
        <v/>
      </c>
    </row>
    <row r="58">
      <c r="A58" s="27">
        <f>IFERROR(INDEX(tExpCat[[Expense Category]],5)&amp;"","")</f>
        <v/>
      </c>
      <c r="B58" s="29">
        <f>IF($A58="","",SUMIFS(tExp[[Amount]],tExp[[Date]],"&gt;="&amp;DStart,tExp[[Date]],"&lt;="&amp;DEnd,tExp[[Pen ID / General]],FPen,tExp[[Batch ID (if applicable)]],FBatch,tExp[[Animal Type]],FAnimal,tExp[[Category]],$A58))</f>
        <v/>
      </c>
      <c r="C58" s="29">
        <f>IF($A58="","",SUMIFS(tExp[[Amount]],tExp[[Date]],"&gt;="&amp;DStart,tExp[[Date]],"&lt;="&amp;DEnd,tExp[[Pen ID / General]],FPen,tExp[[Batch ID (if applicable)]],FBatch,tExp[[Animal Type]],FAnimal,tExp[[Category]],$A58,tExp[[Cost Level]],"Batch direct"))</f>
        <v/>
      </c>
      <c r="D58" s="29">
        <f>IF($A58="","",SUMIFS(tExp[[Amount]],tExp[[Date]],"&gt;="&amp;DStart,tExp[[Date]],"&lt;="&amp;DEnd,tExp[[Pen ID / General]],FPen,tExp[[Batch ID (if applicable)]],FBatch,tExp[[Animal Type]],FAnimal,tExp[[Category]],$A58,tExp[[Cost Level]],"Pen-level"))</f>
        <v/>
      </c>
      <c r="E58" s="29">
        <f>IF($A58="","",SUMIFS(tExp[[Amount]],tExp[[Date]],"&gt;="&amp;DStart,tExp[[Date]],"&lt;="&amp;DEnd,tExp[[Pen ID / General]],FPen,tExp[[Batch ID (if applicable)]],FBatch,tExp[[Animal Type]],FAnimal,tExp[[Category]],$A58,tExp[[Cost Level]],"General overhead"))</f>
        <v/>
      </c>
      <c r="G58" s="27">
        <f>IFERROR(INDEX(tCustomers[[Customer]],5)&amp;"","")</f>
        <v/>
      </c>
      <c r="H58" s="29">
        <f>IF($G58="","",SUMIFS(tSales[[Total Revenue]],tSales[[Date]],"&gt;="&amp;DStart,tSales[[Date]],"&lt;="&amp;DEnd,tSales[[Pen ID]],FPen,tSales[[Batch ID]],FBatch,tSales[[Animal Type]],FAnimal,tSales[[Customer]],$G58))</f>
        <v/>
      </c>
      <c r="I58" s="39">
        <f>IF($G58="","",COUNTIFS(tSales[[Date]],"&gt;="&amp;DStart,tSales[[Date]],"&lt;="&amp;DEnd,tSales[[Pen ID]],FPen,tSales[[Batch ID]],FBatch,tSales[[Animal Type]],FAnimal,tSales[[Customer]],$G58))</f>
        <v/>
      </c>
      <c r="J58" s="29">
        <f>IF($G58="","",SUMIFS(tSales[[Total Revenue]],tSales[[Date]],"&gt;="&amp;DStart,tSales[[Date]],"&lt;="&amp;DEnd,tSales[[Pen ID]],FPen,tSales[[Batch ID]],FBatch,tSales[[Animal Type]],FAnimal,tSales[[Customer]],$G58,tSales[[Payment Method]],"Credit"))</f>
        <v/>
      </c>
    </row>
    <row r="59">
      <c r="A59" s="27">
        <f>IFERROR(INDEX(tExpCat[[Expense Category]],6)&amp;"","")</f>
        <v/>
      </c>
      <c r="B59" s="29">
        <f>IF($A59="","",SUMIFS(tExp[[Amount]],tExp[[Date]],"&gt;="&amp;DStart,tExp[[Date]],"&lt;="&amp;DEnd,tExp[[Pen ID / General]],FPen,tExp[[Batch ID (if applicable)]],FBatch,tExp[[Animal Type]],FAnimal,tExp[[Category]],$A59))</f>
        <v/>
      </c>
      <c r="C59" s="29">
        <f>IF($A59="","",SUMIFS(tExp[[Amount]],tExp[[Date]],"&gt;="&amp;DStart,tExp[[Date]],"&lt;="&amp;DEnd,tExp[[Pen ID / General]],FPen,tExp[[Batch ID (if applicable)]],FBatch,tExp[[Animal Type]],FAnimal,tExp[[Category]],$A59,tExp[[Cost Level]],"Batch direct"))</f>
        <v/>
      </c>
      <c r="D59" s="29">
        <f>IF($A59="","",SUMIFS(tExp[[Amount]],tExp[[Date]],"&gt;="&amp;DStart,tExp[[Date]],"&lt;="&amp;DEnd,tExp[[Pen ID / General]],FPen,tExp[[Batch ID (if applicable)]],FBatch,tExp[[Animal Type]],FAnimal,tExp[[Category]],$A59,tExp[[Cost Level]],"Pen-level"))</f>
        <v/>
      </c>
      <c r="E59" s="29">
        <f>IF($A59="","",SUMIFS(tExp[[Amount]],tExp[[Date]],"&gt;="&amp;DStart,tExp[[Date]],"&lt;="&amp;DEnd,tExp[[Pen ID / General]],FPen,tExp[[Batch ID (if applicable)]],FBatch,tExp[[Animal Type]],FAnimal,tExp[[Category]],$A59,tExp[[Cost Level]],"General overhead"))</f>
        <v/>
      </c>
      <c r="G59" s="27">
        <f>IFERROR(INDEX(tCustomers[[Customer]],6)&amp;"","")</f>
        <v/>
      </c>
      <c r="H59" s="29">
        <f>IF($G59="","",SUMIFS(tSales[[Total Revenue]],tSales[[Date]],"&gt;="&amp;DStart,tSales[[Date]],"&lt;="&amp;DEnd,tSales[[Pen ID]],FPen,tSales[[Batch ID]],FBatch,tSales[[Animal Type]],FAnimal,tSales[[Customer]],$G59))</f>
        <v/>
      </c>
      <c r="I59" s="39">
        <f>IF($G59="","",COUNTIFS(tSales[[Date]],"&gt;="&amp;DStart,tSales[[Date]],"&lt;="&amp;DEnd,tSales[[Pen ID]],FPen,tSales[[Batch ID]],FBatch,tSales[[Animal Type]],FAnimal,tSales[[Customer]],$G59))</f>
        <v/>
      </c>
      <c r="J59" s="29">
        <f>IF($G59="","",SUMIFS(tSales[[Total Revenue]],tSales[[Date]],"&gt;="&amp;DStart,tSales[[Date]],"&lt;="&amp;DEnd,tSales[[Pen ID]],FPen,tSales[[Batch ID]],FBatch,tSales[[Animal Type]],FAnimal,tSales[[Customer]],$G59,tSales[[Payment Method]],"Credit"))</f>
        <v/>
      </c>
    </row>
    <row r="60">
      <c r="A60" s="27">
        <f>IFERROR(INDEX(tExpCat[[Expense Category]],7)&amp;"","")</f>
        <v/>
      </c>
      <c r="B60" s="29">
        <f>IF($A60="","",SUMIFS(tExp[[Amount]],tExp[[Date]],"&gt;="&amp;DStart,tExp[[Date]],"&lt;="&amp;DEnd,tExp[[Pen ID / General]],FPen,tExp[[Batch ID (if applicable)]],FBatch,tExp[[Animal Type]],FAnimal,tExp[[Category]],$A60))</f>
        <v/>
      </c>
      <c r="C60" s="29">
        <f>IF($A60="","",SUMIFS(tExp[[Amount]],tExp[[Date]],"&gt;="&amp;DStart,tExp[[Date]],"&lt;="&amp;DEnd,tExp[[Pen ID / General]],FPen,tExp[[Batch ID (if applicable)]],FBatch,tExp[[Animal Type]],FAnimal,tExp[[Category]],$A60,tExp[[Cost Level]],"Batch direct"))</f>
        <v/>
      </c>
      <c r="D60" s="29">
        <f>IF($A60="","",SUMIFS(tExp[[Amount]],tExp[[Date]],"&gt;="&amp;DStart,tExp[[Date]],"&lt;="&amp;DEnd,tExp[[Pen ID / General]],FPen,tExp[[Batch ID (if applicable)]],FBatch,tExp[[Animal Type]],FAnimal,tExp[[Category]],$A60,tExp[[Cost Level]],"Pen-level"))</f>
        <v/>
      </c>
      <c r="E60" s="29">
        <f>IF($A60="","",SUMIFS(tExp[[Amount]],tExp[[Date]],"&gt;="&amp;DStart,tExp[[Date]],"&lt;="&amp;DEnd,tExp[[Pen ID / General]],FPen,tExp[[Batch ID (if applicable)]],FBatch,tExp[[Animal Type]],FAnimal,tExp[[Category]],$A60,tExp[[Cost Level]],"General overhead"))</f>
        <v/>
      </c>
      <c r="G60" s="27">
        <f>IFERROR(INDEX(tCustomers[[Customer]],7)&amp;"","")</f>
        <v/>
      </c>
      <c r="H60" s="29">
        <f>IF($G60="","",SUMIFS(tSales[[Total Revenue]],tSales[[Date]],"&gt;="&amp;DStart,tSales[[Date]],"&lt;="&amp;DEnd,tSales[[Pen ID]],FPen,tSales[[Batch ID]],FBatch,tSales[[Animal Type]],FAnimal,tSales[[Customer]],$G60))</f>
        <v/>
      </c>
      <c r="I60" s="39">
        <f>IF($G60="","",COUNTIFS(tSales[[Date]],"&gt;="&amp;DStart,tSales[[Date]],"&lt;="&amp;DEnd,tSales[[Pen ID]],FPen,tSales[[Batch ID]],FBatch,tSales[[Animal Type]],FAnimal,tSales[[Customer]],$G60))</f>
        <v/>
      </c>
      <c r="J60" s="29">
        <f>IF($G60="","",SUMIFS(tSales[[Total Revenue]],tSales[[Date]],"&gt;="&amp;DStart,tSales[[Date]],"&lt;="&amp;DEnd,tSales[[Pen ID]],FPen,tSales[[Batch ID]],FBatch,tSales[[Animal Type]],FAnimal,tSales[[Customer]],$G60,tSales[[Payment Method]],"Credit"))</f>
        <v/>
      </c>
    </row>
    <row r="61">
      <c r="A61" s="27">
        <f>IFERROR(INDEX(tExpCat[[Expense Category]],8)&amp;"","")</f>
        <v/>
      </c>
      <c r="B61" s="29">
        <f>IF($A61="","",SUMIFS(tExp[[Amount]],tExp[[Date]],"&gt;="&amp;DStart,tExp[[Date]],"&lt;="&amp;DEnd,tExp[[Pen ID / General]],FPen,tExp[[Batch ID (if applicable)]],FBatch,tExp[[Animal Type]],FAnimal,tExp[[Category]],$A61))</f>
        <v/>
      </c>
      <c r="C61" s="29">
        <f>IF($A61="","",SUMIFS(tExp[[Amount]],tExp[[Date]],"&gt;="&amp;DStart,tExp[[Date]],"&lt;="&amp;DEnd,tExp[[Pen ID / General]],FPen,tExp[[Batch ID (if applicable)]],FBatch,tExp[[Animal Type]],FAnimal,tExp[[Category]],$A61,tExp[[Cost Level]],"Batch direct"))</f>
        <v/>
      </c>
      <c r="D61" s="29">
        <f>IF($A61="","",SUMIFS(tExp[[Amount]],tExp[[Date]],"&gt;="&amp;DStart,tExp[[Date]],"&lt;="&amp;DEnd,tExp[[Pen ID / General]],FPen,tExp[[Batch ID (if applicable)]],FBatch,tExp[[Animal Type]],FAnimal,tExp[[Category]],$A61,tExp[[Cost Level]],"Pen-level"))</f>
        <v/>
      </c>
      <c r="E61" s="29">
        <f>IF($A61="","",SUMIFS(tExp[[Amount]],tExp[[Date]],"&gt;="&amp;DStart,tExp[[Date]],"&lt;="&amp;DEnd,tExp[[Pen ID / General]],FPen,tExp[[Batch ID (if applicable)]],FBatch,tExp[[Animal Type]],FAnimal,tExp[[Category]],$A61,tExp[[Cost Level]],"General overhead"))</f>
        <v/>
      </c>
      <c r="G61" s="27">
        <f>IFERROR(INDEX(tCustomers[[Customer]],8)&amp;"","")</f>
        <v/>
      </c>
      <c r="H61" s="29">
        <f>IF($G61="","",SUMIFS(tSales[[Total Revenue]],tSales[[Date]],"&gt;="&amp;DStart,tSales[[Date]],"&lt;="&amp;DEnd,tSales[[Pen ID]],FPen,tSales[[Batch ID]],FBatch,tSales[[Animal Type]],FAnimal,tSales[[Customer]],$G61))</f>
        <v/>
      </c>
      <c r="I61" s="39">
        <f>IF($G61="","",COUNTIFS(tSales[[Date]],"&gt;="&amp;DStart,tSales[[Date]],"&lt;="&amp;DEnd,tSales[[Pen ID]],FPen,tSales[[Batch ID]],FBatch,tSales[[Animal Type]],FAnimal,tSales[[Customer]],$G61))</f>
        <v/>
      </c>
      <c r="J61" s="29">
        <f>IF($G61="","",SUMIFS(tSales[[Total Revenue]],tSales[[Date]],"&gt;="&amp;DStart,tSales[[Date]],"&lt;="&amp;DEnd,tSales[[Pen ID]],FPen,tSales[[Batch ID]],FBatch,tSales[[Animal Type]],FAnimal,tSales[[Customer]],$G61,tSales[[Payment Method]],"Credit"))</f>
        <v/>
      </c>
    </row>
    <row r="62">
      <c r="A62" s="27">
        <f>IFERROR(INDEX(tExpCat[[Expense Category]],9)&amp;"","")</f>
        <v/>
      </c>
      <c r="B62" s="29">
        <f>IF($A62="","",SUMIFS(tExp[[Amount]],tExp[[Date]],"&gt;="&amp;DStart,tExp[[Date]],"&lt;="&amp;DEnd,tExp[[Pen ID / General]],FPen,tExp[[Batch ID (if applicable)]],FBatch,tExp[[Animal Type]],FAnimal,tExp[[Category]],$A62))</f>
        <v/>
      </c>
      <c r="C62" s="29">
        <f>IF($A62="","",SUMIFS(tExp[[Amount]],tExp[[Date]],"&gt;="&amp;DStart,tExp[[Date]],"&lt;="&amp;DEnd,tExp[[Pen ID / General]],FPen,tExp[[Batch ID (if applicable)]],FBatch,tExp[[Animal Type]],FAnimal,tExp[[Category]],$A62,tExp[[Cost Level]],"Batch direct"))</f>
        <v/>
      </c>
      <c r="D62" s="29">
        <f>IF($A62="","",SUMIFS(tExp[[Amount]],tExp[[Date]],"&gt;="&amp;DStart,tExp[[Date]],"&lt;="&amp;DEnd,tExp[[Pen ID / General]],FPen,tExp[[Batch ID (if applicable)]],FBatch,tExp[[Animal Type]],FAnimal,tExp[[Category]],$A62,tExp[[Cost Level]],"Pen-level"))</f>
        <v/>
      </c>
      <c r="E62" s="29">
        <f>IF($A62="","",SUMIFS(tExp[[Amount]],tExp[[Date]],"&gt;="&amp;DStart,tExp[[Date]],"&lt;="&amp;DEnd,tExp[[Pen ID / General]],FPen,tExp[[Batch ID (if applicable)]],FBatch,tExp[[Animal Type]],FAnimal,tExp[[Category]],$A62,tExp[[Cost Level]],"General overhead"))</f>
        <v/>
      </c>
      <c r="G62" s="27">
        <f>IFERROR(INDEX(tCustomers[[Customer]],9)&amp;"","")</f>
        <v/>
      </c>
      <c r="H62" s="29">
        <f>IF($G62="","",SUMIFS(tSales[[Total Revenue]],tSales[[Date]],"&gt;="&amp;DStart,tSales[[Date]],"&lt;="&amp;DEnd,tSales[[Pen ID]],FPen,tSales[[Batch ID]],FBatch,tSales[[Animal Type]],FAnimal,tSales[[Customer]],$G62))</f>
        <v/>
      </c>
      <c r="I62" s="39">
        <f>IF($G62="","",COUNTIFS(tSales[[Date]],"&gt;="&amp;DStart,tSales[[Date]],"&lt;="&amp;DEnd,tSales[[Pen ID]],FPen,tSales[[Batch ID]],FBatch,tSales[[Animal Type]],FAnimal,tSales[[Customer]],$G62))</f>
        <v/>
      </c>
      <c r="J62" s="29">
        <f>IF($G62="","",SUMIFS(tSales[[Total Revenue]],tSales[[Date]],"&gt;="&amp;DStart,tSales[[Date]],"&lt;="&amp;DEnd,tSales[[Pen ID]],FPen,tSales[[Batch ID]],FBatch,tSales[[Animal Type]],FAnimal,tSales[[Customer]],$G62,tSales[[Payment Method]],"Credit"))</f>
        <v/>
      </c>
    </row>
    <row r="63">
      <c r="A63" s="27">
        <f>IFERROR(INDEX(tExpCat[[Expense Category]],10)&amp;"","")</f>
        <v/>
      </c>
      <c r="B63" s="29">
        <f>IF($A63="","",SUMIFS(tExp[[Amount]],tExp[[Date]],"&gt;="&amp;DStart,tExp[[Date]],"&lt;="&amp;DEnd,tExp[[Pen ID / General]],FPen,tExp[[Batch ID (if applicable)]],FBatch,tExp[[Animal Type]],FAnimal,tExp[[Category]],$A63))</f>
        <v/>
      </c>
      <c r="C63" s="29">
        <f>IF($A63="","",SUMIFS(tExp[[Amount]],tExp[[Date]],"&gt;="&amp;DStart,tExp[[Date]],"&lt;="&amp;DEnd,tExp[[Pen ID / General]],FPen,tExp[[Batch ID (if applicable)]],FBatch,tExp[[Animal Type]],FAnimal,tExp[[Category]],$A63,tExp[[Cost Level]],"Batch direct"))</f>
        <v/>
      </c>
      <c r="D63" s="29">
        <f>IF($A63="","",SUMIFS(tExp[[Amount]],tExp[[Date]],"&gt;="&amp;DStart,tExp[[Date]],"&lt;="&amp;DEnd,tExp[[Pen ID / General]],FPen,tExp[[Batch ID (if applicable)]],FBatch,tExp[[Animal Type]],FAnimal,tExp[[Category]],$A63,tExp[[Cost Level]],"Pen-level"))</f>
        <v/>
      </c>
      <c r="E63" s="29">
        <f>IF($A63="","",SUMIFS(tExp[[Amount]],tExp[[Date]],"&gt;="&amp;DStart,tExp[[Date]],"&lt;="&amp;DEnd,tExp[[Pen ID / General]],FPen,tExp[[Batch ID (if applicable)]],FBatch,tExp[[Animal Type]],FAnimal,tExp[[Category]],$A63,tExp[[Cost Level]],"General overhead"))</f>
        <v/>
      </c>
      <c r="G63" s="27">
        <f>IFERROR(INDEX(tCustomers[[Customer]],10)&amp;"","")</f>
        <v/>
      </c>
      <c r="H63" s="29">
        <f>IF($G63="","",SUMIFS(tSales[[Total Revenue]],tSales[[Date]],"&gt;="&amp;DStart,tSales[[Date]],"&lt;="&amp;DEnd,tSales[[Pen ID]],FPen,tSales[[Batch ID]],FBatch,tSales[[Animal Type]],FAnimal,tSales[[Customer]],$G63))</f>
        <v/>
      </c>
      <c r="I63" s="39">
        <f>IF($G63="","",COUNTIFS(tSales[[Date]],"&gt;="&amp;DStart,tSales[[Date]],"&lt;="&amp;DEnd,tSales[[Pen ID]],FPen,tSales[[Batch ID]],FBatch,tSales[[Animal Type]],FAnimal,tSales[[Customer]],$G63))</f>
        <v/>
      </c>
      <c r="J63" s="29">
        <f>IF($G63="","",SUMIFS(tSales[[Total Revenue]],tSales[[Date]],"&gt;="&amp;DStart,tSales[[Date]],"&lt;="&amp;DEnd,tSales[[Pen ID]],FPen,tSales[[Batch ID]],FBatch,tSales[[Animal Type]],FAnimal,tSales[[Customer]],$G63,tSales[[Payment Method]],"Credit"))</f>
        <v/>
      </c>
    </row>
    <row r="64">
      <c r="A64" s="27">
        <f>IFERROR(INDEX(tExpCat[[Expense Category]],11)&amp;"","")</f>
        <v/>
      </c>
      <c r="B64" s="29">
        <f>IF($A64="","",SUMIFS(tExp[[Amount]],tExp[[Date]],"&gt;="&amp;DStart,tExp[[Date]],"&lt;="&amp;DEnd,tExp[[Pen ID / General]],FPen,tExp[[Batch ID (if applicable)]],FBatch,tExp[[Animal Type]],FAnimal,tExp[[Category]],$A64))</f>
        <v/>
      </c>
      <c r="C64" s="29">
        <f>IF($A64="","",SUMIFS(tExp[[Amount]],tExp[[Date]],"&gt;="&amp;DStart,tExp[[Date]],"&lt;="&amp;DEnd,tExp[[Pen ID / General]],FPen,tExp[[Batch ID (if applicable)]],FBatch,tExp[[Animal Type]],FAnimal,tExp[[Category]],$A64,tExp[[Cost Level]],"Batch direct"))</f>
        <v/>
      </c>
      <c r="D64" s="29">
        <f>IF($A64="","",SUMIFS(tExp[[Amount]],tExp[[Date]],"&gt;="&amp;DStart,tExp[[Date]],"&lt;="&amp;DEnd,tExp[[Pen ID / General]],FPen,tExp[[Batch ID (if applicable)]],FBatch,tExp[[Animal Type]],FAnimal,tExp[[Category]],$A64,tExp[[Cost Level]],"Pen-level"))</f>
        <v/>
      </c>
      <c r="E64" s="29">
        <f>IF($A64="","",SUMIFS(tExp[[Amount]],tExp[[Date]],"&gt;="&amp;DStart,tExp[[Date]],"&lt;="&amp;DEnd,tExp[[Pen ID / General]],FPen,tExp[[Batch ID (if applicable)]],FBatch,tExp[[Animal Type]],FAnimal,tExp[[Category]],$A64,tExp[[Cost Level]],"General overhead"))</f>
        <v/>
      </c>
      <c r="G64" s="27">
        <f>IFERROR(INDEX(tCustomers[[Customer]],11)&amp;"","")</f>
        <v/>
      </c>
      <c r="H64" s="29">
        <f>IF($G64="","",SUMIFS(tSales[[Total Revenue]],tSales[[Date]],"&gt;="&amp;DStart,tSales[[Date]],"&lt;="&amp;DEnd,tSales[[Pen ID]],FPen,tSales[[Batch ID]],FBatch,tSales[[Animal Type]],FAnimal,tSales[[Customer]],$G64))</f>
        <v/>
      </c>
      <c r="I64" s="39">
        <f>IF($G64="","",COUNTIFS(tSales[[Date]],"&gt;="&amp;DStart,tSales[[Date]],"&lt;="&amp;DEnd,tSales[[Pen ID]],FPen,tSales[[Batch ID]],FBatch,tSales[[Animal Type]],FAnimal,tSales[[Customer]],$G64))</f>
        <v/>
      </c>
      <c r="J64" s="29">
        <f>IF($G64="","",SUMIFS(tSales[[Total Revenue]],tSales[[Date]],"&gt;="&amp;DStart,tSales[[Date]],"&lt;="&amp;DEnd,tSales[[Pen ID]],FPen,tSales[[Batch ID]],FBatch,tSales[[Animal Type]],FAnimal,tSales[[Customer]],$G64,tSales[[Payment Method]],"Credit"))</f>
        <v/>
      </c>
    </row>
    <row r="65">
      <c r="A65" s="27">
        <f>IFERROR(INDEX(tExpCat[[Expense Category]],12)&amp;"","")</f>
        <v/>
      </c>
      <c r="B65" s="29">
        <f>IF($A65="","",SUMIFS(tExp[[Amount]],tExp[[Date]],"&gt;="&amp;DStart,tExp[[Date]],"&lt;="&amp;DEnd,tExp[[Pen ID / General]],FPen,tExp[[Batch ID (if applicable)]],FBatch,tExp[[Animal Type]],FAnimal,tExp[[Category]],$A65))</f>
        <v/>
      </c>
      <c r="C65" s="29">
        <f>IF($A65="","",SUMIFS(tExp[[Amount]],tExp[[Date]],"&gt;="&amp;DStart,tExp[[Date]],"&lt;="&amp;DEnd,tExp[[Pen ID / General]],FPen,tExp[[Batch ID (if applicable)]],FBatch,tExp[[Animal Type]],FAnimal,tExp[[Category]],$A65,tExp[[Cost Level]],"Batch direct"))</f>
        <v/>
      </c>
      <c r="D65" s="29">
        <f>IF($A65="","",SUMIFS(tExp[[Amount]],tExp[[Date]],"&gt;="&amp;DStart,tExp[[Date]],"&lt;="&amp;DEnd,tExp[[Pen ID / General]],FPen,tExp[[Batch ID (if applicable)]],FBatch,tExp[[Animal Type]],FAnimal,tExp[[Category]],$A65,tExp[[Cost Level]],"Pen-level"))</f>
        <v/>
      </c>
      <c r="E65" s="29">
        <f>IF($A65="","",SUMIFS(tExp[[Amount]],tExp[[Date]],"&gt;="&amp;DStart,tExp[[Date]],"&lt;="&amp;DEnd,tExp[[Pen ID / General]],FPen,tExp[[Batch ID (if applicable)]],FBatch,tExp[[Animal Type]],FAnimal,tExp[[Category]],$A65,tExp[[Cost Level]],"General overhead"))</f>
        <v/>
      </c>
      <c r="G65" s="27">
        <f>IFERROR(INDEX(tCustomers[[Customer]],12)&amp;"","")</f>
        <v/>
      </c>
      <c r="H65" s="29">
        <f>IF($G65="","",SUMIFS(tSales[[Total Revenue]],tSales[[Date]],"&gt;="&amp;DStart,tSales[[Date]],"&lt;="&amp;DEnd,tSales[[Pen ID]],FPen,tSales[[Batch ID]],FBatch,tSales[[Animal Type]],FAnimal,tSales[[Customer]],$G65))</f>
        <v/>
      </c>
      <c r="I65" s="39">
        <f>IF($G65="","",COUNTIFS(tSales[[Date]],"&gt;="&amp;DStart,tSales[[Date]],"&lt;="&amp;DEnd,tSales[[Pen ID]],FPen,tSales[[Batch ID]],FBatch,tSales[[Animal Type]],FAnimal,tSales[[Customer]],$G65))</f>
        <v/>
      </c>
      <c r="J65" s="29">
        <f>IF($G65="","",SUMIFS(tSales[[Total Revenue]],tSales[[Date]],"&gt;="&amp;DStart,tSales[[Date]],"&lt;="&amp;DEnd,tSales[[Pen ID]],FPen,tSales[[Batch ID]],FBatch,tSales[[Animal Type]],FAnimal,tSales[[Customer]],$G65,tSales[[Payment Method]],"Credit"))</f>
        <v/>
      </c>
    </row>
    <row r="66">
      <c r="A66" s="27">
        <f>IFERROR(INDEX(tExpCat[[Expense Category]],13)&amp;"","")</f>
        <v/>
      </c>
      <c r="B66" s="29">
        <f>IF($A66="","",SUMIFS(tExp[[Amount]],tExp[[Date]],"&gt;="&amp;DStart,tExp[[Date]],"&lt;="&amp;DEnd,tExp[[Pen ID / General]],FPen,tExp[[Batch ID (if applicable)]],FBatch,tExp[[Animal Type]],FAnimal,tExp[[Category]],$A66))</f>
        <v/>
      </c>
      <c r="C66" s="29">
        <f>IF($A66="","",SUMIFS(tExp[[Amount]],tExp[[Date]],"&gt;="&amp;DStart,tExp[[Date]],"&lt;="&amp;DEnd,tExp[[Pen ID / General]],FPen,tExp[[Batch ID (if applicable)]],FBatch,tExp[[Animal Type]],FAnimal,tExp[[Category]],$A66,tExp[[Cost Level]],"Batch direct"))</f>
        <v/>
      </c>
      <c r="D66" s="29">
        <f>IF($A66="","",SUMIFS(tExp[[Amount]],tExp[[Date]],"&gt;="&amp;DStart,tExp[[Date]],"&lt;="&amp;DEnd,tExp[[Pen ID / General]],FPen,tExp[[Batch ID (if applicable)]],FBatch,tExp[[Animal Type]],FAnimal,tExp[[Category]],$A66,tExp[[Cost Level]],"Pen-level"))</f>
        <v/>
      </c>
      <c r="E66" s="29">
        <f>IF($A66="","",SUMIFS(tExp[[Amount]],tExp[[Date]],"&gt;="&amp;DStart,tExp[[Date]],"&lt;="&amp;DEnd,tExp[[Pen ID / General]],FPen,tExp[[Batch ID (if applicable)]],FBatch,tExp[[Animal Type]],FAnimal,tExp[[Category]],$A66,tExp[[Cost Level]],"General overhead"))</f>
        <v/>
      </c>
      <c r="G66" s="27">
        <f>IFERROR(INDEX(tCustomers[[Customer]],13)&amp;"","")</f>
        <v/>
      </c>
      <c r="H66" s="29">
        <f>IF($G66="","",SUMIFS(tSales[[Total Revenue]],tSales[[Date]],"&gt;="&amp;DStart,tSales[[Date]],"&lt;="&amp;DEnd,tSales[[Pen ID]],FPen,tSales[[Batch ID]],FBatch,tSales[[Animal Type]],FAnimal,tSales[[Customer]],$G66))</f>
        <v/>
      </c>
      <c r="I66" s="39">
        <f>IF($G66="","",COUNTIFS(tSales[[Date]],"&gt;="&amp;DStart,tSales[[Date]],"&lt;="&amp;DEnd,tSales[[Pen ID]],FPen,tSales[[Batch ID]],FBatch,tSales[[Animal Type]],FAnimal,tSales[[Customer]],$G66))</f>
        <v/>
      </c>
      <c r="J66" s="29">
        <f>IF($G66="","",SUMIFS(tSales[[Total Revenue]],tSales[[Date]],"&gt;="&amp;DStart,tSales[[Date]],"&lt;="&amp;DEnd,tSales[[Pen ID]],FPen,tSales[[Batch ID]],FBatch,tSales[[Animal Type]],FAnimal,tSales[[Customer]],$G66,tSales[[Payment Method]],"Credit"))</f>
        <v/>
      </c>
    </row>
    <row r="67">
      <c r="A67" s="27">
        <f>IFERROR(INDEX(tExpCat[[Expense Category]],14)&amp;"","")</f>
        <v/>
      </c>
      <c r="B67" s="29">
        <f>IF($A67="","",SUMIFS(tExp[[Amount]],tExp[[Date]],"&gt;="&amp;DStart,tExp[[Date]],"&lt;="&amp;DEnd,tExp[[Pen ID / General]],FPen,tExp[[Batch ID (if applicable)]],FBatch,tExp[[Animal Type]],FAnimal,tExp[[Category]],$A67))</f>
        <v/>
      </c>
      <c r="C67" s="29">
        <f>IF($A67="","",SUMIFS(tExp[[Amount]],tExp[[Date]],"&gt;="&amp;DStart,tExp[[Date]],"&lt;="&amp;DEnd,tExp[[Pen ID / General]],FPen,tExp[[Batch ID (if applicable)]],FBatch,tExp[[Animal Type]],FAnimal,tExp[[Category]],$A67,tExp[[Cost Level]],"Batch direct"))</f>
        <v/>
      </c>
      <c r="D67" s="29">
        <f>IF($A67="","",SUMIFS(tExp[[Amount]],tExp[[Date]],"&gt;="&amp;DStart,tExp[[Date]],"&lt;="&amp;DEnd,tExp[[Pen ID / General]],FPen,tExp[[Batch ID (if applicable)]],FBatch,tExp[[Animal Type]],FAnimal,tExp[[Category]],$A67,tExp[[Cost Level]],"Pen-level"))</f>
        <v/>
      </c>
      <c r="E67" s="29">
        <f>IF($A67="","",SUMIFS(tExp[[Amount]],tExp[[Date]],"&gt;="&amp;DStart,tExp[[Date]],"&lt;="&amp;DEnd,tExp[[Pen ID / General]],FPen,tExp[[Batch ID (if applicable)]],FBatch,tExp[[Animal Type]],FAnimal,tExp[[Category]],$A67,tExp[[Cost Level]],"General overhead"))</f>
        <v/>
      </c>
      <c r="G67" s="27">
        <f>IFERROR(INDEX(tCustomers[[Customer]],14)&amp;"","")</f>
        <v/>
      </c>
      <c r="H67" s="29">
        <f>IF($G67="","",SUMIFS(tSales[[Total Revenue]],tSales[[Date]],"&gt;="&amp;DStart,tSales[[Date]],"&lt;="&amp;DEnd,tSales[[Pen ID]],FPen,tSales[[Batch ID]],FBatch,tSales[[Animal Type]],FAnimal,tSales[[Customer]],$G67))</f>
        <v/>
      </c>
      <c r="I67" s="39">
        <f>IF($G67="","",COUNTIFS(tSales[[Date]],"&gt;="&amp;DStart,tSales[[Date]],"&lt;="&amp;DEnd,tSales[[Pen ID]],FPen,tSales[[Batch ID]],FBatch,tSales[[Animal Type]],FAnimal,tSales[[Customer]],$G67))</f>
        <v/>
      </c>
      <c r="J67" s="29">
        <f>IF($G67="","",SUMIFS(tSales[[Total Revenue]],tSales[[Date]],"&gt;="&amp;DStart,tSales[[Date]],"&lt;="&amp;DEnd,tSales[[Pen ID]],FPen,tSales[[Batch ID]],FBatch,tSales[[Animal Type]],FAnimal,tSales[[Customer]],$G67,tSales[[Payment Method]],"Credit"))</f>
        <v/>
      </c>
    </row>
    <row r="68">
      <c r="A68" s="27">
        <f>IFERROR(INDEX(tExpCat[[Expense Category]],15)&amp;"","")</f>
        <v/>
      </c>
      <c r="B68" s="29">
        <f>IF($A68="","",SUMIFS(tExp[[Amount]],tExp[[Date]],"&gt;="&amp;DStart,tExp[[Date]],"&lt;="&amp;DEnd,tExp[[Pen ID / General]],FPen,tExp[[Batch ID (if applicable)]],FBatch,tExp[[Animal Type]],FAnimal,tExp[[Category]],$A68))</f>
        <v/>
      </c>
      <c r="C68" s="29">
        <f>IF($A68="","",SUMIFS(tExp[[Amount]],tExp[[Date]],"&gt;="&amp;DStart,tExp[[Date]],"&lt;="&amp;DEnd,tExp[[Pen ID / General]],FPen,tExp[[Batch ID (if applicable)]],FBatch,tExp[[Animal Type]],FAnimal,tExp[[Category]],$A68,tExp[[Cost Level]],"Batch direct"))</f>
        <v/>
      </c>
      <c r="D68" s="29">
        <f>IF($A68="","",SUMIFS(tExp[[Amount]],tExp[[Date]],"&gt;="&amp;DStart,tExp[[Date]],"&lt;="&amp;DEnd,tExp[[Pen ID / General]],FPen,tExp[[Batch ID (if applicable)]],FBatch,tExp[[Animal Type]],FAnimal,tExp[[Category]],$A68,tExp[[Cost Level]],"Pen-level"))</f>
        <v/>
      </c>
      <c r="E68" s="29">
        <f>IF($A68="","",SUMIFS(tExp[[Amount]],tExp[[Date]],"&gt;="&amp;DStart,tExp[[Date]],"&lt;="&amp;DEnd,tExp[[Pen ID / General]],FPen,tExp[[Batch ID (if applicable)]],FBatch,tExp[[Animal Type]],FAnimal,tExp[[Category]],$A68,tExp[[Cost Level]],"General overhead"))</f>
        <v/>
      </c>
      <c r="G68" s="27">
        <f>IFERROR(INDEX(tCustomers[[Customer]],15)&amp;"","")</f>
        <v/>
      </c>
      <c r="H68" s="29">
        <f>IF($G68="","",SUMIFS(tSales[[Total Revenue]],tSales[[Date]],"&gt;="&amp;DStart,tSales[[Date]],"&lt;="&amp;DEnd,tSales[[Pen ID]],FPen,tSales[[Batch ID]],FBatch,tSales[[Animal Type]],FAnimal,tSales[[Customer]],$G68))</f>
        <v/>
      </c>
      <c r="I68" s="39">
        <f>IF($G68="","",COUNTIFS(tSales[[Date]],"&gt;="&amp;DStart,tSales[[Date]],"&lt;="&amp;DEnd,tSales[[Pen ID]],FPen,tSales[[Batch ID]],FBatch,tSales[[Animal Type]],FAnimal,tSales[[Customer]],$G68))</f>
        <v/>
      </c>
      <c r="J68" s="29">
        <f>IF($G68="","",SUMIFS(tSales[[Total Revenue]],tSales[[Date]],"&gt;="&amp;DStart,tSales[[Date]],"&lt;="&amp;DEnd,tSales[[Pen ID]],FPen,tSales[[Batch ID]],FBatch,tSales[[Animal Type]],FAnimal,tSales[[Customer]],$G68,tSales[[Payment Method]],"Credit"))</f>
        <v/>
      </c>
    </row>
    <row r="69">
      <c r="A69" s="27">
        <f>IFERROR(INDEX(tExpCat[[Expense Category]],16)&amp;"","")</f>
        <v/>
      </c>
      <c r="B69" s="29">
        <f>IF($A69="","",SUMIFS(tExp[[Amount]],tExp[[Date]],"&gt;="&amp;DStart,tExp[[Date]],"&lt;="&amp;DEnd,tExp[[Pen ID / General]],FPen,tExp[[Batch ID (if applicable)]],FBatch,tExp[[Animal Type]],FAnimal,tExp[[Category]],$A69))</f>
        <v/>
      </c>
      <c r="C69" s="29">
        <f>IF($A69="","",SUMIFS(tExp[[Amount]],tExp[[Date]],"&gt;="&amp;DStart,tExp[[Date]],"&lt;="&amp;DEnd,tExp[[Pen ID / General]],FPen,tExp[[Batch ID (if applicable)]],FBatch,tExp[[Animal Type]],FAnimal,tExp[[Category]],$A69,tExp[[Cost Level]],"Batch direct"))</f>
        <v/>
      </c>
      <c r="D69" s="29">
        <f>IF($A69="","",SUMIFS(tExp[[Amount]],tExp[[Date]],"&gt;="&amp;DStart,tExp[[Date]],"&lt;="&amp;DEnd,tExp[[Pen ID / General]],FPen,tExp[[Batch ID (if applicable)]],FBatch,tExp[[Animal Type]],FAnimal,tExp[[Category]],$A69,tExp[[Cost Level]],"Pen-level"))</f>
        <v/>
      </c>
      <c r="E69" s="29">
        <f>IF($A69="","",SUMIFS(tExp[[Amount]],tExp[[Date]],"&gt;="&amp;DStart,tExp[[Date]],"&lt;="&amp;DEnd,tExp[[Pen ID / General]],FPen,tExp[[Batch ID (if applicable)]],FBatch,tExp[[Animal Type]],FAnimal,tExp[[Category]],$A69,tExp[[Cost Level]],"General overhead"))</f>
        <v/>
      </c>
      <c r="G69" s="27">
        <f>IFERROR(INDEX(tCustomers[[Customer]],16)&amp;"","")</f>
        <v/>
      </c>
      <c r="H69" s="29">
        <f>IF($G69="","",SUMIFS(tSales[[Total Revenue]],tSales[[Date]],"&gt;="&amp;DStart,tSales[[Date]],"&lt;="&amp;DEnd,tSales[[Pen ID]],FPen,tSales[[Batch ID]],FBatch,tSales[[Animal Type]],FAnimal,tSales[[Customer]],$G69))</f>
        <v/>
      </c>
      <c r="I69" s="39">
        <f>IF($G69="","",COUNTIFS(tSales[[Date]],"&gt;="&amp;DStart,tSales[[Date]],"&lt;="&amp;DEnd,tSales[[Pen ID]],FPen,tSales[[Batch ID]],FBatch,tSales[[Animal Type]],FAnimal,tSales[[Customer]],$G69))</f>
        <v/>
      </c>
      <c r="J69" s="29">
        <f>IF($G69="","",SUMIFS(tSales[[Total Revenue]],tSales[[Date]],"&gt;="&amp;DStart,tSales[[Date]],"&lt;="&amp;DEnd,tSales[[Pen ID]],FPen,tSales[[Batch ID]],FBatch,tSales[[Animal Type]],FAnimal,tSales[[Customer]],$G69,tSales[[Payment Method]],"Credit"))</f>
        <v/>
      </c>
    </row>
    <row r="70">
      <c r="A70" s="27">
        <f>IFERROR(INDEX(tExpCat[[Expense Category]],17)&amp;"","")</f>
        <v/>
      </c>
      <c r="B70" s="29">
        <f>IF($A70="","",SUMIFS(tExp[[Amount]],tExp[[Date]],"&gt;="&amp;DStart,tExp[[Date]],"&lt;="&amp;DEnd,tExp[[Pen ID / General]],FPen,tExp[[Batch ID (if applicable)]],FBatch,tExp[[Animal Type]],FAnimal,tExp[[Category]],$A70))</f>
        <v/>
      </c>
      <c r="C70" s="29">
        <f>IF($A70="","",SUMIFS(tExp[[Amount]],tExp[[Date]],"&gt;="&amp;DStart,tExp[[Date]],"&lt;="&amp;DEnd,tExp[[Pen ID / General]],FPen,tExp[[Batch ID (if applicable)]],FBatch,tExp[[Animal Type]],FAnimal,tExp[[Category]],$A70,tExp[[Cost Level]],"Batch direct"))</f>
        <v/>
      </c>
      <c r="D70" s="29">
        <f>IF($A70="","",SUMIFS(tExp[[Amount]],tExp[[Date]],"&gt;="&amp;DStart,tExp[[Date]],"&lt;="&amp;DEnd,tExp[[Pen ID / General]],FPen,tExp[[Batch ID (if applicable)]],FBatch,tExp[[Animal Type]],FAnimal,tExp[[Category]],$A70,tExp[[Cost Level]],"Pen-level"))</f>
        <v/>
      </c>
      <c r="E70" s="29">
        <f>IF($A70="","",SUMIFS(tExp[[Amount]],tExp[[Date]],"&gt;="&amp;DStart,tExp[[Date]],"&lt;="&amp;DEnd,tExp[[Pen ID / General]],FPen,tExp[[Batch ID (if applicable)]],FBatch,tExp[[Animal Type]],FAnimal,tExp[[Category]],$A70,tExp[[Cost Level]],"General overhead"))</f>
        <v/>
      </c>
      <c r="G70" s="27">
        <f>IFERROR(INDEX(tCustomers[[Customer]],17)&amp;"","")</f>
        <v/>
      </c>
      <c r="H70" s="29">
        <f>IF($G70="","",SUMIFS(tSales[[Total Revenue]],tSales[[Date]],"&gt;="&amp;DStart,tSales[[Date]],"&lt;="&amp;DEnd,tSales[[Pen ID]],FPen,tSales[[Batch ID]],FBatch,tSales[[Animal Type]],FAnimal,tSales[[Customer]],$G70))</f>
        <v/>
      </c>
      <c r="I70" s="39">
        <f>IF($G70="","",COUNTIFS(tSales[[Date]],"&gt;="&amp;DStart,tSales[[Date]],"&lt;="&amp;DEnd,tSales[[Pen ID]],FPen,tSales[[Batch ID]],FBatch,tSales[[Animal Type]],FAnimal,tSales[[Customer]],$G70))</f>
        <v/>
      </c>
      <c r="J70" s="29">
        <f>IF($G70="","",SUMIFS(tSales[[Total Revenue]],tSales[[Date]],"&gt;="&amp;DStart,tSales[[Date]],"&lt;="&amp;DEnd,tSales[[Pen ID]],FPen,tSales[[Batch ID]],FBatch,tSales[[Animal Type]],FAnimal,tSales[[Customer]],$G70,tSales[[Payment Method]],"Credit"))</f>
        <v/>
      </c>
    </row>
    <row r="71">
      <c r="A71" s="27">
        <f>IFERROR(INDEX(tExpCat[[Expense Category]],18)&amp;"","")</f>
        <v/>
      </c>
      <c r="B71" s="29">
        <f>IF($A71="","",SUMIFS(tExp[[Amount]],tExp[[Date]],"&gt;="&amp;DStart,tExp[[Date]],"&lt;="&amp;DEnd,tExp[[Pen ID / General]],FPen,tExp[[Batch ID (if applicable)]],FBatch,tExp[[Animal Type]],FAnimal,tExp[[Category]],$A71))</f>
        <v/>
      </c>
      <c r="C71" s="29">
        <f>IF($A71="","",SUMIFS(tExp[[Amount]],tExp[[Date]],"&gt;="&amp;DStart,tExp[[Date]],"&lt;="&amp;DEnd,tExp[[Pen ID / General]],FPen,tExp[[Batch ID (if applicable)]],FBatch,tExp[[Animal Type]],FAnimal,tExp[[Category]],$A71,tExp[[Cost Level]],"Batch direct"))</f>
        <v/>
      </c>
      <c r="D71" s="29">
        <f>IF($A71="","",SUMIFS(tExp[[Amount]],tExp[[Date]],"&gt;="&amp;DStart,tExp[[Date]],"&lt;="&amp;DEnd,tExp[[Pen ID / General]],FPen,tExp[[Batch ID (if applicable)]],FBatch,tExp[[Animal Type]],FAnimal,tExp[[Category]],$A71,tExp[[Cost Level]],"Pen-level"))</f>
        <v/>
      </c>
      <c r="E71" s="29">
        <f>IF($A71="","",SUMIFS(tExp[[Amount]],tExp[[Date]],"&gt;="&amp;DStart,tExp[[Date]],"&lt;="&amp;DEnd,tExp[[Pen ID / General]],FPen,tExp[[Batch ID (if applicable)]],FBatch,tExp[[Animal Type]],FAnimal,tExp[[Category]],$A71,tExp[[Cost Level]],"General overhead"))</f>
        <v/>
      </c>
      <c r="G71" s="27">
        <f>IFERROR(INDEX(tCustomers[[Customer]],18)&amp;"","")</f>
        <v/>
      </c>
      <c r="H71" s="29">
        <f>IF($G71="","",SUMIFS(tSales[[Total Revenue]],tSales[[Date]],"&gt;="&amp;DStart,tSales[[Date]],"&lt;="&amp;DEnd,tSales[[Pen ID]],FPen,tSales[[Batch ID]],FBatch,tSales[[Animal Type]],FAnimal,tSales[[Customer]],$G71))</f>
        <v/>
      </c>
      <c r="I71" s="39">
        <f>IF($G71="","",COUNTIFS(tSales[[Date]],"&gt;="&amp;DStart,tSales[[Date]],"&lt;="&amp;DEnd,tSales[[Pen ID]],FPen,tSales[[Batch ID]],FBatch,tSales[[Animal Type]],FAnimal,tSales[[Customer]],$G71))</f>
        <v/>
      </c>
      <c r="J71" s="29">
        <f>IF($G71="","",SUMIFS(tSales[[Total Revenue]],tSales[[Date]],"&gt;="&amp;DStart,tSales[[Date]],"&lt;="&amp;DEnd,tSales[[Pen ID]],FPen,tSales[[Batch ID]],FBatch,tSales[[Animal Type]],FAnimal,tSales[[Customer]],$G71,tSales[[Payment Method]],"Credit"))</f>
        <v/>
      </c>
    </row>
    <row r="72">
      <c r="A72" s="27">
        <f>IFERROR(INDEX(tExpCat[[Expense Category]],19)&amp;"","")</f>
        <v/>
      </c>
      <c r="B72" s="29">
        <f>IF($A72="","",SUMIFS(tExp[[Amount]],tExp[[Date]],"&gt;="&amp;DStart,tExp[[Date]],"&lt;="&amp;DEnd,tExp[[Pen ID / General]],FPen,tExp[[Batch ID (if applicable)]],FBatch,tExp[[Animal Type]],FAnimal,tExp[[Category]],$A72))</f>
        <v/>
      </c>
      <c r="C72" s="29">
        <f>IF($A72="","",SUMIFS(tExp[[Amount]],tExp[[Date]],"&gt;="&amp;DStart,tExp[[Date]],"&lt;="&amp;DEnd,tExp[[Pen ID / General]],FPen,tExp[[Batch ID (if applicable)]],FBatch,tExp[[Animal Type]],FAnimal,tExp[[Category]],$A72,tExp[[Cost Level]],"Batch direct"))</f>
        <v/>
      </c>
      <c r="D72" s="29">
        <f>IF($A72="","",SUMIFS(tExp[[Amount]],tExp[[Date]],"&gt;="&amp;DStart,tExp[[Date]],"&lt;="&amp;DEnd,tExp[[Pen ID / General]],FPen,tExp[[Batch ID (if applicable)]],FBatch,tExp[[Animal Type]],FAnimal,tExp[[Category]],$A72,tExp[[Cost Level]],"Pen-level"))</f>
        <v/>
      </c>
      <c r="E72" s="29">
        <f>IF($A72="","",SUMIFS(tExp[[Amount]],tExp[[Date]],"&gt;="&amp;DStart,tExp[[Date]],"&lt;="&amp;DEnd,tExp[[Pen ID / General]],FPen,tExp[[Batch ID (if applicable)]],FBatch,tExp[[Animal Type]],FAnimal,tExp[[Category]],$A72,tExp[[Cost Level]],"General overhead"))</f>
        <v/>
      </c>
      <c r="G72" s="27">
        <f>IFERROR(INDEX(tCustomers[[Customer]],19)&amp;"","")</f>
        <v/>
      </c>
      <c r="H72" s="29">
        <f>IF($G72="","",SUMIFS(tSales[[Total Revenue]],tSales[[Date]],"&gt;="&amp;DStart,tSales[[Date]],"&lt;="&amp;DEnd,tSales[[Pen ID]],FPen,tSales[[Batch ID]],FBatch,tSales[[Animal Type]],FAnimal,tSales[[Customer]],$G72))</f>
        <v/>
      </c>
      <c r="I72" s="39">
        <f>IF($G72="","",COUNTIFS(tSales[[Date]],"&gt;="&amp;DStart,tSales[[Date]],"&lt;="&amp;DEnd,tSales[[Pen ID]],FPen,tSales[[Batch ID]],FBatch,tSales[[Animal Type]],FAnimal,tSales[[Customer]],$G72))</f>
        <v/>
      </c>
      <c r="J72" s="29">
        <f>IF($G72="","",SUMIFS(tSales[[Total Revenue]],tSales[[Date]],"&gt;="&amp;DStart,tSales[[Date]],"&lt;="&amp;DEnd,tSales[[Pen ID]],FPen,tSales[[Batch ID]],FBatch,tSales[[Animal Type]],FAnimal,tSales[[Customer]],$G72,tSales[[Payment Method]],"Credit"))</f>
        <v/>
      </c>
    </row>
    <row r="73">
      <c r="A73" s="27">
        <f>IFERROR(INDEX(tExpCat[[Expense Category]],20)&amp;"","")</f>
        <v/>
      </c>
      <c r="B73" s="29">
        <f>IF($A73="","",SUMIFS(tExp[[Amount]],tExp[[Date]],"&gt;="&amp;DStart,tExp[[Date]],"&lt;="&amp;DEnd,tExp[[Pen ID / General]],FPen,tExp[[Batch ID (if applicable)]],FBatch,tExp[[Animal Type]],FAnimal,tExp[[Category]],$A73))</f>
        <v/>
      </c>
      <c r="C73" s="29">
        <f>IF($A73="","",SUMIFS(tExp[[Amount]],tExp[[Date]],"&gt;="&amp;DStart,tExp[[Date]],"&lt;="&amp;DEnd,tExp[[Pen ID / General]],FPen,tExp[[Batch ID (if applicable)]],FBatch,tExp[[Animal Type]],FAnimal,tExp[[Category]],$A73,tExp[[Cost Level]],"Batch direct"))</f>
        <v/>
      </c>
      <c r="D73" s="29">
        <f>IF($A73="","",SUMIFS(tExp[[Amount]],tExp[[Date]],"&gt;="&amp;DStart,tExp[[Date]],"&lt;="&amp;DEnd,tExp[[Pen ID / General]],FPen,tExp[[Batch ID (if applicable)]],FBatch,tExp[[Animal Type]],FAnimal,tExp[[Category]],$A73,tExp[[Cost Level]],"Pen-level"))</f>
        <v/>
      </c>
      <c r="E73" s="29">
        <f>IF($A73="","",SUMIFS(tExp[[Amount]],tExp[[Date]],"&gt;="&amp;DStart,tExp[[Date]],"&lt;="&amp;DEnd,tExp[[Pen ID / General]],FPen,tExp[[Batch ID (if applicable)]],FBatch,tExp[[Animal Type]],FAnimal,tExp[[Category]],$A73,tExp[[Cost Level]],"General overhead"))</f>
        <v/>
      </c>
      <c r="G73" s="27">
        <f>IFERROR(INDEX(tCustomers[[Customer]],20)&amp;"","")</f>
        <v/>
      </c>
      <c r="H73" s="29">
        <f>IF($G73="","",SUMIFS(tSales[[Total Revenue]],tSales[[Date]],"&gt;="&amp;DStart,tSales[[Date]],"&lt;="&amp;DEnd,tSales[[Pen ID]],FPen,tSales[[Batch ID]],FBatch,tSales[[Animal Type]],FAnimal,tSales[[Customer]],$G73))</f>
        <v/>
      </c>
      <c r="I73" s="39">
        <f>IF($G73="","",COUNTIFS(tSales[[Date]],"&gt;="&amp;DStart,tSales[[Date]],"&lt;="&amp;DEnd,tSales[[Pen ID]],FPen,tSales[[Batch ID]],FBatch,tSales[[Animal Type]],FAnimal,tSales[[Customer]],$G73))</f>
        <v/>
      </c>
      <c r="J73" s="29">
        <f>IF($G73="","",SUMIFS(tSales[[Total Revenue]],tSales[[Date]],"&gt;="&amp;DStart,tSales[[Date]],"&lt;="&amp;DEnd,tSales[[Pen ID]],FPen,tSales[[Batch ID]],FBatch,tSales[[Animal Type]],FAnimal,tSales[[Customer]],$G73,tSales[[Payment Method]],"Credit"))</f>
        <v/>
      </c>
    </row>
    <row r="74">
      <c r="A74" s="27">
        <f>IFERROR(INDEX(tExpCat[[Expense Category]],21)&amp;"","")</f>
        <v/>
      </c>
      <c r="B74" s="29">
        <f>IF($A74="","",SUMIFS(tExp[[Amount]],tExp[[Date]],"&gt;="&amp;DStart,tExp[[Date]],"&lt;="&amp;DEnd,tExp[[Pen ID / General]],FPen,tExp[[Batch ID (if applicable)]],FBatch,tExp[[Animal Type]],FAnimal,tExp[[Category]],$A74))</f>
        <v/>
      </c>
      <c r="C74" s="29">
        <f>IF($A74="","",SUMIFS(tExp[[Amount]],tExp[[Date]],"&gt;="&amp;DStart,tExp[[Date]],"&lt;="&amp;DEnd,tExp[[Pen ID / General]],FPen,tExp[[Batch ID (if applicable)]],FBatch,tExp[[Animal Type]],FAnimal,tExp[[Category]],$A74,tExp[[Cost Level]],"Batch direct"))</f>
        <v/>
      </c>
      <c r="D74" s="29">
        <f>IF($A74="","",SUMIFS(tExp[[Amount]],tExp[[Date]],"&gt;="&amp;DStart,tExp[[Date]],"&lt;="&amp;DEnd,tExp[[Pen ID / General]],FPen,tExp[[Batch ID (if applicable)]],FBatch,tExp[[Animal Type]],FAnimal,tExp[[Category]],$A74,tExp[[Cost Level]],"Pen-level"))</f>
        <v/>
      </c>
      <c r="E74" s="29">
        <f>IF($A74="","",SUMIFS(tExp[[Amount]],tExp[[Date]],"&gt;="&amp;DStart,tExp[[Date]],"&lt;="&amp;DEnd,tExp[[Pen ID / General]],FPen,tExp[[Batch ID (if applicable)]],FBatch,tExp[[Animal Type]],FAnimal,tExp[[Category]],$A74,tExp[[Cost Level]],"General overhead"))</f>
        <v/>
      </c>
      <c r="G74" s="27">
        <f>IFERROR(INDEX(tCustomers[[Customer]],21)&amp;"","")</f>
        <v/>
      </c>
      <c r="H74" s="29">
        <f>IF($G74="","",SUMIFS(tSales[[Total Revenue]],tSales[[Date]],"&gt;="&amp;DStart,tSales[[Date]],"&lt;="&amp;DEnd,tSales[[Pen ID]],FPen,tSales[[Batch ID]],FBatch,tSales[[Animal Type]],FAnimal,tSales[[Customer]],$G74))</f>
        <v/>
      </c>
      <c r="I74" s="39">
        <f>IF($G74="","",COUNTIFS(tSales[[Date]],"&gt;="&amp;DStart,tSales[[Date]],"&lt;="&amp;DEnd,tSales[[Pen ID]],FPen,tSales[[Batch ID]],FBatch,tSales[[Animal Type]],FAnimal,tSales[[Customer]],$G74))</f>
        <v/>
      </c>
      <c r="J74" s="29">
        <f>IF($G74="","",SUMIFS(tSales[[Total Revenue]],tSales[[Date]],"&gt;="&amp;DStart,tSales[[Date]],"&lt;="&amp;DEnd,tSales[[Pen ID]],FPen,tSales[[Batch ID]],FBatch,tSales[[Animal Type]],FAnimal,tSales[[Customer]],$G74,tSales[[Payment Method]],"Credit"))</f>
        <v/>
      </c>
    </row>
    <row r="75">
      <c r="A75" s="27">
        <f>IFERROR(INDEX(tExpCat[[Expense Category]],22)&amp;"","")</f>
        <v/>
      </c>
      <c r="B75" s="29">
        <f>IF($A75="","",SUMIFS(tExp[[Amount]],tExp[[Date]],"&gt;="&amp;DStart,tExp[[Date]],"&lt;="&amp;DEnd,tExp[[Pen ID / General]],FPen,tExp[[Batch ID (if applicable)]],FBatch,tExp[[Animal Type]],FAnimal,tExp[[Category]],$A75))</f>
        <v/>
      </c>
      <c r="C75" s="29">
        <f>IF($A75="","",SUMIFS(tExp[[Amount]],tExp[[Date]],"&gt;="&amp;DStart,tExp[[Date]],"&lt;="&amp;DEnd,tExp[[Pen ID / General]],FPen,tExp[[Batch ID (if applicable)]],FBatch,tExp[[Animal Type]],FAnimal,tExp[[Category]],$A75,tExp[[Cost Level]],"Batch direct"))</f>
        <v/>
      </c>
      <c r="D75" s="29">
        <f>IF($A75="","",SUMIFS(tExp[[Amount]],tExp[[Date]],"&gt;="&amp;DStart,tExp[[Date]],"&lt;="&amp;DEnd,tExp[[Pen ID / General]],FPen,tExp[[Batch ID (if applicable)]],FBatch,tExp[[Animal Type]],FAnimal,tExp[[Category]],$A75,tExp[[Cost Level]],"Pen-level"))</f>
        <v/>
      </c>
      <c r="E75" s="29">
        <f>IF($A75="","",SUMIFS(tExp[[Amount]],tExp[[Date]],"&gt;="&amp;DStart,tExp[[Date]],"&lt;="&amp;DEnd,tExp[[Pen ID / General]],FPen,tExp[[Batch ID (if applicable)]],FBatch,tExp[[Animal Type]],FAnimal,tExp[[Category]],$A75,tExp[[Cost Level]],"General overhead"))</f>
        <v/>
      </c>
      <c r="G75" s="27">
        <f>IFERROR(INDEX(tCustomers[[Customer]],22)&amp;"","")</f>
        <v/>
      </c>
      <c r="H75" s="29">
        <f>IF($G75="","",SUMIFS(tSales[[Total Revenue]],tSales[[Date]],"&gt;="&amp;DStart,tSales[[Date]],"&lt;="&amp;DEnd,tSales[[Pen ID]],FPen,tSales[[Batch ID]],FBatch,tSales[[Animal Type]],FAnimal,tSales[[Customer]],$G75))</f>
        <v/>
      </c>
      <c r="I75" s="39">
        <f>IF($G75="","",COUNTIFS(tSales[[Date]],"&gt;="&amp;DStart,tSales[[Date]],"&lt;="&amp;DEnd,tSales[[Pen ID]],FPen,tSales[[Batch ID]],FBatch,tSales[[Animal Type]],FAnimal,tSales[[Customer]],$G75))</f>
        <v/>
      </c>
      <c r="J75" s="29">
        <f>IF($G75="","",SUMIFS(tSales[[Total Revenue]],tSales[[Date]],"&gt;="&amp;DStart,tSales[[Date]],"&lt;="&amp;DEnd,tSales[[Pen ID]],FPen,tSales[[Batch ID]],FBatch,tSales[[Animal Type]],FAnimal,tSales[[Customer]],$G75,tSales[[Payment Method]],"Credit"))</f>
        <v/>
      </c>
    </row>
    <row r="76">
      <c r="A76" s="27">
        <f>IFERROR(INDEX(tExpCat[[Expense Category]],23)&amp;"","")</f>
        <v/>
      </c>
      <c r="B76" s="29">
        <f>IF($A76="","",SUMIFS(tExp[[Amount]],tExp[[Date]],"&gt;="&amp;DStart,tExp[[Date]],"&lt;="&amp;DEnd,tExp[[Pen ID / General]],FPen,tExp[[Batch ID (if applicable)]],FBatch,tExp[[Animal Type]],FAnimal,tExp[[Category]],$A76))</f>
        <v/>
      </c>
      <c r="C76" s="29">
        <f>IF($A76="","",SUMIFS(tExp[[Amount]],tExp[[Date]],"&gt;="&amp;DStart,tExp[[Date]],"&lt;="&amp;DEnd,tExp[[Pen ID / General]],FPen,tExp[[Batch ID (if applicable)]],FBatch,tExp[[Animal Type]],FAnimal,tExp[[Category]],$A76,tExp[[Cost Level]],"Batch direct"))</f>
        <v/>
      </c>
      <c r="D76" s="29">
        <f>IF($A76="","",SUMIFS(tExp[[Amount]],tExp[[Date]],"&gt;="&amp;DStart,tExp[[Date]],"&lt;="&amp;DEnd,tExp[[Pen ID / General]],FPen,tExp[[Batch ID (if applicable)]],FBatch,tExp[[Animal Type]],FAnimal,tExp[[Category]],$A76,tExp[[Cost Level]],"Pen-level"))</f>
        <v/>
      </c>
      <c r="E76" s="29">
        <f>IF($A76="","",SUMIFS(tExp[[Amount]],tExp[[Date]],"&gt;="&amp;DStart,tExp[[Date]],"&lt;="&amp;DEnd,tExp[[Pen ID / General]],FPen,tExp[[Batch ID (if applicable)]],FBatch,tExp[[Animal Type]],FAnimal,tExp[[Category]],$A76,tExp[[Cost Level]],"General overhead"))</f>
        <v/>
      </c>
      <c r="G76" s="27">
        <f>IFERROR(INDEX(tCustomers[[Customer]],23)&amp;"","")</f>
        <v/>
      </c>
      <c r="H76" s="29">
        <f>IF($G76="","",SUMIFS(tSales[[Total Revenue]],tSales[[Date]],"&gt;="&amp;DStart,tSales[[Date]],"&lt;="&amp;DEnd,tSales[[Pen ID]],FPen,tSales[[Batch ID]],FBatch,tSales[[Animal Type]],FAnimal,tSales[[Customer]],$G76))</f>
        <v/>
      </c>
      <c r="I76" s="39">
        <f>IF($G76="","",COUNTIFS(tSales[[Date]],"&gt;="&amp;DStart,tSales[[Date]],"&lt;="&amp;DEnd,tSales[[Pen ID]],FPen,tSales[[Batch ID]],FBatch,tSales[[Animal Type]],FAnimal,tSales[[Customer]],$G76))</f>
        <v/>
      </c>
      <c r="J76" s="29">
        <f>IF($G76="","",SUMIFS(tSales[[Total Revenue]],tSales[[Date]],"&gt;="&amp;DStart,tSales[[Date]],"&lt;="&amp;DEnd,tSales[[Pen ID]],FPen,tSales[[Batch ID]],FBatch,tSales[[Animal Type]],FAnimal,tSales[[Customer]],$G76,tSales[[Payment Method]],"Credit"))</f>
        <v/>
      </c>
    </row>
    <row r="77">
      <c r="A77" s="27">
        <f>IFERROR(INDEX(tExpCat[[Expense Category]],24)&amp;"","")</f>
        <v/>
      </c>
      <c r="B77" s="29">
        <f>IF($A77="","",SUMIFS(tExp[[Amount]],tExp[[Date]],"&gt;="&amp;DStart,tExp[[Date]],"&lt;="&amp;DEnd,tExp[[Pen ID / General]],FPen,tExp[[Batch ID (if applicable)]],FBatch,tExp[[Animal Type]],FAnimal,tExp[[Category]],$A77))</f>
        <v/>
      </c>
      <c r="C77" s="29">
        <f>IF($A77="","",SUMIFS(tExp[[Amount]],tExp[[Date]],"&gt;="&amp;DStart,tExp[[Date]],"&lt;="&amp;DEnd,tExp[[Pen ID / General]],FPen,tExp[[Batch ID (if applicable)]],FBatch,tExp[[Animal Type]],FAnimal,tExp[[Category]],$A77,tExp[[Cost Level]],"Batch direct"))</f>
        <v/>
      </c>
      <c r="D77" s="29">
        <f>IF($A77="","",SUMIFS(tExp[[Amount]],tExp[[Date]],"&gt;="&amp;DStart,tExp[[Date]],"&lt;="&amp;DEnd,tExp[[Pen ID / General]],FPen,tExp[[Batch ID (if applicable)]],FBatch,tExp[[Animal Type]],FAnimal,tExp[[Category]],$A77,tExp[[Cost Level]],"Pen-level"))</f>
        <v/>
      </c>
      <c r="E77" s="29">
        <f>IF($A77="","",SUMIFS(tExp[[Amount]],tExp[[Date]],"&gt;="&amp;DStart,tExp[[Date]],"&lt;="&amp;DEnd,tExp[[Pen ID / General]],FPen,tExp[[Batch ID (if applicable)]],FBatch,tExp[[Animal Type]],FAnimal,tExp[[Category]],$A77,tExp[[Cost Level]],"General overhead"))</f>
        <v/>
      </c>
      <c r="G77" s="27">
        <f>IFERROR(INDEX(tCustomers[[Customer]],24)&amp;"","")</f>
        <v/>
      </c>
      <c r="H77" s="29">
        <f>IF($G77="","",SUMIFS(tSales[[Total Revenue]],tSales[[Date]],"&gt;="&amp;DStart,tSales[[Date]],"&lt;="&amp;DEnd,tSales[[Pen ID]],FPen,tSales[[Batch ID]],FBatch,tSales[[Animal Type]],FAnimal,tSales[[Customer]],$G77))</f>
        <v/>
      </c>
      <c r="I77" s="39">
        <f>IF($G77="","",COUNTIFS(tSales[[Date]],"&gt;="&amp;DStart,tSales[[Date]],"&lt;="&amp;DEnd,tSales[[Pen ID]],FPen,tSales[[Batch ID]],FBatch,tSales[[Animal Type]],FAnimal,tSales[[Customer]],$G77))</f>
        <v/>
      </c>
      <c r="J77" s="29">
        <f>IF($G77="","",SUMIFS(tSales[[Total Revenue]],tSales[[Date]],"&gt;="&amp;DStart,tSales[[Date]],"&lt;="&amp;DEnd,tSales[[Pen ID]],FPen,tSales[[Batch ID]],FBatch,tSales[[Animal Type]],FAnimal,tSales[[Customer]],$G77,tSales[[Payment Method]],"Credit"))</f>
        <v/>
      </c>
    </row>
    <row r="78">
      <c r="A78" s="27">
        <f>IFERROR(INDEX(tExpCat[[Expense Category]],25)&amp;"","")</f>
        <v/>
      </c>
      <c r="B78" s="29">
        <f>IF($A78="","",SUMIFS(tExp[[Amount]],tExp[[Date]],"&gt;="&amp;DStart,tExp[[Date]],"&lt;="&amp;DEnd,tExp[[Pen ID / General]],FPen,tExp[[Batch ID (if applicable)]],FBatch,tExp[[Animal Type]],FAnimal,tExp[[Category]],$A78))</f>
        <v/>
      </c>
      <c r="C78" s="29">
        <f>IF($A78="","",SUMIFS(tExp[[Amount]],tExp[[Date]],"&gt;="&amp;DStart,tExp[[Date]],"&lt;="&amp;DEnd,tExp[[Pen ID / General]],FPen,tExp[[Batch ID (if applicable)]],FBatch,tExp[[Animal Type]],FAnimal,tExp[[Category]],$A78,tExp[[Cost Level]],"Batch direct"))</f>
        <v/>
      </c>
      <c r="D78" s="29">
        <f>IF($A78="","",SUMIFS(tExp[[Amount]],tExp[[Date]],"&gt;="&amp;DStart,tExp[[Date]],"&lt;="&amp;DEnd,tExp[[Pen ID / General]],FPen,tExp[[Batch ID (if applicable)]],FBatch,tExp[[Animal Type]],FAnimal,tExp[[Category]],$A78,tExp[[Cost Level]],"Pen-level"))</f>
        <v/>
      </c>
      <c r="E78" s="29">
        <f>IF($A78="","",SUMIFS(tExp[[Amount]],tExp[[Date]],"&gt;="&amp;DStart,tExp[[Date]],"&lt;="&amp;DEnd,tExp[[Pen ID / General]],FPen,tExp[[Batch ID (if applicable)]],FBatch,tExp[[Animal Type]],FAnimal,tExp[[Category]],$A78,tExp[[Cost Level]],"General overhead"))</f>
        <v/>
      </c>
      <c r="G78" s="27">
        <f>IFERROR(INDEX(tCustomers[[Customer]],25)&amp;"","")</f>
        <v/>
      </c>
      <c r="H78" s="29">
        <f>IF($G78="","",SUMIFS(tSales[[Total Revenue]],tSales[[Date]],"&gt;="&amp;DStart,tSales[[Date]],"&lt;="&amp;DEnd,tSales[[Pen ID]],FPen,tSales[[Batch ID]],FBatch,tSales[[Animal Type]],FAnimal,tSales[[Customer]],$G78))</f>
        <v/>
      </c>
      <c r="I78" s="39">
        <f>IF($G78="","",COUNTIFS(tSales[[Date]],"&gt;="&amp;DStart,tSales[[Date]],"&lt;="&amp;DEnd,tSales[[Pen ID]],FPen,tSales[[Batch ID]],FBatch,tSales[[Animal Type]],FAnimal,tSales[[Customer]],$G78))</f>
        <v/>
      </c>
      <c r="J78" s="29">
        <f>IF($G78="","",SUMIFS(tSales[[Total Revenue]],tSales[[Date]],"&gt;="&amp;DStart,tSales[[Date]],"&lt;="&amp;DEnd,tSales[[Pen ID]],FPen,tSales[[Batch ID]],FBatch,tSales[[Animal Type]],FAnimal,tSales[[Customer]],$G78,tSales[[Payment Method]],"Credit"))</f>
        <v/>
      </c>
    </row>
    <row r="79">
      <c r="A79" s="59" t="inlineStr">
        <is>
          <t>Not in list / blank</t>
        </is>
      </c>
      <c r="B79" s="29">
        <f>B80-SUM(B54:B78)</f>
        <v/>
      </c>
      <c r="C79" s="29">
        <f>C80-SUM(C54:C78)</f>
        <v/>
      </c>
      <c r="D79" s="29">
        <f>D80-SUM(D54:D78)</f>
        <v/>
      </c>
      <c r="E79" s="29">
        <f>E80-SUM(E54:E78)</f>
        <v/>
      </c>
      <c r="G79" s="59" t="inlineStr">
        <is>
          <t>Not in list / blank</t>
        </is>
      </c>
      <c r="H79" s="29">
        <f>H80-SUM(H54:H78)</f>
        <v/>
      </c>
      <c r="I79" s="39">
        <f>I80-SUM(I54:I78)</f>
        <v/>
      </c>
      <c r="J79" s="29">
        <f>J80-SUM(J54:J78)</f>
        <v/>
      </c>
    </row>
    <row r="80">
      <c r="A80" s="32" t="inlineStr">
        <is>
          <t>TOTAL</t>
        </is>
      </c>
      <c r="B80" s="34">
        <f>SUMIFS(tExp[[Amount]],tExp[[Date]],"&gt;="&amp;DStart,tExp[[Date]],"&lt;="&amp;DEnd,tExp[[Pen ID / General]],FPen,tExp[[Batch ID (if applicable)]],FBatch,tExp[[Animal Type]],FAnimal)</f>
        <v/>
      </c>
      <c r="C80" s="34">
        <f>SUMIFS(tExp[[Amount]],tExp[[Date]],"&gt;="&amp;DStart,tExp[[Date]],"&lt;="&amp;DEnd,tExp[[Pen ID / General]],FPen,tExp[[Batch ID (if applicable)]],FBatch,tExp[[Animal Type]],FAnimal,tExp[[Cost Level]],"Batch direct")</f>
        <v/>
      </c>
      <c r="D80" s="34">
        <f>SUMIFS(tExp[[Amount]],tExp[[Date]],"&gt;="&amp;DStart,tExp[[Date]],"&lt;="&amp;DEnd,tExp[[Pen ID / General]],FPen,tExp[[Batch ID (if applicable)]],FBatch,tExp[[Animal Type]],FAnimal,tExp[[Cost Level]],"Pen-level")</f>
        <v/>
      </c>
      <c r="E80" s="34">
        <f>SUMIFS(tExp[[Amount]],tExp[[Date]],"&gt;="&amp;DStart,tExp[[Date]],"&lt;="&amp;DEnd,tExp[[Pen ID / General]],FPen,tExp[[Batch ID (if applicable)]],FBatch,tExp[[Animal Type]],FAnimal,tExp[[Cost Level]],"General overhead")</f>
        <v/>
      </c>
      <c r="G80" s="32" t="inlineStr">
        <is>
          <t>TOTAL</t>
        </is>
      </c>
      <c r="H80" s="34">
        <f>SUMIFS(tSales[[Total Revenue]],tSales[[Date]],"&gt;="&amp;DStart,tSales[[Date]],"&lt;="&amp;DEnd,tSales[[Pen ID]],FPen,tSales[[Batch ID]],FBatch,tSales[[Animal Type]],FAnimal)</f>
        <v/>
      </c>
      <c r="I80" s="37">
        <f>COUNTIFS(tSales[[Date]],"&gt;="&amp;DStart,tSales[[Date]],"&lt;="&amp;DEnd,tSales[[Pen ID]],FPen,tSales[[Batch ID]],FBatch,tSales[[Animal Type]],FAnimal)</f>
        <v/>
      </c>
      <c r="J80" s="34">
        <f>SUMIFS(tSales[[Total Revenue]],tSales[[Date]],"&gt;="&amp;DStart,tSales[[Date]],"&lt;="&amp;DEnd,tSales[[Pen ID]],FPen,tSales[[Batch ID]],FBatch,tSales[[Animal Type]],FAnimal,tSales[[Payment Method]],"Credit")</f>
        <v/>
      </c>
    </row>
    <row r="82">
      <c r="A82" s="7" t="inlineStr">
        <is>
          <t>Tip: every log is an Excel Table, so Insert &gt; PivotTable on any log gives further ad-hoc views (e.g. feed by pen by week). Use the filter arrows on log headers to drill into records.</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worksheet>
</file>

<file path=xl/worksheets/sheet18.xml><?xml version="1.0" encoding="utf-8"?>
<worksheet xmlns="http://schemas.openxmlformats.org/spreadsheetml/2006/main">
  <sheetPr>
    <tabColor rgb="002F75B5"/>
    <outlinePr summaryBelow="1" summaryRight="1"/>
    <pageSetUpPr/>
  </sheetPr>
  <dimension ref="A1:M36"/>
  <sheetViews>
    <sheetView showGridLines="0" tabSelected="0" zoomScale="90" workbookViewId="0">
      <pane xSplit="1" ySplit="6" topLeftCell="B7"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3" customWidth="1" min="5" max="5"/>
    <col width="12" customWidth="1" min="6" max="6"/>
    <col width="13" customWidth="1" min="7" max="7"/>
    <col width="14" customWidth="1" min="8" max="8"/>
    <col width="14" customWidth="1" min="9" max="9"/>
    <col width="14" customWidth="1" min="10" max="10"/>
    <col width="9" customWidth="1" min="11" max="11"/>
    <col width="9" customWidth="1" min="12" max="12"/>
    <col width="10" customWidth="1" min="13" max="13"/>
  </cols>
  <sheetData>
    <row r="1">
      <c r="A1" s="1" t="inlineStr">
        <is>
          <t>TRENDS</t>
        </is>
      </c>
    </row>
    <row r="2">
      <c r="A2" s="7" t="inlineStr">
        <is>
          <t>Month-by-month and day-by-day totals. Follows the Pen / Batch / Animal filters chosen on the DASHBOARD. Change the first month in the yellow cell.</t>
        </is>
      </c>
    </row>
    <row r="4">
      <c r="A4" s="47" t="inlineStr">
        <is>
          <t>First month shown:</t>
        </is>
      </c>
      <c r="C4" s="60">
        <f>DATE(YEAR(TODAY()),MONTH(TODAY())-11,1)</f>
        <v/>
      </c>
      <c r="E4" s="7">
        <f>FilterText</f>
        <v/>
      </c>
    </row>
    <row r="6" ht="30" customHeight="1">
      <c r="A6" s="26" t="inlineStr">
        <is>
          <t>Month</t>
        </is>
      </c>
      <c r="B6" s="26" t="inlineStr">
        <is>
          <t>From</t>
        </is>
      </c>
      <c r="C6" s="26" t="inlineStr">
        <is>
          <t>To</t>
        </is>
      </c>
      <c r="D6" s="26" t="inlineStr">
        <is>
          <t>Feed Used kg</t>
        </is>
      </c>
      <c r="E6" s="26" t="inlineStr">
        <is>
          <t>Feed Cost</t>
        </is>
      </c>
      <c r="F6" s="26" t="inlineStr">
        <is>
          <t>Drug Cost</t>
        </is>
      </c>
      <c r="G6" s="26" t="inlineStr">
        <is>
          <t>Other Expenses</t>
        </is>
      </c>
      <c r="H6" s="26" t="inlineStr">
        <is>
          <t>Total Cost</t>
        </is>
      </c>
      <c r="I6" s="26" t="inlineStr">
        <is>
          <t>Revenue</t>
        </is>
      </c>
      <c r="J6" s="26" t="inlineStr">
        <is>
          <t>Profit / Loss</t>
        </is>
      </c>
      <c r="K6" s="26" t="inlineStr">
        <is>
          <t>Deaths</t>
        </is>
      </c>
      <c r="L6" s="26" t="inlineStr">
        <is>
          <t>Heads Sold</t>
        </is>
      </c>
      <c r="M6" s="26" t="inlineStr">
        <is>
          <t>Output Qty</t>
        </is>
      </c>
    </row>
    <row r="7">
      <c r="A7" s="27">
        <f>TEXT(B7,"mmm yyyy")</f>
        <v/>
      </c>
      <c r="B7" s="31">
        <f>EDATE(TrendStart,0)</f>
        <v/>
      </c>
      <c r="C7" s="31">
        <f>EOMONTH(B7,0)</f>
        <v/>
      </c>
      <c r="D7" s="28">
        <f>SUMIFS(tFeedIss[[Quantity Issued in kg]],tFeedIss[[Date]],"&gt;="&amp;$B7,tFeedIss[[Date]],"&lt;="&amp;$C7,tFeedIss[[Pen ID]],FPen,tFeedIss[[Batch ID]],FBatch,tFeedIss[[Animal Type]],FAnimal)</f>
        <v/>
      </c>
      <c r="E7" s="29">
        <f>SUMIFS(tFeedIss[[Total Cost]],tFeedIss[[Date]],"&gt;="&amp;$B7,tFeedIss[[Date]],"&lt;="&amp;$C7,tFeedIss[[Pen ID]],FPen,tFeedIss[[Batch ID]],FBatch,tFeedIss[[Animal Type]],FAnimal)</f>
        <v/>
      </c>
      <c r="F7" s="29">
        <f>SUMIFS(tDrugUse[[Total Cost]],tDrugUse[[Date]],"&gt;="&amp;$B7,tDrugUse[[Date]],"&lt;="&amp;$C7,tDrugUse[[Pen ID]],FPen,tDrugUse[[Batch ID]],FBatch,tDrugUse[[Animal Type]],FAnimal)</f>
        <v/>
      </c>
      <c r="G7" s="29">
        <f>SUMIFS(tExp[[Amount]],tExp[[Date]],"&gt;="&amp;$B7,tExp[[Date]],"&lt;="&amp;$C7,tExp[[Pen ID / General]],FPen,tExp[[Batch ID (if applicable)]],FBatch,tExp[[Animal Type]],FAnimal)</f>
        <v/>
      </c>
      <c r="H7" s="29">
        <f>E7+F7+G7</f>
        <v/>
      </c>
      <c r="I7" s="29">
        <f>SUMIFS(tSales[[Total Revenue]],tSales[[Date]],"&gt;="&amp;$B7,tSales[[Date]],"&lt;="&amp;$C7,tSales[[Pen ID]],FPen,tSales[[Batch ID]],FBatch,tSales[[Animal Type]],FAnimal)</f>
        <v/>
      </c>
      <c r="J7" s="41">
        <f>I7-H7</f>
        <v/>
      </c>
      <c r="K7" s="39">
        <f>SUMIFS(tMort[[Number of Deaths]],tMort[[Date]],"&gt;="&amp;$B7,tMort[[Date]],"&lt;="&amp;$C7,tMort[[Pen ID]],FPen,tMort[[Batch ID]],FBatch,tMort[[Animal Type]],FAnimal)</f>
        <v/>
      </c>
      <c r="L7" s="39">
        <f>SUMIFS(tSales[[Heads Removed]],tSales[[Date]],"&gt;="&amp;$B7,tSales[[Date]],"&lt;="&amp;$C7,tSales[[Pen ID]],FPen,tSales[[Batch ID]],FBatch,tSales[[Animal Type]],FAnimal)</f>
        <v/>
      </c>
      <c r="M7" s="28">
        <f>SUMIFS(tProd[[Quantity]],tProd[[Date]],"&gt;="&amp;$B7,tProd[[Date]],"&lt;="&amp;$C7,tProd[[Pen ID]],FPen,tProd[[Batch ID]],FBatch,tProd[[Animal Type]],FAnimal,tProd[[Measurement Type]],"&lt;&gt;Weighing")</f>
        <v/>
      </c>
    </row>
    <row r="8">
      <c r="A8" s="27">
        <f>TEXT(B8,"mmm yyyy")</f>
        <v/>
      </c>
      <c r="B8" s="31">
        <f>EDATE(TrendStart,1)</f>
        <v/>
      </c>
      <c r="C8" s="31">
        <f>EOMONTH(B8,0)</f>
        <v/>
      </c>
      <c r="D8" s="28">
        <f>SUMIFS(tFeedIss[[Quantity Issued in kg]],tFeedIss[[Date]],"&gt;="&amp;$B8,tFeedIss[[Date]],"&lt;="&amp;$C8,tFeedIss[[Pen ID]],FPen,tFeedIss[[Batch ID]],FBatch,tFeedIss[[Animal Type]],FAnimal)</f>
        <v/>
      </c>
      <c r="E8" s="29">
        <f>SUMIFS(tFeedIss[[Total Cost]],tFeedIss[[Date]],"&gt;="&amp;$B8,tFeedIss[[Date]],"&lt;="&amp;$C8,tFeedIss[[Pen ID]],FPen,tFeedIss[[Batch ID]],FBatch,tFeedIss[[Animal Type]],FAnimal)</f>
        <v/>
      </c>
      <c r="F8" s="29">
        <f>SUMIFS(tDrugUse[[Total Cost]],tDrugUse[[Date]],"&gt;="&amp;$B8,tDrugUse[[Date]],"&lt;="&amp;$C8,tDrugUse[[Pen ID]],FPen,tDrugUse[[Batch ID]],FBatch,tDrugUse[[Animal Type]],FAnimal)</f>
        <v/>
      </c>
      <c r="G8" s="29">
        <f>SUMIFS(tExp[[Amount]],tExp[[Date]],"&gt;="&amp;$B8,tExp[[Date]],"&lt;="&amp;$C8,tExp[[Pen ID / General]],FPen,tExp[[Batch ID (if applicable)]],FBatch,tExp[[Animal Type]],FAnimal)</f>
        <v/>
      </c>
      <c r="H8" s="29">
        <f>E8+F8+G8</f>
        <v/>
      </c>
      <c r="I8" s="29">
        <f>SUMIFS(tSales[[Total Revenue]],tSales[[Date]],"&gt;="&amp;$B8,tSales[[Date]],"&lt;="&amp;$C8,tSales[[Pen ID]],FPen,tSales[[Batch ID]],FBatch,tSales[[Animal Type]],FAnimal)</f>
        <v/>
      </c>
      <c r="J8" s="41">
        <f>I8-H8</f>
        <v/>
      </c>
      <c r="K8" s="39">
        <f>SUMIFS(tMort[[Number of Deaths]],tMort[[Date]],"&gt;="&amp;$B8,tMort[[Date]],"&lt;="&amp;$C8,tMort[[Pen ID]],FPen,tMort[[Batch ID]],FBatch,tMort[[Animal Type]],FAnimal)</f>
        <v/>
      </c>
      <c r="L8" s="39">
        <f>SUMIFS(tSales[[Heads Removed]],tSales[[Date]],"&gt;="&amp;$B8,tSales[[Date]],"&lt;="&amp;$C8,tSales[[Pen ID]],FPen,tSales[[Batch ID]],FBatch,tSales[[Animal Type]],FAnimal)</f>
        <v/>
      </c>
      <c r="M8" s="28">
        <f>SUMIFS(tProd[[Quantity]],tProd[[Date]],"&gt;="&amp;$B8,tProd[[Date]],"&lt;="&amp;$C8,tProd[[Pen ID]],FPen,tProd[[Batch ID]],FBatch,tProd[[Animal Type]],FAnimal,tProd[[Measurement Type]],"&lt;&gt;Weighing")</f>
        <v/>
      </c>
    </row>
    <row r="9">
      <c r="A9" s="27">
        <f>TEXT(B9,"mmm yyyy")</f>
        <v/>
      </c>
      <c r="B9" s="31">
        <f>EDATE(TrendStart,2)</f>
        <v/>
      </c>
      <c r="C9" s="31">
        <f>EOMONTH(B9,0)</f>
        <v/>
      </c>
      <c r="D9" s="28">
        <f>SUMIFS(tFeedIss[[Quantity Issued in kg]],tFeedIss[[Date]],"&gt;="&amp;$B9,tFeedIss[[Date]],"&lt;="&amp;$C9,tFeedIss[[Pen ID]],FPen,tFeedIss[[Batch ID]],FBatch,tFeedIss[[Animal Type]],FAnimal)</f>
        <v/>
      </c>
      <c r="E9" s="29">
        <f>SUMIFS(tFeedIss[[Total Cost]],tFeedIss[[Date]],"&gt;="&amp;$B9,tFeedIss[[Date]],"&lt;="&amp;$C9,tFeedIss[[Pen ID]],FPen,tFeedIss[[Batch ID]],FBatch,tFeedIss[[Animal Type]],FAnimal)</f>
        <v/>
      </c>
      <c r="F9" s="29">
        <f>SUMIFS(tDrugUse[[Total Cost]],tDrugUse[[Date]],"&gt;="&amp;$B9,tDrugUse[[Date]],"&lt;="&amp;$C9,tDrugUse[[Pen ID]],FPen,tDrugUse[[Batch ID]],FBatch,tDrugUse[[Animal Type]],FAnimal)</f>
        <v/>
      </c>
      <c r="G9" s="29">
        <f>SUMIFS(tExp[[Amount]],tExp[[Date]],"&gt;="&amp;$B9,tExp[[Date]],"&lt;="&amp;$C9,tExp[[Pen ID / General]],FPen,tExp[[Batch ID (if applicable)]],FBatch,tExp[[Animal Type]],FAnimal)</f>
        <v/>
      </c>
      <c r="H9" s="29">
        <f>E9+F9+G9</f>
        <v/>
      </c>
      <c r="I9" s="29">
        <f>SUMIFS(tSales[[Total Revenue]],tSales[[Date]],"&gt;="&amp;$B9,tSales[[Date]],"&lt;="&amp;$C9,tSales[[Pen ID]],FPen,tSales[[Batch ID]],FBatch,tSales[[Animal Type]],FAnimal)</f>
        <v/>
      </c>
      <c r="J9" s="41">
        <f>I9-H9</f>
        <v/>
      </c>
      <c r="K9" s="39">
        <f>SUMIFS(tMort[[Number of Deaths]],tMort[[Date]],"&gt;="&amp;$B9,tMort[[Date]],"&lt;="&amp;$C9,tMort[[Pen ID]],FPen,tMort[[Batch ID]],FBatch,tMort[[Animal Type]],FAnimal)</f>
        <v/>
      </c>
      <c r="L9" s="39">
        <f>SUMIFS(tSales[[Heads Removed]],tSales[[Date]],"&gt;="&amp;$B9,tSales[[Date]],"&lt;="&amp;$C9,tSales[[Pen ID]],FPen,tSales[[Batch ID]],FBatch,tSales[[Animal Type]],FAnimal)</f>
        <v/>
      </c>
      <c r="M9" s="28">
        <f>SUMIFS(tProd[[Quantity]],tProd[[Date]],"&gt;="&amp;$B9,tProd[[Date]],"&lt;="&amp;$C9,tProd[[Pen ID]],FPen,tProd[[Batch ID]],FBatch,tProd[[Animal Type]],FAnimal,tProd[[Measurement Type]],"&lt;&gt;Weighing")</f>
        <v/>
      </c>
    </row>
    <row r="10">
      <c r="A10" s="27">
        <f>TEXT(B10,"mmm yyyy")</f>
        <v/>
      </c>
      <c r="B10" s="31">
        <f>EDATE(TrendStart,3)</f>
        <v/>
      </c>
      <c r="C10" s="31">
        <f>EOMONTH(B10,0)</f>
        <v/>
      </c>
      <c r="D10" s="28">
        <f>SUMIFS(tFeedIss[[Quantity Issued in kg]],tFeedIss[[Date]],"&gt;="&amp;$B10,tFeedIss[[Date]],"&lt;="&amp;$C10,tFeedIss[[Pen ID]],FPen,tFeedIss[[Batch ID]],FBatch,tFeedIss[[Animal Type]],FAnimal)</f>
        <v/>
      </c>
      <c r="E10" s="29">
        <f>SUMIFS(tFeedIss[[Total Cost]],tFeedIss[[Date]],"&gt;="&amp;$B10,tFeedIss[[Date]],"&lt;="&amp;$C10,tFeedIss[[Pen ID]],FPen,tFeedIss[[Batch ID]],FBatch,tFeedIss[[Animal Type]],FAnimal)</f>
        <v/>
      </c>
      <c r="F10" s="29">
        <f>SUMIFS(tDrugUse[[Total Cost]],tDrugUse[[Date]],"&gt;="&amp;$B10,tDrugUse[[Date]],"&lt;="&amp;$C10,tDrugUse[[Pen ID]],FPen,tDrugUse[[Batch ID]],FBatch,tDrugUse[[Animal Type]],FAnimal)</f>
        <v/>
      </c>
      <c r="G10" s="29">
        <f>SUMIFS(tExp[[Amount]],tExp[[Date]],"&gt;="&amp;$B10,tExp[[Date]],"&lt;="&amp;$C10,tExp[[Pen ID / General]],FPen,tExp[[Batch ID (if applicable)]],FBatch,tExp[[Animal Type]],FAnimal)</f>
        <v/>
      </c>
      <c r="H10" s="29">
        <f>E10+F10+G10</f>
        <v/>
      </c>
      <c r="I10" s="29">
        <f>SUMIFS(tSales[[Total Revenue]],tSales[[Date]],"&gt;="&amp;$B10,tSales[[Date]],"&lt;="&amp;$C10,tSales[[Pen ID]],FPen,tSales[[Batch ID]],FBatch,tSales[[Animal Type]],FAnimal)</f>
        <v/>
      </c>
      <c r="J10" s="41">
        <f>I10-H10</f>
        <v/>
      </c>
      <c r="K10" s="39">
        <f>SUMIFS(tMort[[Number of Deaths]],tMort[[Date]],"&gt;="&amp;$B10,tMort[[Date]],"&lt;="&amp;$C10,tMort[[Pen ID]],FPen,tMort[[Batch ID]],FBatch,tMort[[Animal Type]],FAnimal)</f>
        <v/>
      </c>
      <c r="L10" s="39">
        <f>SUMIFS(tSales[[Heads Removed]],tSales[[Date]],"&gt;="&amp;$B10,tSales[[Date]],"&lt;="&amp;$C10,tSales[[Pen ID]],FPen,tSales[[Batch ID]],FBatch,tSales[[Animal Type]],FAnimal)</f>
        <v/>
      </c>
      <c r="M10" s="28">
        <f>SUMIFS(tProd[[Quantity]],tProd[[Date]],"&gt;="&amp;$B10,tProd[[Date]],"&lt;="&amp;$C10,tProd[[Pen ID]],FPen,tProd[[Batch ID]],FBatch,tProd[[Animal Type]],FAnimal,tProd[[Measurement Type]],"&lt;&gt;Weighing")</f>
        <v/>
      </c>
    </row>
    <row r="11">
      <c r="A11" s="27">
        <f>TEXT(B11,"mmm yyyy")</f>
        <v/>
      </c>
      <c r="B11" s="31">
        <f>EDATE(TrendStart,4)</f>
        <v/>
      </c>
      <c r="C11" s="31">
        <f>EOMONTH(B11,0)</f>
        <v/>
      </c>
      <c r="D11" s="28">
        <f>SUMIFS(tFeedIss[[Quantity Issued in kg]],tFeedIss[[Date]],"&gt;="&amp;$B11,tFeedIss[[Date]],"&lt;="&amp;$C11,tFeedIss[[Pen ID]],FPen,tFeedIss[[Batch ID]],FBatch,tFeedIss[[Animal Type]],FAnimal)</f>
        <v/>
      </c>
      <c r="E11" s="29">
        <f>SUMIFS(tFeedIss[[Total Cost]],tFeedIss[[Date]],"&gt;="&amp;$B11,tFeedIss[[Date]],"&lt;="&amp;$C11,tFeedIss[[Pen ID]],FPen,tFeedIss[[Batch ID]],FBatch,tFeedIss[[Animal Type]],FAnimal)</f>
        <v/>
      </c>
      <c r="F11" s="29">
        <f>SUMIFS(tDrugUse[[Total Cost]],tDrugUse[[Date]],"&gt;="&amp;$B11,tDrugUse[[Date]],"&lt;="&amp;$C11,tDrugUse[[Pen ID]],FPen,tDrugUse[[Batch ID]],FBatch,tDrugUse[[Animal Type]],FAnimal)</f>
        <v/>
      </c>
      <c r="G11" s="29">
        <f>SUMIFS(tExp[[Amount]],tExp[[Date]],"&gt;="&amp;$B11,tExp[[Date]],"&lt;="&amp;$C11,tExp[[Pen ID / General]],FPen,tExp[[Batch ID (if applicable)]],FBatch,tExp[[Animal Type]],FAnimal)</f>
        <v/>
      </c>
      <c r="H11" s="29">
        <f>E11+F11+G11</f>
        <v/>
      </c>
      <c r="I11" s="29">
        <f>SUMIFS(tSales[[Total Revenue]],tSales[[Date]],"&gt;="&amp;$B11,tSales[[Date]],"&lt;="&amp;$C11,tSales[[Pen ID]],FPen,tSales[[Batch ID]],FBatch,tSales[[Animal Type]],FAnimal)</f>
        <v/>
      </c>
      <c r="J11" s="41">
        <f>I11-H11</f>
        <v/>
      </c>
      <c r="K11" s="39">
        <f>SUMIFS(tMort[[Number of Deaths]],tMort[[Date]],"&gt;="&amp;$B11,tMort[[Date]],"&lt;="&amp;$C11,tMort[[Pen ID]],FPen,tMort[[Batch ID]],FBatch,tMort[[Animal Type]],FAnimal)</f>
        <v/>
      </c>
      <c r="L11" s="39">
        <f>SUMIFS(tSales[[Heads Removed]],tSales[[Date]],"&gt;="&amp;$B11,tSales[[Date]],"&lt;="&amp;$C11,tSales[[Pen ID]],FPen,tSales[[Batch ID]],FBatch,tSales[[Animal Type]],FAnimal)</f>
        <v/>
      </c>
      <c r="M11" s="28">
        <f>SUMIFS(tProd[[Quantity]],tProd[[Date]],"&gt;="&amp;$B11,tProd[[Date]],"&lt;="&amp;$C11,tProd[[Pen ID]],FPen,tProd[[Batch ID]],FBatch,tProd[[Animal Type]],FAnimal,tProd[[Measurement Type]],"&lt;&gt;Weighing")</f>
        <v/>
      </c>
    </row>
    <row r="12">
      <c r="A12" s="27">
        <f>TEXT(B12,"mmm yyyy")</f>
        <v/>
      </c>
      <c r="B12" s="31">
        <f>EDATE(TrendStart,5)</f>
        <v/>
      </c>
      <c r="C12" s="31">
        <f>EOMONTH(B12,0)</f>
        <v/>
      </c>
      <c r="D12" s="28">
        <f>SUMIFS(tFeedIss[[Quantity Issued in kg]],tFeedIss[[Date]],"&gt;="&amp;$B12,tFeedIss[[Date]],"&lt;="&amp;$C12,tFeedIss[[Pen ID]],FPen,tFeedIss[[Batch ID]],FBatch,tFeedIss[[Animal Type]],FAnimal)</f>
        <v/>
      </c>
      <c r="E12" s="29">
        <f>SUMIFS(tFeedIss[[Total Cost]],tFeedIss[[Date]],"&gt;="&amp;$B12,tFeedIss[[Date]],"&lt;="&amp;$C12,tFeedIss[[Pen ID]],FPen,tFeedIss[[Batch ID]],FBatch,tFeedIss[[Animal Type]],FAnimal)</f>
        <v/>
      </c>
      <c r="F12" s="29">
        <f>SUMIFS(tDrugUse[[Total Cost]],tDrugUse[[Date]],"&gt;="&amp;$B12,tDrugUse[[Date]],"&lt;="&amp;$C12,tDrugUse[[Pen ID]],FPen,tDrugUse[[Batch ID]],FBatch,tDrugUse[[Animal Type]],FAnimal)</f>
        <v/>
      </c>
      <c r="G12" s="29">
        <f>SUMIFS(tExp[[Amount]],tExp[[Date]],"&gt;="&amp;$B12,tExp[[Date]],"&lt;="&amp;$C12,tExp[[Pen ID / General]],FPen,tExp[[Batch ID (if applicable)]],FBatch,tExp[[Animal Type]],FAnimal)</f>
        <v/>
      </c>
      <c r="H12" s="29">
        <f>E12+F12+G12</f>
        <v/>
      </c>
      <c r="I12" s="29">
        <f>SUMIFS(tSales[[Total Revenue]],tSales[[Date]],"&gt;="&amp;$B12,tSales[[Date]],"&lt;="&amp;$C12,tSales[[Pen ID]],FPen,tSales[[Batch ID]],FBatch,tSales[[Animal Type]],FAnimal)</f>
        <v/>
      </c>
      <c r="J12" s="41">
        <f>I12-H12</f>
        <v/>
      </c>
      <c r="K12" s="39">
        <f>SUMIFS(tMort[[Number of Deaths]],tMort[[Date]],"&gt;="&amp;$B12,tMort[[Date]],"&lt;="&amp;$C12,tMort[[Pen ID]],FPen,tMort[[Batch ID]],FBatch,tMort[[Animal Type]],FAnimal)</f>
        <v/>
      </c>
      <c r="L12" s="39">
        <f>SUMIFS(tSales[[Heads Removed]],tSales[[Date]],"&gt;="&amp;$B12,tSales[[Date]],"&lt;="&amp;$C12,tSales[[Pen ID]],FPen,tSales[[Batch ID]],FBatch,tSales[[Animal Type]],FAnimal)</f>
        <v/>
      </c>
      <c r="M12" s="28">
        <f>SUMIFS(tProd[[Quantity]],tProd[[Date]],"&gt;="&amp;$B12,tProd[[Date]],"&lt;="&amp;$C12,tProd[[Pen ID]],FPen,tProd[[Batch ID]],FBatch,tProd[[Animal Type]],FAnimal,tProd[[Measurement Type]],"&lt;&gt;Weighing")</f>
        <v/>
      </c>
    </row>
    <row r="13">
      <c r="A13" s="27">
        <f>TEXT(B13,"mmm yyyy")</f>
        <v/>
      </c>
      <c r="B13" s="31">
        <f>EDATE(TrendStart,6)</f>
        <v/>
      </c>
      <c r="C13" s="31">
        <f>EOMONTH(B13,0)</f>
        <v/>
      </c>
      <c r="D13" s="28">
        <f>SUMIFS(tFeedIss[[Quantity Issued in kg]],tFeedIss[[Date]],"&gt;="&amp;$B13,tFeedIss[[Date]],"&lt;="&amp;$C13,tFeedIss[[Pen ID]],FPen,tFeedIss[[Batch ID]],FBatch,tFeedIss[[Animal Type]],FAnimal)</f>
        <v/>
      </c>
      <c r="E13" s="29">
        <f>SUMIFS(tFeedIss[[Total Cost]],tFeedIss[[Date]],"&gt;="&amp;$B13,tFeedIss[[Date]],"&lt;="&amp;$C13,tFeedIss[[Pen ID]],FPen,tFeedIss[[Batch ID]],FBatch,tFeedIss[[Animal Type]],FAnimal)</f>
        <v/>
      </c>
      <c r="F13" s="29">
        <f>SUMIFS(tDrugUse[[Total Cost]],tDrugUse[[Date]],"&gt;="&amp;$B13,tDrugUse[[Date]],"&lt;="&amp;$C13,tDrugUse[[Pen ID]],FPen,tDrugUse[[Batch ID]],FBatch,tDrugUse[[Animal Type]],FAnimal)</f>
        <v/>
      </c>
      <c r="G13" s="29">
        <f>SUMIFS(tExp[[Amount]],tExp[[Date]],"&gt;="&amp;$B13,tExp[[Date]],"&lt;="&amp;$C13,tExp[[Pen ID / General]],FPen,tExp[[Batch ID (if applicable)]],FBatch,tExp[[Animal Type]],FAnimal)</f>
        <v/>
      </c>
      <c r="H13" s="29">
        <f>E13+F13+G13</f>
        <v/>
      </c>
      <c r="I13" s="29">
        <f>SUMIFS(tSales[[Total Revenue]],tSales[[Date]],"&gt;="&amp;$B13,tSales[[Date]],"&lt;="&amp;$C13,tSales[[Pen ID]],FPen,tSales[[Batch ID]],FBatch,tSales[[Animal Type]],FAnimal)</f>
        <v/>
      </c>
      <c r="J13" s="41">
        <f>I13-H13</f>
        <v/>
      </c>
      <c r="K13" s="39">
        <f>SUMIFS(tMort[[Number of Deaths]],tMort[[Date]],"&gt;="&amp;$B13,tMort[[Date]],"&lt;="&amp;$C13,tMort[[Pen ID]],FPen,tMort[[Batch ID]],FBatch,tMort[[Animal Type]],FAnimal)</f>
        <v/>
      </c>
      <c r="L13" s="39">
        <f>SUMIFS(tSales[[Heads Removed]],tSales[[Date]],"&gt;="&amp;$B13,tSales[[Date]],"&lt;="&amp;$C13,tSales[[Pen ID]],FPen,tSales[[Batch ID]],FBatch,tSales[[Animal Type]],FAnimal)</f>
        <v/>
      </c>
      <c r="M13" s="28">
        <f>SUMIFS(tProd[[Quantity]],tProd[[Date]],"&gt;="&amp;$B13,tProd[[Date]],"&lt;="&amp;$C13,tProd[[Pen ID]],FPen,tProd[[Batch ID]],FBatch,tProd[[Animal Type]],FAnimal,tProd[[Measurement Type]],"&lt;&gt;Weighing")</f>
        <v/>
      </c>
    </row>
    <row r="14">
      <c r="A14" s="27">
        <f>TEXT(B14,"mmm yyyy")</f>
        <v/>
      </c>
      <c r="B14" s="31">
        <f>EDATE(TrendStart,7)</f>
        <v/>
      </c>
      <c r="C14" s="31">
        <f>EOMONTH(B14,0)</f>
        <v/>
      </c>
      <c r="D14" s="28">
        <f>SUMIFS(tFeedIss[[Quantity Issued in kg]],tFeedIss[[Date]],"&gt;="&amp;$B14,tFeedIss[[Date]],"&lt;="&amp;$C14,tFeedIss[[Pen ID]],FPen,tFeedIss[[Batch ID]],FBatch,tFeedIss[[Animal Type]],FAnimal)</f>
        <v/>
      </c>
      <c r="E14" s="29">
        <f>SUMIFS(tFeedIss[[Total Cost]],tFeedIss[[Date]],"&gt;="&amp;$B14,tFeedIss[[Date]],"&lt;="&amp;$C14,tFeedIss[[Pen ID]],FPen,tFeedIss[[Batch ID]],FBatch,tFeedIss[[Animal Type]],FAnimal)</f>
        <v/>
      </c>
      <c r="F14" s="29">
        <f>SUMIFS(tDrugUse[[Total Cost]],tDrugUse[[Date]],"&gt;="&amp;$B14,tDrugUse[[Date]],"&lt;="&amp;$C14,tDrugUse[[Pen ID]],FPen,tDrugUse[[Batch ID]],FBatch,tDrugUse[[Animal Type]],FAnimal)</f>
        <v/>
      </c>
      <c r="G14" s="29">
        <f>SUMIFS(tExp[[Amount]],tExp[[Date]],"&gt;="&amp;$B14,tExp[[Date]],"&lt;="&amp;$C14,tExp[[Pen ID / General]],FPen,tExp[[Batch ID (if applicable)]],FBatch,tExp[[Animal Type]],FAnimal)</f>
        <v/>
      </c>
      <c r="H14" s="29">
        <f>E14+F14+G14</f>
        <v/>
      </c>
      <c r="I14" s="29">
        <f>SUMIFS(tSales[[Total Revenue]],tSales[[Date]],"&gt;="&amp;$B14,tSales[[Date]],"&lt;="&amp;$C14,tSales[[Pen ID]],FPen,tSales[[Batch ID]],FBatch,tSales[[Animal Type]],FAnimal)</f>
        <v/>
      </c>
      <c r="J14" s="41">
        <f>I14-H14</f>
        <v/>
      </c>
      <c r="K14" s="39">
        <f>SUMIFS(tMort[[Number of Deaths]],tMort[[Date]],"&gt;="&amp;$B14,tMort[[Date]],"&lt;="&amp;$C14,tMort[[Pen ID]],FPen,tMort[[Batch ID]],FBatch,tMort[[Animal Type]],FAnimal)</f>
        <v/>
      </c>
      <c r="L14" s="39">
        <f>SUMIFS(tSales[[Heads Removed]],tSales[[Date]],"&gt;="&amp;$B14,tSales[[Date]],"&lt;="&amp;$C14,tSales[[Pen ID]],FPen,tSales[[Batch ID]],FBatch,tSales[[Animal Type]],FAnimal)</f>
        <v/>
      </c>
      <c r="M14" s="28">
        <f>SUMIFS(tProd[[Quantity]],tProd[[Date]],"&gt;="&amp;$B14,tProd[[Date]],"&lt;="&amp;$C14,tProd[[Pen ID]],FPen,tProd[[Batch ID]],FBatch,tProd[[Animal Type]],FAnimal,tProd[[Measurement Type]],"&lt;&gt;Weighing")</f>
        <v/>
      </c>
    </row>
    <row r="15">
      <c r="A15" s="27">
        <f>TEXT(B15,"mmm yyyy")</f>
        <v/>
      </c>
      <c r="B15" s="31">
        <f>EDATE(TrendStart,8)</f>
        <v/>
      </c>
      <c r="C15" s="31">
        <f>EOMONTH(B15,0)</f>
        <v/>
      </c>
      <c r="D15" s="28">
        <f>SUMIFS(tFeedIss[[Quantity Issued in kg]],tFeedIss[[Date]],"&gt;="&amp;$B15,tFeedIss[[Date]],"&lt;="&amp;$C15,tFeedIss[[Pen ID]],FPen,tFeedIss[[Batch ID]],FBatch,tFeedIss[[Animal Type]],FAnimal)</f>
        <v/>
      </c>
      <c r="E15" s="29">
        <f>SUMIFS(tFeedIss[[Total Cost]],tFeedIss[[Date]],"&gt;="&amp;$B15,tFeedIss[[Date]],"&lt;="&amp;$C15,tFeedIss[[Pen ID]],FPen,tFeedIss[[Batch ID]],FBatch,tFeedIss[[Animal Type]],FAnimal)</f>
        <v/>
      </c>
      <c r="F15" s="29">
        <f>SUMIFS(tDrugUse[[Total Cost]],tDrugUse[[Date]],"&gt;="&amp;$B15,tDrugUse[[Date]],"&lt;="&amp;$C15,tDrugUse[[Pen ID]],FPen,tDrugUse[[Batch ID]],FBatch,tDrugUse[[Animal Type]],FAnimal)</f>
        <v/>
      </c>
      <c r="G15" s="29">
        <f>SUMIFS(tExp[[Amount]],tExp[[Date]],"&gt;="&amp;$B15,tExp[[Date]],"&lt;="&amp;$C15,tExp[[Pen ID / General]],FPen,tExp[[Batch ID (if applicable)]],FBatch,tExp[[Animal Type]],FAnimal)</f>
        <v/>
      </c>
      <c r="H15" s="29">
        <f>E15+F15+G15</f>
        <v/>
      </c>
      <c r="I15" s="29">
        <f>SUMIFS(tSales[[Total Revenue]],tSales[[Date]],"&gt;="&amp;$B15,tSales[[Date]],"&lt;="&amp;$C15,tSales[[Pen ID]],FPen,tSales[[Batch ID]],FBatch,tSales[[Animal Type]],FAnimal)</f>
        <v/>
      </c>
      <c r="J15" s="41">
        <f>I15-H15</f>
        <v/>
      </c>
      <c r="K15" s="39">
        <f>SUMIFS(tMort[[Number of Deaths]],tMort[[Date]],"&gt;="&amp;$B15,tMort[[Date]],"&lt;="&amp;$C15,tMort[[Pen ID]],FPen,tMort[[Batch ID]],FBatch,tMort[[Animal Type]],FAnimal)</f>
        <v/>
      </c>
      <c r="L15" s="39">
        <f>SUMIFS(tSales[[Heads Removed]],tSales[[Date]],"&gt;="&amp;$B15,tSales[[Date]],"&lt;="&amp;$C15,tSales[[Pen ID]],FPen,tSales[[Batch ID]],FBatch,tSales[[Animal Type]],FAnimal)</f>
        <v/>
      </c>
      <c r="M15" s="28">
        <f>SUMIFS(tProd[[Quantity]],tProd[[Date]],"&gt;="&amp;$B15,tProd[[Date]],"&lt;="&amp;$C15,tProd[[Pen ID]],FPen,tProd[[Batch ID]],FBatch,tProd[[Animal Type]],FAnimal,tProd[[Measurement Type]],"&lt;&gt;Weighing")</f>
        <v/>
      </c>
    </row>
    <row r="16">
      <c r="A16" s="27">
        <f>TEXT(B16,"mmm yyyy")</f>
        <v/>
      </c>
      <c r="B16" s="31">
        <f>EDATE(TrendStart,9)</f>
        <v/>
      </c>
      <c r="C16" s="31">
        <f>EOMONTH(B16,0)</f>
        <v/>
      </c>
      <c r="D16" s="28">
        <f>SUMIFS(tFeedIss[[Quantity Issued in kg]],tFeedIss[[Date]],"&gt;="&amp;$B16,tFeedIss[[Date]],"&lt;="&amp;$C16,tFeedIss[[Pen ID]],FPen,tFeedIss[[Batch ID]],FBatch,tFeedIss[[Animal Type]],FAnimal)</f>
        <v/>
      </c>
      <c r="E16" s="29">
        <f>SUMIFS(tFeedIss[[Total Cost]],tFeedIss[[Date]],"&gt;="&amp;$B16,tFeedIss[[Date]],"&lt;="&amp;$C16,tFeedIss[[Pen ID]],FPen,tFeedIss[[Batch ID]],FBatch,tFeedIss[[Animal Type]],FAnimal)</f>
        <v/>
      </c>
      <c r="F16" s="29">
        <f>SUMIFS(tDrugUse[[Total Cost]],tDrugUse[[Date]],"&gt;="&amp;$B16,tDrugUse[[Date]],"&lt;="&amp;$C16,tDrugUse[[Pen ID]],FPen,tDrugUse[[Batch ID]],FBatch,tDrugUse[[Animal Type]],FAnimal)</f>
        <v/>
      </c>
      <c r="G16" s="29">
        <f>SUMIFS(tExp[[Amount]],tExp[[Date]],"&gt;="&amp;$B16,tExp[[Date]],"&lt;="&amp;$C16,tExp[[Pen ID / General]],FPen,tExp[[Batch ID (if applicable)]],FBatch,tExp[[Animal Type]],FAnimal)</f>
        <v/>
      </c>
      <c r="H16" s="29">
        <f>E16+F16+G16</f>
        <v/>
      </c>
      <c r="I16" s="29">
        <f>SUMIFS(tSales[[Total Revenue]],tSales[[Date]],"&gt;="&amp;$B16,tSales[[Date]],"&lt;="&amp;$C16,tSales[[Pen ID]],FPen,tSales[[Batch ID]],FBatch,tSales[[Animal Type]],FAnimal)</f>
        <v/>
      </c>
      <c r="J16" s="41">
        <f>I16-H16</f>
        <v/>
      </c>
      <c r="K16" s="39">
        <f>SUMIFS(tMort[[Number of Deaths]],tMort[[Date]],"&gt;="&amp;$B16,tMort[[Date]],"&lt;="&amp;$C16,tMort[[Pen ID]],FPen,tMort[[Batch ID]],FBatch,tMort[[Animal Type]],FAnimal)</f>
        <v/>
      </c>
      <c r="L16" s="39">
        <f>SUMIFS(tSales[[Heads Removed]],tSales[[Date]],"&gt;="&amp;$B16,tSales[[Date]],"&lt;="&amp;$C16,tSales[[Pen ID]],FPen,tSales[[Batch ID]],FBatch,tSales[[Animal Type]],FAnimal)</f>
        <v/>
      </c>
      <c r="M16" s="28">
        <f>SUMIFS(tProd[[Quantity]],tProd[[Date]],"&gt;="&amp;$B16,tProd[[Date]],"&lt;="&amp;$C16,tProd[[Pen ID]],FPen,tProd[[Batch ID]],FBatch,tProd[[Animal Type]],FAnimal,tProd[[Measurement Type]],"&lt;&gt;Weighing")</f>
        <v/>
      </c>
    </row>
    <row r="17">
      <c r="A17" s="27">
        <f>TEXT(B17,"mmm yyyy")</f>
        <v/>
      </c>
      <c r="B17" s="31">
        <f>EDATE(TrendStart,10)</f>
        <v/>
      </c>
      <c r="C17" s="31">
        <f>EOMONTH(B17,0)</f>
        <v/>
      </c>
      <c r="D17" s="28">
        <f>SUMIFS(tFeedIss[[Quantity Issued in kg]],tFeedIss[[Date]],"&gt;="&amp;$B17,tFeedIss[[Date]],"&lt;="&amp;$C17,tFeedIss[[Pen ID]],FPen,tFeedIss[[Batch ID]],FBatch,tFeedIss[[Animal Type]],FAnimal)</f>
        <v/>
      </c>
      <c r="E17" s="29">
        <f>SUMIFS(tFeedIss[[Total Cost]],tFeedIss[[Date]],"&gt;="&amp;$B17,tFeedIss[[Date]],"&lt;="&amp;$C17,tFeedIss[[Pen ID]],FPen,tFeedIss[[Batch ID]],FBatch,tFeedIss[[Animal Type]],FAnimal)</f>
        <v/>
      </c>
      <c r="F17" s="29">
        <f>SUMIFS(tDrugUse[[Total Cost]],tDrugUse[[Date]],"&gt;="&amp;$B17,tDrugUse[[Date]],"&lt;="&amp;$C17,tDrugUse[[Pen ID]],FPen,tDrugUse[[Batch ID]],FBatch,tDrugUse[[Animal Type]],FAnimal)</f>
        <v/>
      </c>
      <c r="G17" s="29">
        <f>SUMIFS(tExp[[Amount]],tExp[[Date]],"&gt;="&amp;$B17,tExp[[Date]],"&lt;="&amp;$C17,tExp[[Pen ID / General]],FPen,tExp[[Batch ID (if applicable)]],FBatch,tExp[[Animal Type]],FAnimal)</f>
        <v/>
      </c>
      <c r="H17" s="29">
        <f>E17+F17+G17</f>
        <v/>
      </c>
      <c r="I17" s="29">
        <f>SUMIFS(tSales[[Total Revenue]],tSales[[Date]],"&gt;="&amp;$B17,tSales[[Date]],"&lt;="&amp;$C17,tSales[[Pen ID]],FPen,tSales[[Batch ID]],FBatch,tSales[[Animal Type]],FAnimal)</f>
        <v/>
      </c>
      <c r="J17" s="41">
        <f>I17-H17</f>
        <v/>
      </c>
      <c r="K17" s="39">
        <f>SUMIFS(tMort[[Number of Deaths]],tMort[[Date]],"&gt;="&amp;$B17,tMort[[Date]],"&lt;="&amp;$C17,tMort[[Pen ID]],FPen,tMort[[Batch ID]],FBatch,tMort[[Animal Type]],FAnimal)</f>
        <v/>
      </c>
      <c r="L17" s="39">
        <f>SUMIFS(tSales[[Heads Removed]],tSales[[Date]],"&gt;="&amp;$B17,tSales[[Date]],"&lt;="&amp;$C17,tSales[[Pen ID]],FPen,tSales[[Batch ID]],FBatch,tSales[[Animal Type]],FAnimal)</f>
        <v/>
      </c>
      <c r="M17" s="28">
        <f>SUMIFS(tProd[[Quantity]],tProd[[Date]],"&gt;="&amp;$B17,tProd[[Date]],"&lt;="&amp;$C17,tProd[[Pen ID]],FPen,tProd[[Batch ID]],FBatch,tProd[[Animal Type]],FAnimal,tProd[[Measurement Type]],"&lt;&gt;Weighing")</f>
        <v/>
      </c>
    </row>
    <row r="18">
      <c r="A18" s="27">
        <f>TEXT(B18,"mmm yyyy")</f>
        <v/>
      </c>
      <c r="B18" s="31">
        <f>EDATE(TrendStart,11)</f>
        <v/>
      </c>
      <c r="C18" s="31">
        <f>EOMONTH(B18,0)</f>
        <v/>
      </c>
      <c r="D18" s="28">
        <f>SUMIFS(tFeedIss[[Quantity Issued in kg]],tFeedIss[[Date]],"&gt;="&amp;$B18,tFeedIss[[Date]],"&lt;="&amp;$C18,tFeedIss[[Pen ID]],FPen,tFeedIss[[Batch ID]],FBatch,tFeedIss[[Animal Type]],FAnimal)</f>
        <v/>
      </c>
      <c r="E18" s="29">
        <f>SUMIFS(tFeedIss[[Total Cost]],tFeedIss[[Date]],"&gt;="&amp;$B18,tFeedIss[[Date]],"&lt;="&amp;$C18,tFeedIss[[Pen ID]],FPen,tFeedIss[[Batch ID]],FBatch,tFeedIss[[Animal Type]],FAnimal)</f>
        <v/>
      </c>
      <c r="F18" s="29">
        <f>SUMIFS(tDrugUse[[Total Cost]],tDrugUse[[Date]],"&gt;="&amp;$B18,tDrugUse[[Date]],"&lt;="&amp;$C18,tDrugUse[[Pen ID]],FPen,tDrugUse[[Batch ID]],FBatch,tDrugUse[[Animal Type]],FAnimal)</f>
        <v/>
      </c>
      <c r="G18" s="29">
        <f>SUMIFS(tExp[[Amount]],tExp[[Date]],"&gt;="&amp;$B18,tExp[[Date]],"&lt;="&amp;$C18,tExp[[Pen ID / General]],FPen,tExp[[Batch ID (if applicable)]],FBatch,tExp[[Animal Type]],FAnimal)</f>
        <v/>
      </c>
      <c r="H18" s="29">
        <f>E18+F18+G18</f>
        <v/>
      </c>
      <c r="I18" s="29">
        <f>SUMIFS(tSales[[Total Revenue]],tSales[[Date]],"&gt;="&amp;$B18,tSales[[Date]],"&lt;="&amp;$C18,tSales[[Pen ID]],FPen,tSales[[Batch ID]],FBatch,tSales[[Animal Type]],FAnimal)</f>
        <v/>
      </c>
      <c r="J18" s="41">
        <f>I18-H18</f>
        <v/>
      </c>
      <c r="K18" s="39">
        <f>SUMIFS(tMort[[Number of Deaths]],tMort[[Date]],"&gt;="&amp;$B18,tMort[[Date]],"&lt;="&amp;$C18,tMort[[Pen ID]],FPen,tMort[[Batch ID]],FBatch,tMort[[Animal Type]],FAnimal)</f>
        <v/>
      </c>
      <c r="L18" s="39">
        <f>SUMIFS(tSales[[Heads Removed]],tSales[[Date]],"&gt;="&amp;$B18,tSales[[Date]],"&lt;="&amp;$C18,tSales[[Pen ID]],FPen,tSales[[Batch ID]],FBatch,tSales[[Animal Type]],FAnimal)</f>
        <v/>
      </c>
      <c r="M18" s="28">
        <f>SUMIFS(tProd[[Quantity]],tProd[[Date]],"&gt;="&amp;$B18,tProd[[Date]],"&lt;="&amp;$C18,tProd[[Pen ID]],FPen,tProd[[Batch ID]],FBatch,tProd[[Animal Type]],FAnimal,tProd[[Measurement Type]],"&lt;&gt;Weighing")</f>
        <v/>
      </c>
    </row>
    <row r="19">
      <c r="A19" s="32" t="inlineStr">
        <is>
          <t>TOTAL</t>
        </is>
      </c>
      <c r="B19" s="35" t="n"/>
      <c r="C19" s="35" t="n"/>
      <c r="D19" s="33">
        <f>SUM(D7:D18)</f>
        <v/>
      </c>
      <c r="E19" s="34">
        <f>SUM(E7:E18)</f>
        <v/>
      </c>
      <c r="F19" s="34">
        <f>SUM(F7:F18)</f>
        <v/>
      </c>
      <c r="G19" s="34">
        <f>SUM(G7:G18)</f>
        <v/>
      </c>
      <c r="H19" s="34">
        <f>SUM(H7:H18)</f>
        <v/>
      </c>
      <c r="I19" s="34">
        <f>SUM(I7:I18)</f>
        <v/>
      </c>
      <c r="J19" s="34">
        <f>SUM(J7:J18)</f>
        <v/>
      </c>
      <c r="K19" s="37">
        <f>SUM(K7:K18)</f>
        <v/>
      </c>
      <c r="L19" s="37">
        <f>SUM(L7:L18)</f>
        <v/>
      </c>
      <c r="M19" s="33">
        <f>SUM(M7:M18)</f>
        <v/>
      </c>
    </row>
    <row r="21">
      <c r="A21" s="25" t="inlineStr">
        <is>
          <t>DAILY ACTIVITY - last 14 days up to the dashboard period end (or today)</t>
        </is>
      </c>
    </row>
    <row r="22" ht="30" customHeight="1">
      <c r="A22" s="26" t="inlineStr">
        <is>
          <t>Day</t>
        </is>
      </c>
      <c r="B22" s="26" t="inlineStr">
        <is>
          <t>Date</t>
        </is>
      </c>
      <c r="C22" s="26" t="inlineStr"/>
      <c r="D22" s="26" t="inlineStr">
        <is>
          <t>Feed Used kg</t>
        </is>
      </c>
      <c r="E22" s="26" t="inlineStr">
        <is>
          <t>Feed Cost</t>
        </is>
      </c>
      <c r="F22" s="26" t="inlineStr">
        <is>
          <t>Drug Cost</t>
        </is>
      </c>
      <c r="G22" s="26" t="inlineStr">
        <is>
          <t>Other Expenses</t>
        </is>
      </c>
      <c r="H22" s="26" t="inlineStr">
        <is>
          <t>Total Cost</t>
        </is>
      </c>
      <c r="I22" s="26" t="inlineStr">
        <is>
          <t>Revenue</t>
        </is>
      </c>
      <c r="J22" s="26" t="inlineStr">
        <is>
          <t>Profit / Loss</t>
        </is>
      </c>
      <c r="K22" s="26" t="inlineStr">
        <is>
          <t>Deaths</t>
        </is>
      </c>
      <c r="L22" s="26" t="inlineStr">
        <is>
          <t>Heads Sold</t>
        </is>
      </c>
      <c r="M22" s="26" t="inlineStr">
        <is>
          <t>Output Qty</t>
        </is>
      </c>
    </row>
    <row r="23">
      <c r="A23" s="27">
        <f>TEXT(B23,"ddd dd mmm")</f>
        <v/>
      </c>
      <c r="B23" s="31">
        <f>MIN(DEnd,TODAY())-13</f>
        <v/>
      </c>
      <c r="C23" s="36" t="n"/>
      <c r="D23" s="28">
        <f>SUMIFS(tFeedIss[[Quantity Issued in kg]],tFeedIss[[Date]],"&gt;="&amp;$B23,tFeedIss[[Date]],"&lt;="&amp;$B23,tFeedIss[[Pen ID]],FPen,tFeedIss[[Batch ID]],FBatch,tFeedIss[[Animal Type]],FAnimal)</f>
        <v/>
      </c>
      <c r="E23" s="29">
        <f>SUMIFS(tFeedIss[[Total Cost]],tFeedIss[[Date]],"&gt;="&amp;$B23,tFeedIss[[Date]],"&lt;="&amp;$B23,tFeedIss[[Pen ID]],FPen,tFeedIss[[Batch ID]],FBatch,tFeedIss[[Animal Type]],FAnimal)</f>
        <v/>
      </c>
      <c r="F23" s="29">
        <f>SUMIFS(tDrugUse[[Total Cost]],tDrugUse[[Date]],"&gt;="&amp;$B23,tDrugUse[[Date]],"&lt;="&amp;$B23,tDrugUse[[Pen ID]],FPen,tDrugUse[[Batch ID]],FBatch,tDrugUse[[Animal Type]],FAnimal)</f>
        <v/>
      </c>
      <c r="G23" s="29">
        <f>SUMIFS(tExp[[Amount]],tExp[[Date]],"&gt;="&amp;$B23,tExp[[Date]],"&lt;="&amp;$B23,tExp[[Pen ID / General]],FPen,tExp[[Batch ID (if applicable)]],FBatch,tExp[[Animal Type]],FAnimal)</f>
        <v/>
      </c>
      <c r="H23" s="29">
        <f>E23+F23+G23</f>
        <v/>
      </c>
      <c r="I23" s="29">
        <f>SUMIFS(tSales[[Total Revenue]],tSales[[Date]],"&gt;="&amp;$B23,tSales[[Date]],"&lt;="&amp;$B23,tSales[[Pen ID]],FPen,tSales[[Batch ID]],FBatch,tSales[[Animal Type]],FAnimal)</f>
        <v/>
      </c>
      <c r="J23" s="41">
        <f>I23-H23</f>
        <v/>
      </c>
      <c r="K23" s="39">
        <f>SUMIFS(tMort[[Number of Deaths]],tMort[[Date]],"&gt;="&amp;$B23,tMort[[Date]],"&lt;="&amp;$B23,tMort[[Pen ID]],FPen,tMort[[Batch ID]],FBatch,tMort[[Animal Type]],FAnimal)</f>
        <v/>
      </c>
      <c r="L23" s="39">
        <f>SUMIFS(tSales[[Heads Removed]],tSales[[Date]],"&gt;="&amp;$B23,tSales[[Date]],"&lt;="&amp;$B23,tSales[[Pen ID]],FPen,tSales[[Batch ID]],FBatch,tSales[[Animal Type]],FAnimal)</f>
        <v/>
      </c>
      <c r="M23" s="28">
        <f>SUMIFS(tProd[[Quantity]],tProd[[Date]],"&gt;="&amp;$B23,tProd[[Date]],"&lt;="&amp;$B23,tProd[[Pen ID]],FPen,tProd[[Batch ID]],FBatch,tProd[[Animal Type]],FAnimal,tProd[[Measurement Type]],"&lt;&gt;Weighing")</f>
        <v/>
      </c>
    </row>
    <row r="24">
      <c r="A24" s="27">
        <f>TEXT(B24,"ddd dd mmm")</f>
        <v/>
      </c>
      <c r="B24" s="31">
        <f>MIN(DEnd,TODAY())-12</f>
        <v/>
      </c>
      <c r="C24" s="36" t="n"/>
      <c r="D24" s="28">
        <f>SUMIFS(tFeedIss[[Quantity Issued in kg]],tFeedIss[[Date]],"&gt;="&amp;$B24,tFeedIss[[Date]],"&lt;="&amp;$B24,tFeedIss[[Pen ID]],FPen,tFeedIss[[Batch ID]],FBatch,tFeedIss[[Animal Type]],FAnimal)</f>
        <v/>
      </c>
      <c r="E24" s="29">
        <f>SUMIFS(tFeedIss[[Total Cost]],tFeedIss[[Date]],"&gt;="&amp;$B24,tFeedIss[[Date]],"&lt;="&amp;$B24,tFeedIss[[Pen ID]],FPen,tFeedIss[[Batch ID]],FBatch,tFeedIss[[Animal Type]],FAnimal)</f>
        <v/>
      </c>
      <c r="F24" s="29">
        <f>SUMIFS(tDrugUse[[Total Cost]],tDrugUse[[Date]],"&gt;="&amp;$B24,tDrugUse[[Date]],"&lt;="&amp;$B24,tDrugUse[[Pen ID]],FPen,tDrugUse[[Batch ID]],FBatch,tDrugUse[[Animal Type]],FAnimal)</f>
        <v/>
      </c>
      <c r="G24" s="29">
        <f>SUMIFS(tExp[[Amount]],tExp[[Date]],"&gt;="&amp;$B24,tExp[[Date]],"&lt;="&amp;$B24,tExp[[Pen ID / General]],FPen,tExp[[Batch ID (if applicable)]],FBatch,tExp[[Animal Type]],FAnimal)</f>
        <v/>
      </c>
      <c r="H24" s="29">
        <f>E24+F24+G24</f>
        <v/>
      </c>
      <c r="I24" s="29">
        <f>SUMIFS(tSales[[Total Revenue]],tSales[[Date]],"&gt;="&amp;$B24,tSales[[Date]],"&lt;="&amp;$B24,tSales[[Pen ID]],FPen,tSales[[Batch ID]],FBatch,tSales[[Animal Type]],FAnimal)</f>
        <v/>
      </c>
      <c r="J24" s="41">
        <f>I24-H24</f>
        <v/>
      </c>
      <c r="K24" s="39">
        <f>SUMIFS(tMort[[Number of Deaths]],tMort[[Date]],"&gt;="&amp;$B24,tMort[[Date]],"&lt;="&amp;$B24,tMort[[Pen ID]],FPen,tMort[[Batch ID]],FBatch,tMort[[Animal Type]],FAnimal)</f>
        <v/>
      </c>
      <c r="L24" s="39">
        <f>SUMIFS(tSales[[Heads Removed]],tSales[[Date]],"&gt;="&amp;$B24,tSales[[Date]],"&lt;="&amp;$B24,tSales[[Pen ID]],FPen,tSales[[Batch ID]],FBatch,tSales[[Animal Type]],FAnimal)</f>
        <v/>
      </c>
      <c r="M24" s="28">
        <f>SUMIFS(tProd[[Quantity]],tProd[[Date]],"&gt;="&amp;$B24,tProd[[Date]],"&lt;="&amp;$B24,tProd[[Pen ID]],FPen,tProd[[Batch ID]],FBatch,tProd[[Animal Type]],FAnimal,tProd[[Measurement Type]],"&lt;&gt;Weighing")</f>
        <v/>
      </c>
    </row>
    <row r="25">
      <c r="A25" s="27">
        <f>TEXT(B25,"ddd dd mmm")</f>
        <v/>
      </c>
      <c r="B25" s="31">
        <f>MIN(DEnd,TODAY())-11</f>
        <v/>
      </c>
      <c r="C25" s="36" t="n"/>
      <c r="D25" s="28">
        <f>SUMIFS(tFeedIss[[Quantity Issued in kg]],tFeedIss[[Date]],"&gt;="&amp;$B25,tFeedIss[[Date]],"&lt;="&amp;$B25,tFeedIss[[Pen ID]],FPen,tFeedIss[[Batch ID]],FBatch,tFeedIss[[Animal Type]],FAnimal)</f>
        <v/>
      </c>
      <c r="E25" s="29">
        <f>SUMIFS(tFeedIss[[Total Cost]],tFeedIss[[Date]],"&gt;="&amp;$B25,tFeedIss[[Date]],"&lt;="&amp;$B25,tFeedIss[[Pen ID]],FPen,tFeedIss[[Batch ID]],FBatch,tFeedIss[[Animal Type]],FAnimal)</f>
        <v/>
      </c>
      <c r="F25" s="29">
        <f>SUMIFS(tDrugUse[[Total Cost]],tDrugUse[[Date]],"&gt;="&amp;$B25,tDrugUse[[Date]],"&lt;="&amp;$B25,tDrugUse[[Pen ID]],FPen,tDrugUse[[Batch ID]],FBatch,tDrugUse[[Animal Type]],FAnimal)</f>
        <v/>
      </c>
      <c r="G25" s="29">
        <f>SUMIFS(tExp[[Amount]],tExp[[Date]],"&gt;="&amp;$B25,tExp[[Date]],"&lt;="&amp;$B25,tExp[[Pen ID / General]],FPen,tExp[[Batch ID (if applicable)]],FBatch,tExp[[Animal Type]],FAnimal)</f>
        <v/>
      </c>
      <c r="H25" s="29">
        <f>E25+F25+G25</f>
        <v/>
      </c>
      <c r="I25" s="29">
        <f>SUMIFS(tSales[[Total Revenue]],tSales[[Date]],"&gt;="&amp;$B25,tSales[[Date]],"&lt;="&amp;$B25,tSales[[Pen ID]],FPen,tSales[[Batch ID]],FBatch,tSales[[Animal Type]],FAnimal)</f>
        <v/>
      </c>
      <c r="J25" s="41">
        <f>I25-H25</f>
        <v/>
      </c>
      <c r="K25" s="39">
        <f>SUMIFS(tMort[[Number of Deaths]],tMort[[Date]],"&gt;="&amp;$B25,tMort[[Date]],"&lt;="&amp;$B25,tMort[[Pen ID]],FPen,tMort[[Batch ID]],FBatch,tMort[[Animal Type]],FAnimal)</f>
        <v/>
      </c>
      <c r="L25" s="39">
        <f>SUMIFS(tSales[[Heads Removed]],tSales[[Date]],"&gt;="&amp;$B25,tSales[[Date]],"&lt;="&amp;$B25,tSales[[Pen ID]],FPen,tSales[[Batch ID]],FBatch,tSales[[Animal Type]],FAnimal)</f>
        <v/>
      </c>
      <c r="M25" s="28">
        <f>SUMIFS(tProd[[Quantity]],tProd[[Date]],"&gt;="&amp;$B25,tProd[[Date]],"&lt;="&amp;$B25,tProd[[Pen ID]],FPen,tProd[[Batch ID]],FBatch,tProd[[Animal Type]],FAnimal,tProd[[Measurement Type]],"&lt;&gt;Weighing")</f>
        <v/>
      </c>
    </row>
    <row r="26">
      <c r="A26" s="27">
        <f>TEXT(B26,"ddd dd mmm")</f>
        <v/>
      </c>
      <c r="B26" s="31">
        <f>MIN(DEnd,TODAY())-10</f>
        <v/>
      </c>
      <c r="C26" s="36" t="n"/>
      <c r="D26" s="28">
        <f>SUMIFS(tFeedIss[[Quantity Issued in kg]],tFeedIss[[Date]],"&gt;="&amp;$B26,tFeedIss[[Date]],"&lt;="&amp;$B26,tFeedIss[[Pen ID]],FPen,tFeedIss[[Batch ID]],FBatch,tFeedIss[[Animal Type]],FAnimal)</f>
        <v/>
      </c>
      <c r="E26" s="29">
        <f>SUMIFS(tFeedIss[[Total Cost]],tFeedIss[[Date]],"&gt;="&amp;$B26,tFeedIss[[Date]],"&lt;="&amp;$B26,tFeedIss[[Pen ID]],FPen,tFeedIss[[Batch ID]],FBatch,tFeedIss[[Animal Type]],FAnimal)</f>
        <v/>
      </c>
      <c r="F26" s="29">
        <f>SUMIFS(tDrugUse[[Total Cost]],tDrugUse[[Date]],"&gt;="&amp;$B26,tDrugUse[[Date]],"&lt;="&amp;$B26,tDrugUse[[Pen ID]],FPen,tDrugUse[[Batch ID]],FBatch,tDrugUse[[Animal Type]],FAnimal)</f>
        <v/>
      </c>
      <c r="G26" s="29">
        <f>SUMIFS(tExp[[Amount]],tExp[[Date]],"&gt;="&amp;$B26,tExp[[Date]],"&lt;="&amp;$B26,tExp[[Pen ID / General]],FPen,tExp[[Batch ID (if applicable)]],FBatch,tExp[[Animal Type]],FAnimal)</f>
        <v/>
      </c>
      <c r="H26" s="29">
        <f>E26+F26+G26</f>
        <v/>
      </c>
      <c r="I26" s="29">
        <f>SUMIFS(tSales[[Total Revenue]],tSales[[Date]],"&gt;="&amp;$B26,tSales[[Date]],"&lt;="&amp;$B26,tSales[[Pen ID]],FPen,tSales[[Batch ID]],FBatch,tSales[[Animal Type]],FAnimal)</f>
        <v/>
      </c>
      <c r="J26" s="41">
        <f>I26-H26</f>
        <v/>
      </c>
      <c r="K26" s="39">
        <f>SUMIFS(tMort[[Number of Deaths]],tMort[[Date]],"&gt;="&amp;$B26,tMort[[Date]],"&lt;="&amp;$B26,tMort[[Pen ID]],FPen,tMort[[Batch ID]],FBatch,tMort[[Animal Type]],FAnimal)</f>
        <v/>
      </c>
      <c r="L26" s="39">
        <f>SUMIFS(tSales[[Heads Removed]],tSales[[Date]],"&gt;="&amp;$B26,tSales[[Date]],"&lt;="&amp;$B26,tSales[[Pen ID]],FPen,tSales[[Batch ID]],FBatch,tSales[[Animal Type]],FAnimal)</f>
        <v/>
      </c>
      <c r="M26" s="28">
        <f>SUMIFS(tProd[[Quantity]],tProd[[Date]],"&gt;="&amp;$B26,tProd[[Date]],"&lt;="&amp;$B26,tProd[[Pen ID]],FPen,tProd[[Batch ID]],FBatch,tProd[[Animal Type]],FAnimal,tProd[[Measurement Type]],"&lt;&gt;Weighing")</f>
        <v/>
      </c>
    </row>
    <row r="27">
      <c r="A27" s="27">
        <f>TEXT(B27,"ddd dd mmm")</f>
        <v/>
      </c>
      <c r="B27" s="31">
        <f>MIN(DEnd,TODAY())-9</f>
        <v/>
      </c>
      <c r="C27" s="36" t="n"/>
      <c r="D27" s="28">
        <f>SUMIFS(tFeedIss[[Quantity Issued in kg]],tFeedIss[[Date]],"&gt;="&amp;$B27,tFeedIss[[Date]],"&lt;="&amp;$B27,tFeedIss[[Pen ID]],FPen,tFeedIss[[Batch ID]],FBatch,tFeedIss[[Animal Type]],FAnimal)</f>
        <v/>
      </c>
      <c r="E27" s="29">
        <f>SUMIFS(tFeedIss[[Total Cost]],tFeedIss[[Date]],"&gt;="&amp;$B27,tFeedIss[[Date]],"&lt;="&amp;$B27,tFeedIss[[Pen ID]],FPen,tFeedIss[[Batch ID]],FBatch,tFeedIss[[Animal Type]],FAnimal)</f>
        <v/>
      </c>
      <c r="F27" s="29">
        <f>SUMIFS(tDrugUse[[Total Cost]],tDrugUse[[Date]],"&gt;="&amp;$B27,tDrugUse[[Date]],"&lt;="&amp;$B27,tDrugUse[[Pen ID]],FPen,tDrugUse[[Batch ID]],FBatch,tDrugUse[[Animal Type]],FAnimal)</f>
        <v/>
      </c>
      <c r="G27" s="29">
        <f>SUMIFS(tExp[[Amount]],tExp[[Date]],"&gt;="&amp;$B27,tExp[[Date]],"&lt;="&amp;$B27,tExp[[Pen ID / General]],FPen,tExp[[Batch ID (if applicable)]],FBatch,tExp[[Animal Type]],FAnimal)</f>
        <v/>
      </c>
      <c r="H27" s="29">
        <f>E27+F27+G27</f>
        <v/>
      </c>
      <c r="I27" s="29">
        <f>SUMIFS(tSales[[Total Revenue]],tSales[[Date]],"&gt;="&amp;$B27,tSales[[Date]],"&lt;="&amp;$B27,tSales[[Pen ID]],FPen,tSales[[Batch ID]],FBatch,tSales[[Animal Type]],FAnimal)</f>
        <v/>
      </c>
      <c r="J27" s="41">
        <f>I27-H27</f>
        <v/>
      </c>
      <c r="K27" s="39">
        <f>SUMIFS(tMort[[Number of Deaths]],tMort[[Date]],"&gt;="&amp;$B27,tMort[[Date]],"&lt;="&amp;$B27,tMort[[Pen ID]],FPen,tMort[[Batch ID]],FBatch,tMort[[Animal Type]],FAnimal)</f>
        <v/>
      </c>
      <c r="L27" s="39">
        <f>SUMIFS(tSales[[Heads Removed]],tSales[[Date]],"&gt;="&amp;$B27,tSales[[Date]],"&lt;="&amp;$B27,tSales[[Pen ID]],FPen,tSales[[Batch ID]],FBatch,tSales[[Animal Type]],FAnimal)</f>
        <v/>
      </c>
      <c r="M27" s="28">
        <f>SUMIFS(tProd[[Quantity]],tProd[[Date]],"&gt;="&amp;$B27,tProd[[Date]],"&lt;="&amp;$B27,tProd[[Pen ID]],FPen,tProd[[Batch ID]],FBatch,tProd[[Animal Type]],FAnimal,tProd[[Measurement Type]],"&lt;&gt;Weighing")</f>
        <v/>
      </c>
    </row>
    <row r="28">
      <c r="A28" s="27">
        <f>TEXT(B28,"ddd dd mmm")</f>
        <v/>
      </c>
      <c r="B28" s="31">
        <f>MIN(DEnd,TODAY())-8</f>
        <v/>
      </c>
      <c r="C28" s="36" t="n"/>
      <c r="D28" s="28">
        <f>SUMIFS(tFeedIss[[Quantity Issued in kg]],tFeedIss[[Date]],"&gt;="&amp;$B28,tFeedIss[[Date]],"&lt;="&amp;$B28,tFeedIss[[Pen ID]],FPen,tFeedIss[[Batch ID]],FBatch,tFeedIss[[Animal Type]],FAnimal)</f>
        <v/>
      </c>
      <c r="E28" s="29">
        <f>SUMIFS(tFeedIss[[Total Cost]],tFeedIss[[Date]],"&gt;="&amp;$B28,tFeedIss[[Date]],"&lt;="&amp;$B28,tFeedIss[[Pen ID]],FPen,tFeedIss[[Batch ID]],FBatch,tFeedIss[[Animal Type]],FAnimal)</f>
        <v/>
      </c>
      <c r="F28" s="29">
        <f>SUMIFS(tDrugUse[[Total Cost]],tDrugUse[[Date]],"&gt;="&amp;$B28,tDrugUse[[Date]],"&lt;="&amp;$B28,tDrugUse[[Pen ID]],FPen,tDrugUse[[Batch ID]],FBatch,tDrugUse[[Animal Type]],FAnimal)</f>
        <v/>
      </c>
      <c r="G28" s="29">
        <f>SUMIFS(tExp[[Amount]],tExp[[Date]],"&gt;="&amp;$B28,tExp[[Date]],"&lt;="&amp;$B28,tExp[[Pen ID / General]],FPen,tExp[[Batch ID (if applicable)]],FBatch,tExp[[Animal Type]],FAnimal)</f>
        <v/>
      </c>
      <c r="H28" s="29">
        <f>E28+F28+G28</f>
        <v/>
      </c>
      <c r="I28" s="29">
        <f>SUMIFS(tSales[[Total Revenue]],tSales[[Date]],"&gt;="&amp;$B28,tSales[[Date]],"&lt;="&amp;$B28,tSales[[Pen ID]],FPen,tSales[[Batch ID]],FBatch,tSales[[Animal Type]],FAnimal)</f>
        <v/>
      </c>
      <c r="J28" s="41">
        <f>I28-H28</f>
        <v/>
      </c>
      <c r="K28" s="39">
        <f>SUMIFS(tMort[[Number of Deaths]],tMort[[Date]],"&gt;="&amp;$B28,tMort[[Date]],"&lt;="&amp;$B28,tMort[[Pen ID]],FPen,tMort[[Batch ID]],FBatch,tMort[[Animal Type]],FAnimal)</f>
        <v/>
      </c>
      <c r="L28" s="39">
        <f>SUMIFS(tSales[[Heads Removed]],tSales[[Date]],"&gt;="&amp;$B28,tSales[[Date]],"&lt;="&amp;$B28,tSales[[Pen ID]],FPen,tSales[[Batch ID]],FBatch,tSales[[Animal Type]],FAnimal)</f>
        <v/>
      </c>
      <c r="M28" s="28">
        <f>SUMIFS(tProd[[Quantity]],tProd[[Date]],"&gt;="&amp;$B28,tProd[[Date]],"&lt;="&amp;$B28,tProd[[Pen ID]],FPen,tProd[[Batch ID]],FBatch,tProd[[Animal Type]],FAnimal,tProd[[Measurement Type]],"&lt;&gt;Weighing")</f>
        <v/>
      </c>
    </row>
    <row r="29">
      <c r="A29" s="27">
        <f>TEXT(B29,"ddd dd mmm")</f>
        <v/>
      </c>
      <c r="B29" s="31">
        <f>MIN(DEnd,TODAY())-7</f>
        <v/>
      </c>
      <c r="C29" s="36" t="n"/>
      <c r="D29" s="28">
        <f>SUMIFS(tFeedIss[[Quantity Issued in kg]],tFeedIss[[Date]],"&gt;="&amp;$B29,tFeedIss[[Date]],"&lt;="&amp;$B29,tFeedIss[[Pen ID]],FPen,tFeedIss[[Batch ID]],FBatch,tFeedIss[[Animal Type]],FAnimal)</f>
        <v/>
      </c>
      <c r="E29" s="29">
        <f>SUMIFS(tFeedIss[[Total Cost]],tFeedIss[[Date]],"&gt;="&amp;$B29,tFeedIss[[Date]],"&lt;="&amp;$B29,tFeedIss[[Pen ID]],FPen,tFeedIss[[Batch ID]],FBatch,tFeedIss[[Animal Type]],FAnimal)</f>
        <v/>
      </c>
      <c r="F29" s="29">
        <f>SUMIFS(tDrugUse[[Total Cost]],tDrugUse[[Date]],"&gt;="&amp;$B29,tDrugUse[[Date]],"&lt;="&amp;$B29,tDrugUse[[Pen ID]],FPen,tDrugUse[[Batch ID]],FBatch,tDrugUse[[Animal Type]],FAnimal)</f>
        <v/>
      </c>
      <c r="G29" s="29">
        <f>SUMIFS(tExp[[Amount]],tExp[[Date]],"&gt;="&amp;$B29,tExp[[Date]],"&lt;="&amp;$B29,tExp[[Pen ID / General]],FPen,tExp[[Batch ID (if applicable)]],FBatch,tExp[[Animal Type]],FAnimal)</f>
        <v/>
      </c>
      <c r="H29" s="29">
        <f>E29+F29+G29</f>
        <v/>
      </c>
      <c r="I29" s="29">
        <f>SUMIFS(tSales[[Total Revenue]],tSales[[Date]],"&gt;="&amp;$B29,tSales[[Date]],"&lt;="&amp;$B29,tSales[[Pen ID]],FPen,tSales[[Batch ID]],FBatch,tSales[[Animal Type]],FAnimal)</f>
        <v/>
      </c>
      <c r="J29" s="41">
        <f>I29-H29</f>
        <v/>
      </c>
      <c r="K29" s="39">
        <f>SUMIFS(tMort[[Number of Deaths]],tMort[[Date]],"&gt;="&amp;$B29,tMort[[Date]],"&lt;="&amp;$B29,tMort[[Pen ID]],FPen,tMort[[Batch ID]],FBatch,tMort[[Animal Type]],FAnimal)</f>
        <v/>
      </c>
      <c r="L29" s="39">
        <f>SUMIFS(tSales[[Heads Removed]],tSales[[Date]],"&gt;="&amp;$B29,tSales[[Date]],"&lt;="&amp;$B29,tSales[[Pen ID]],FPen,tSales[[Batch ID]],FBatch,tSales[[Animal Type]],FAnimal)</f>
        <v/>
      </c>
      <c r="M29" s="28">
        <f>SUMIFS(tProd[[Quantity]],tProd[[Date]],"&gt;="&amp;$B29,tProd[[Date]],"&lt;="&amp;$B29,tProd[[Pen ID]],FPen,tProd[[Batch ID]],FBatch,tProd[[Animal Type]],FAnimal,tProd[[Measurement Type]],"&lt;&gt;Weighing")</f>
        <v/>
      </c>
    </row>
    <row r="30">
      <c r="A30" s="27">
        <f>TEXT(B30,"ddd dd mmm")</f>
        <v/>
      </c>
      <c r="B30" s="31">
        <f>MIN(DEnd,TODAY())-6</f>
        <v/>
      </c>
      <c r="C30" s="36" t="n"/>
      <c r="D30" s="28">
        <f>SUMIFS(tFeedIss[[Quantity Issued in kg]],tFeedIss[[Date]],"&gt;="&amp;$B30,tFeedIss[[Date]],"&lt;="&amp;$B30,tFeedIss[[Pen ID]],FPen,tFeedIss[[Batch ID]],FBatch,tFeedIss[[Animal Type]],FAnimal)</f>
        <v/>
      </c>
      <c r="E30" s="29">
        <f>SUMIFS(tFeedIss[[Total Cost]],tFeedIss[[Date]],"&gt;="&amp;$B30,tFeedIss[[Date]],"&lt;="&amp;$B30,tFeedIss[[Pen ID]],FPen,tFeedIss[[Batch ID]],FBatch,tFeedIss[[Animal Type]],FAnimal)</f>
        <v/>
      </c>
      <c r="F30" s="29">
        <f>SUMIFS(tDrugUse[[Total Cost]],tDrugUse[[Date]],"&gt;="&amp;$B30,tDrugUse[[Date]],"&lt;="&amp;$B30,tDrugUse[[Pen ID]],FPen,tDrugUse[[Batch ID]],FBatch,tDrugUse[[Animal Type]],FAnimal)</f>
        <v/>
      </c>
      <c r="G30" s="29">
        <f>SUMIFS(tExp[[Amount]],tExp[[Date]],"&gt;="&amp;$B30,tExp[[Date]],"&lt;="&amp;$B30,tExp[[Pen ID / General]],FPen,tExp[[Batch ID (if applicable)]],FBatch,tExp[[Animal Type]],FAnimal)</f>
        <v/>
      </c>
      <c r="H30" s="29">
        <f>E30+F30+G30</f>
        <v/>
      </c>
      <c r="I30" s="29">
        <f>SUMIFS(tSales[[Total Revenue]],tSales[[Date]],"&gt;="&amp;$B30,tSales[[Date]],"&lt;="&amp;$B30,tSales[[Pen ID]],FPen,tSales[[Batch ID]],FBatch,tSales[[Animal Type]],FAnimal)</f>
        <v/>
      </c>
      <c r="J30" s="41">
        <f>I30-H30</f>
        <v/>
      </c>
      <c r="K30" s="39">
        <f>SUMIFS(tMort[[Number of Deaths]],tMort[[Date]],"&gt;="&amp;$B30,tMort[[Date]],"&lt;="&amp;$B30,tMort[[Pen ID]],FPen,tMort[[Batch ID]],FBatch,tMort[[Animal Type]],FAnimal)</f>
        <v/>
      </c>
      <c r="L30" s="39">
        <f>SUMIFS(tSales[[Heads Removed]],tSales[[Date]],"&gt;="&amp;$B30,tSales[[Date]],"&lt;="&amp;$B30,tSales[[Pen ID]],FPen,tSales[[Batch ID]],FBatch,tSales[[Animal Type]],FAnimal)</f>
        <v/>
      </c>
      <c r="M30" s="28">
        <f>SUMIFS(tProd[[Quantity]],tProd[[Date]],"&gt;="&amp;$B30,tProd[[Date]],"&lt;="&amp;$B30,tProd[[Pen ID]],FPen,tProd[[Batch ID]],FBatch,tProd[[Animal Type]],FAnimal,tProd[[Measurement Type]],"&lt;&gt;Weighing")</f>
        <v/>
      </c>
    </row>
    <row r="31">
      <c r="A31" s="27">
        <f>TEXT(B31,"ddd dd mmm")</f>
        <v/>
      </c>
      <c r="B31" s="31">
        <f>MIN(DEnd,TODAY())-5</f>
        <v/>
      </c>
      <c r="C31" s="36" t="n"/>
      <c r="D31" s="28">
        <f>SUMIFS(tFeedIss[[Quantity Issued in kg]],tFeedIss[[Date]],"&gt;="&amp;$B31,tFeedIss[[Date]],"&lt;="&amp;$B31,tFeedIss[[Pen ID]],FPen,tFeedIss[[Batch ID]],FBatch,tFeedIss[[Animal Type]],FAnimal)</f>
        <v/>
      </c>
      <c r="E31" s="29">
        <f>SUMIFS(tFeedIss[[Total Cost]],tFeedIss[[Date]],"&gt;="&amp;$B31,tFeedIss[[Date]],"&lt;="&amp;$B31,tFeedIss[[Pen ID]],FPen,tFeedIss[[Batch ID]],FBatch,tFeedIss[[Animal Type]],FAnimal)</f>
        <v/>
      </c>
      <c r="F31" s="29">
        <f>SUMIFS(tDrugUse[[Total Cost]],tDrugUse[[Date]],"&gt;="&amp;$B31,tDrugUse[[Date]],"&lt;="&amp;$B31,tDrugUse[[Pen ID]],FPen,tDrugUse[[Batch ID]],FBatch,tDrugUse[[Animal Type]],FAnimal)</f>
        <v/>
      </c>
      <c r="G31" s="29">
        <f>SUMIFS(tExp[[Amount]],tExp[[Date]],"&gt;="&amp;$B31,tExp[[Date]],"&lt;="&amp;$B31,tExp[[Pen ID / General]],FPen,tExp[[Batch ID (if applicable)]],FBatch,tExp[[Animal Type]],FAnimal)</f>
        <v/>
      </c>
      <c r="H31" s="29">
        <f>E31+F31+G31</f>
        <v/>
      </c>
      <c r="I31" s="29">
        <f>SUMIFS(tSales[[Total Revenue]],tSales[[Date]],"&gt;="&amp;$B31,tSales[[Date]],"&lt;="&amp;$B31,tSales[[Pen ID]],FPen,tSales[[Batch ID]],FBatch,tSales[[Animal Type]],FAnimal)</f>
        <v/>
      </c>
      <c r="J31" s="41">
        <f>I31-H31</f>
        <v/>
      </c>
      <c r="K31" s="39">
        <f>SUMIFS(tMort[[Number of Deaths]],tMort[[Date]],"&gt;="&amp;$B31,tMort[[Date]],"&lt;="&amp;$B31,tMort[[Pen ID]],FPen,tMort[[Batch ID]],FBatch,tMort[[Animal Type]],FAnimal)</f>
        <v/>
      </c>
      <c r="L31" s="39">
        <f>SUMIFS(tSales[[Heads Removed]],tSales[[Date]],"&gt;="&amp;$B31,tSales[[Date]],"&lt;="&amp;$B31,tSales[[Pen ID]],FPen,tSales[[Batch ID]],FBatch,tSales[[Animal Type]],FAnimal)</f>
        <v/>
      </c>
      <c r="M31" s="28">
        <f>SUMIFS(tProd[[Quantity]],tProd[[Date]],"&gt;="&amp;$B31,tProd[[Date]],"&lt;="&amp;$B31,tProd[[Pen ID]],FPen,tProd[[Batch ID]],FBatch,tProd[[Animal Type]],FAnimal,tProd[[Measurement Type]],"&lt;&gt;Weighing")</f>
        <v/>
      </c>
    </row>
    <row r="32">
      <c r="A32" s="27">
        <f>TEXT(B32,"ddd dd mmm")</f>
        <v/>
      </c>
      <c r="B32" s="31">
        <f>MIN(DEnd,TODAY())-4</f>
        <v/>
      </c>
      <c r="C32" s="36" t="n"/>
      <c r="D32" s="28">
        <f>SUMIFS(tFeedIss[[Quantity Issued in kg]],tFeedIss[[Date]],"&gt;="&amp;$B32,tFeedIss[[Date]],"&lt;="&amp;$B32,tFeedIss[[Pen ID]],FPen,tFeedIss[[Batch ID]],FBatch,tFeedIss[[Animal Type]],FAnimal)</f>
        <v/>
      </c>
      <c r="E32" s="29">
        <f>SUMIFS(tFeedIss[[Total Cost]],tFeedIss[[Date]],"&gt;="&amp;$B32,tFeedIss[[Date]],"&lt;="&amp;$B32,tFeedIss[[Pen ID]],FPen,tFeedIss[[Batch ID]],FBatch,tFeedIss[[Animal Type]],FAnimal)</f>
        <v/>
      </c>
      <c r="F32" s="29">
        <f>SUMIFS(tDrugUse[[Total Cost]],tDrugUse[[Date]],"&gt;="&amp;$B32,tDrugUse[[Date]],"&lt;="&amp;$B32,tDrugUse[[Pen ID]],FPen,tDrugUse[[Batch ID]],FBatch,tDrugUse[[Animal Type]],FAnimal)</f>
        <v/>
      </c>
      <c r="G32" s="29">
        <f>SUMIFS(tExp[[Amount]],tExp[[Date]],"&gt;="&amp;$B32,tExp[[Date]],"&lt;="&amp;$B32,tExp[[Pen ID / General]],FPen,tExp[[Batch ID (if applicable)]],FBatch,tExp[[Animal Type]],FAnimal)</f>
        <v/>
      </c>
      <c r="H32" s="29">
        <f>E32+F32+G32</f>
        <v/>
      </c>
      <c r="I32" s="29">
        <f>SUMIFS(tSales[[Total Revenue]],tSales[[Date]],"&gt;="&amp;$B32,tSales[[Date]],"&lt;="&amp;$B32,tSales[[Pen ID]],FPen,tSales[[Batch ID]],FBatch,tSales[[Animal Type]],FAnimal)</f>
        <v/>
      </c>
      <c r="J32" s="41">
        <f>I32-H32</f>
        <v/>
      </c>
      <c r="K32" s="39">
        <f>SUMIFS(tMort[[Number of Deaths]],tMort[[Date]],"&gt;="&amp;$B32,tMort[[Date]],"&lt;="&amp;$B32,tMort[[Pen ID]],FPen,tMort[[Batch ID]],FBatch,tMort[[Animal Type]],FAnimal)</f>
        <v/>
      </c>
      <c r="L32" s="39">
        <f>SUMIFS(tSales[[Heads Removed]],tSales[[Date]],"&gt;="&amp;$B32,tSales[[Date]],"&lt;="&amp;$B32,tSales[[Pen ID]],FPen,tSales[[Batch ID]],FBatch,tSales[[Animal Type]],FAnimal)</f>
        <v/>
      </c>
      <c r="M32" s="28">
        <f>SUMIFS(tProd[[Quantity]],tProd[[Date]],"&gt;="&amp;$B32,tProd[[Date]],"&lt;="&amp;$B32,tProd[[Pen ID]],FPen,tProd[[Batch ID]],FBatch,tProd[[Animal Type]],FAnimal,tProd[[Measurement Type]],"&lt;&gt;Weighing")</f>
        <v/>
      </c>
    </row>
    <row r="33">
      <c r="A33" s="27">
        <f>TEXT(B33,"ddd dd mmm")</f>
        <v/>
      </c>
      <c r="B33" s="31">
        <f>MIN(DEnd,TODAY())-3</f>
        <v/>
      </c>
      <c r="C33" s="36" t="n"/>
      <c r="D33" s="28">
        <f>SUMIFS(tFeedIss[[Quantity Issued in kg]],tFeedIss[[Date]],"&gt;="&amp;$B33,tFeedIss[[Date]],"&lt;="&amp;$B33,tFeedIss[[Pen ID]],FPen,tFeedIss[[Batch ID]],FBatch,tFeedIss[[Animal Type]],FAnimal)</f>
        <v/>
      </c>
      <c r="E33" s="29">
        <f>SUMIFS(tFeedIss[[Total Cost]],tFeedIss[[Date]],"&gt;="&amp;$B33,tFeedIss[[Date]],"&lt;="&amp;$B33,tFeedIss[[Pen ID]],FPen,tFeedIss[[Batch ID]],FBatch,tFeedIss[[Animal Type]],FAnimal)</f>
        <v/>
      </c>
      <c r="F33" s="29">
        <f>SUMIFS(tDrugUse[[Total Cost]],tDrugUse[[Date]],"&gt;="&amp;$B33,tDrugUse[[Date]],"&lt;="&amp;$B33,tDrugUse[[Pen ID]],FPen,tDrugUse[[Batch ID]],FBatch,tDrugUse[[Animal Type]],FAnimal)</f>
        <v/>
      </c>
      <c r="G33" s="29">
        <f>SUMIFS(tExp[[Amount]],tExp[[Date]],"&gt;="&amp;$B33,tExp[[Date]],"&lt;="&amp;$B33,tExp[[Pen ID / General]],FPen,tExp[[Batch ID (if applicable)]],FBatch,tExp[[Animal Type]],FAnimal)</f>
        <v/>
      </c>
      <c r="H33" s="29">
        <f>E33+F33+G33</f>
        <v/>
      </c>
      <c r="I33" s="29">
        <f>SUMIFS(tSales[[Total Revenue]],tSales[[Date]],"&gt;="&amp;$B33,tSales[[Date]],"&lt;="&amp;$B33,tSales[[Pen ID]],FPen,tSales[[Batch ID]],FBatch,tSales[[Animal Type]],FAnimal)</f>
        <v/>
      </c>
      <c r="J33" s="41">
        <f>I33-H33</f>
        <v/>
      </c>
      <c r="K33" s="39">
        <f>SUMIFS(tMort[[Number of Deaths]],tMort[[Date]],"&gt;="&amp;$B33,tMort[[Date]],"&lt;="&amp;$B33,tMort[[Pen ID]],FPen,tMort[[Batch ID]],FBatch,tMort[[Animal Type]],FAnimal)</f>
        <v/>
      </c>
      <c r="L33" s="39">
        <f>SUMIFS(tSales[[Heads Removed]],tSales[[Date]],"&gt;="&amp;$B33,tSales[[Date]],"&lt;="&amp;$B33,tSales[[Pen ID]],FPen,tSales[[Batch ID]],FBatch,tSales[[Animal Type]],FAnimal)</f>
        <v/>
      </c>
      <c r="M33" s="28">
        <f>SUMIFS(tProd[[Quantity]],tProd[[Date]],"&gt;="&amp;$B33,tProd[[Date]],"&lt;="&amp;$B33,tProd[[Pen ID]],FPen,tProd[[Batch ID]],FBatch,tProd[[Animal Type]],FAnimal,tProd[[Measurement Type]],"&lt;&gt;Weighing")</f>
        <v/>
      </c>
    </row>
    <row r="34">
      <c r="A34" s="27">
        <f>TEXT(B34,"ddd dd mmm")</f>
        <v/>
      </c>
      <c r="B34" s="31">
        <f>MIN(DEnd,TODAY())-2</f>
        <v/>
      </c>
      <c r="C34" s="36" t="n"/>
      <c r="D34" s="28">
        <f>SUMIFS(tFeedIss[[Quantity Issued in kg]],tFeedIss[[Date]],"&gt;="&amp;$B34,tFeedIss[[Date]],"&lt;="&amp;$B34,tFeedIss[[Pen ID]],FPen,tFeedIss[[Batch ID]],FBatch,tFeedIss[[Animal Type]],FAnimal)</f>
        <v/>
      </c>
      <c r="E34" s="29">
        <f>SUMIFS(tFeedIss[[Total Cost]],tFeedIss[[Date]],"&gt;="&amp;$B34,tFeedIss[[Date]],"&lt;="&amp;$B34,tFeedIss[[Pen ID]],FPen,tFeedIss[[Batch ID]],FBatch,tFeedIss[[Animal Type]],FAnimal)</f>
        <v/>
      </c>
      <c r="F34" s="29">
        <f>SUMIFS(tDrugUse[[Total Cost]],tDrugUse[[Date]],"&gt;="&amp;$B34,tDrugUse[[Date]],"&lt;="&amp;$B34,tDrugUse[[Pen ID]],FPen,tDrugUse[[Batch ID]],FBatch,tDrugUse[[Animal Type]],FAnimal)</f>
        <v/>
      </c>
      <c r="G34" s="29">
        <f>SUMIFS(tExp[[Amount]],tExp[[Date]],"&gt;="&amp;$B34,tExp[[Date]],"&lt;="&amp;$B34,tExp[[Pen ID / General]],FPen,tExp[[Batch ID (if applicable)]],FBatch,tExp[[Animal Type]],FAnimal)</f>
        <v/>
      </c>
      <c r="H34" s="29">
        <f>E34+F34+G34</f>
        <v/>
      </c>
      <c r="I34" s="29">
        <f>SUMIFS(tSales[[Total Revenue]],tSales[[Date]],"&gt;="&amp;$B34,tSales[[Date]],"&lt;="&amp;$B34,tSales[[Pen ID]],FPen,tSales[[Batch ID]],FBatch,tSales[[Animal Type]],FAnimal)</f>
        <v/>
      </c>
      <c r="J34" s="41">
        <f>I34-H34</f>
        <v/>
      </c>
      <c r="K34" s="39">
        <f>SUMIFS(tMort[[Number of Deaths]],tMort[[Date]],"&gt;="&amp;$B34,tMort[[Date]],"&lt;="&amp;$B34,tMort[[Pen ID]],FPen,tMort[[Batch ID]],FBatch,tMort[[Animal Type]],FAnimal)</f>
        <v/>
      </c>
      <c r="L34" s="39">
        <f>SUMIFS(tSales[[Heads Removed]],tSales[[Date]],"&gt;="&amp;$B34,tSales[[Date]],"&lt;="&amp;$B34,tSales[[Pen ID]],FPen,tSales[[Batch ID]],FBatch,tSales[[Animal Type]],FAnimal)</f>
        <v/>
      </c>
      <c r="M34" s="28">
        <f>SUMIFS(tProd[[Quantity]],tProd[[Date]],"&gt;="&amp;$B34,tProd[[Date]],"&lt;="&amp;$B34,tProd[[Pen ID]],FPen,tProd[[Batch ID]],FBatch,tProd[[Animal Type]],FAnimal,tProd[[Measurement Type]],"&lt;&gt;Weighing")</f>
        <v/>
      </c>
    </row>
    <row r="35">
      <c r="A35" s="27">
        <f>TEXT(B35,"ddd dd mmm")</f>
        <v/>
      </c>
      <c r="B35" s="31">
        <f>MIN(DEnd,TODAY())-1</f>
        <v/>
      </c>
      <c r="C35" s="36" t="n"/>
      <c r="D35" s="28">
        <f>SUMIFS(tFeedIss[[Quantity Issued in kg]],tFeedIss[[Date]],"&gt;="&amp;$B35,tFeedIss[[Date]],"&lt;="&amp;$B35,tFeedIss[[Pen ID]],FPen,tFeedIss[[Batch ID]],FBatch,tFeedIss[[Animal Type]],FAnimal)</f>
        <v/>
      </c>
      <c r="E35" s="29">
        <f>SUMIFS(tFeedIss[[Total Cost]],tFeedIss[[Date]],"&gt;="&amp;$B35,tFeedIss[[Date]],"&lt;="&amp;$B35,tFeedIss[[Pen ID]],FPen,tFeedIss[[Batch ID]],FBatch,tFeedIss[[Animal Type]],FAnimal)</f>
        <v/>
      </c>
      <c r="F35" s="29">
        <f>SUMIFS(tDrugUse[[Total Cost]],tDrugUse[[Date]],"&gt;="&amp;$B35,tDrugUse[[Date]],"&lt;="&amp;$B35,tDrugUse[[Pen ID]],FPen,tDrugUse[[Batch ID]],FBatch,tDrugUse[[Animal Type]],FAnimal)</f>
        <v/>
      </c>
      <c r="G35" s="29">
        <f>SUMIFS(tExp[[Amount]],tExp[[Date]],"&gt;="&amp;$B35,tExp[[Date]],"&lt;="&amp;$B35,tExp[[Pen ID / General]],FPen,tExp[[Batch ID (if applicable)]],FBatch,tExp[[Animal Type]],FAnimal)</f>
        <v/>
      </c>
      <c r="H35" s="29">
        <f>E35+F35+G35</f>
        <v/>
      </c>
      <c r="I35" s="29">
        <f>SUMIFS(tSales[[Total Revenue]],tSales[[Date]],"&gt;="&amp;$B35,tSales[[Date]],"&lt;="&amp;$B35,tSales[[Pen ID]],FPen,tSales[[Batch ID]],FBatch,tSales[[Animal Type]],FAnimal)</f>
        <v/>
      </c>
      <c r="J35" s="41">
        <f>I35-H35</f>
        <v/>
      </c>
      <c r="K35" s="39">
        <f>SUMIFS(tMort[[Number of Deaths]],tMort[[Date]],"&gt;="&amp;$B35,tMort[[Date]],"&lt;="&amp;$B35,tMort[[Pen ID]],FPen,tMort[[Batch ID]],FBatch,tMort[[Animal Type]],FAnimal)</f>
        <v/>
      </c>
      <c r="L35" s="39">
        <f>SUMIFS(tSales[[Heads Removed]],tSales[[Date]],"&gt;="&amp;$B35,tSales[[Date]],"&lt;="&amp;$B35,tSales[[Pen ID]],FPen,tSales[[Batch ID]],FBatch,tSales[[Animal Type]],FAnimal)</f>
        <v/>
      </c>
      <c r="M35" s="28">
        <f>SUMIFS(tProd[[Quantity]],tProd[[Date]],"&gt;="&amp;$B35,tProd[[Date]],"&lt;="&amp;$B35,tProd[[Pen ID]],FPen,tProd[[Batch ID]],FBatch,tProd[[Animal Type]],FAnimal,tProd[[Measurement Type]],"&lt;&gt;Weighing")</f>
        <v/>
      </c>
    </row>
    <row r="36">
      <c r="A36" s="27">
        <f>TEXT(B36,"ddd dd mmm")</f>
        <v/>
      </c>
      <c r="B36" s="31">
        <f>MIN(DEnd,TODAY())-0</f>
        <v/>
      </c>
      <c r="C36" s="36" t="n"/>
      <c r="D36" s="28">
        <f>SUMIFS(tFeedIss[[Quantity Issued in kg]],tFeedIss[[Date]],"&gt;="&amp;$B36,tFeedIss[[Date]],"&lt;="&amp;$B36,tFeedIss[[Pen ID]],FPen,tFeedIss[[Batch ID]],FBatch,tFeedIss[[Animal Type]],FAnimal)</f>
        <v/>
      </c>
      <c r="E36" s="29">
        <f>SUMIFS(tFeedIss[[Total Cost]],tFeedIss[[Date]],"&gt;="&amp;$B36,tFeedIss[[Date]],"&lt;="&amp;$B36,tFeedIss[[Pen ID]],FPen,tFeedIss[[Batch ID]],FBatch,tFeedIss[[Animal Type]],FAnimal)</f>
        <v/>
      </c>
      <c r="F36" s="29">
        <f>SUMIFS(tDrugUse[[Total Cost]],tDrugUse[[Date]],"&gt;="&amp;$B36,tDrugUse[[Date]],"&lt;="&amp;$B36,tDrugUse[[Pen ID]],FPen,tDrugUse[[Batch ID]],FBatch,tDrugUse[[Animal Type]],FAnimal)</f>
        <v/>
      </c>
      <c r="G36" s="29">
        <f>SUMIFS(tExp[[Amount]],tExp[[Date]],"&gt;="&amp;$B36,tExp[[Date]],"&lt;="&amp;$B36,tExp[[Pen ID / General]],FPen,tExp[[Batch ID (if applicable)]],FBatch,tExp[[Animal Type]],FAnimal)</f>
        <v/>
      </c>
      <c r="H36" s="29">
        <f>E36+F36+G36</f>
        <v/>
      </c>
      <c r="I36" s="29">
        <f>SUMIFS(tSales[[Total Revenue]],tSales[[Date]],"&gt;="&amp;$B36,tSales[[Date]],"&lt;="&amp;$B36,tSales[[Pen ID]],FPen,tSales[[Batch ID]],FBatch,tSales[[Animal Type]],FAnimal)</f>
        <v/>
      </c>
      <c r="J36" s="41">
        <f>I36-H36</f>
        <v/>
      </c>
      <c r="K36" s="39">
        <f>SUMIFS(tMort[[Number of Deaths]],tMort[[Date]],"&gt;="&amp;$B36,tMort[[Date]],"&lt;="&amp;$B36,tMort[[Pen ID]],FPen,tMort[[Batch ID]],FBatch,tMort[[Animal Type]],FAnimal)</f>
        <v/>
      </c>
      <c r="L36" s="39">
        <f>SUMIFS(tSales[[Heads Removed]],tSales[[Date]],"&gt;="&amp;$B36,tSales[[Date]],"&lt;="&amp;$B36,tSales[[Pen ID]],FPen,tSales[[Batch ID]],FBatch,tSales[[Animal Type]],FAnimal)</f>
        <v/>
      </c>
      <c r="M36" s="28">
        <f>SUMIFS(tProd[[Quantity]],tProd[[Date]],"&gt;="&amp;$B36,tProd[[Date]],"&lt;="&amp;$B36,tProd[[Pen ID]],FPen,tProd[[Batch ID]],FBatch,tProd[[Animal Type]],FAnimal,tProd[[Measurement Type]],"&lt;&gt;Weighing")</f>
        <v/>
      </c>
    </row>
  </sheetData>
  <sheetProtection selectLockedCells="0" selectUnlockedCells="0" sheet="1" objects="0" insertRows="1" insertHyperlinks="1" autoFilter="0" scenarios="0" formatColumns="0" deleteColumns="1" insertColumns="1" pivotTables="1" deleteRows="1" formatCells="1" formatRows="0" sort="0"/>
  <conditionalFormatting sqref="J7:J19">
    <cfRule type="cellIs" priority="1" operator="lessThan" dxfId="5">
      <formula>0</formula>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tabColor rgb="00C00000"/>
    <outlinePr summaryBelow="1" summaryRight="1"/>
    <pageSetUpPr/>
  </sheetPr>
  <dimension ref="A1:E36"/>
  <sheetViews>
    <sheetView showGridLines="0" tabSelected="0" zoomScale="90" workbookViewId="0">
      <selection activeCell="A1" sqref="A1"/>
    </sheetView>
  </sheetViews>
  <sheetFormatPr baseColWidth="8" defaultRowHeight="15"/>
  <cols>
    <col width="34" customWidth="1" min="1" max="1"/>
    <col width="50" customWidth="1" min="2" max="2"/>
    <col width="14" customWidth="1" min="3" max="3"/>
    <col width="16" customWidth="1" min="4" max="4"/>
    <col width="16" customWidth="1" min="5" max="5"/>
  </cols>
  <sheetData>
    <row r="1">
      <c r="A1" s="1" t="inlineStr">
        <is>
          <t>CHECKS - data quality &amp; safeguards</t>
        </is>
      </c>
    </row>
    <row r="2">
      <c r="A2" s="7" t="inlineStr">
        <is>
          <t>Anything other than 0 needs attention. Flagged rows are highlighted red in the Check column of each sheet (use the filter arrow on 'Check').</t>
        </is>
      </c>
    </row>
    <row r="4">
      <c r="A4" s="32" t="inlineStr">
        <is>
          <t>TOTAL ROWS NEEDING ATTENTION</t>
        </is>
      </c>
      <c r="B4" s="35" t="n"/>
      <c r="C4" s="61">
        <f>SUM(C7:C21)</f>
        <v/>
      </c>
    </row>
    <row r="6" ht="30" customHeight="1">
      <c r="A6" s="26" t="inlineStr">
        <is>
          <t>Sheet</t>
        </is>
      </c>
      <c r="B6" s="26" t="inlineStr">
        <is>
          <t>Check</t>
        </is>
      </c>
      <c r="C6" s="26" t="inlineStr">
        <is>
          <t>Rows flagged</t>
        </is>
      </c>
    </row>
    <row r="7">
      <c r="A7" s="27" t="inlineStr">
        <is>
          <t>PEN_REGISTER</t>
        </is>
      </c>
      <c r="B7" s="36" t="inlineStr">
        <is>
          <t>Rows whose Check column is not OK (missing IDs, wrong pen/batch, stock exceeded ...)</t>
        </is>
      </c>
      <c r="C7" s="49">
        <f>COUNTIF(tPens[[Check]],"?*")-COUNTIF(tPens[[Check]],"OK")</f>
        <v/>
      </c>
    </row>
    <row r="8">
      <c r="A8" s="27" t="inlineStr">
        <is>
          <t>BATCH_REGISTER</t>
        </is>
      </c>
      <c r="B8" s="36" t="inlineStr">
        <is>
          <t>Rows whose Check column is not OK (missing IDs, wrong pen/batch, stock exceeded ...)</t>
        </is>
      </c>
      <c r="C8" s="49">
        <f>COUNTIF(tBatches[[Check]],"?*")-COUNTIF(tBatches[[Check]],"OK")</f>
        <v/>
      </c>
    </row>
    <row r="9">
      <c r="A9" s="27" t="inlineStr">
        <is>
          <t>FEED_PURCHASES</t>
        </is>
      </c>
      <c r="B9" s="36" t="inlineStr">
        <is>
          <t>Rows whose Check column is not OK (missing IDs, wrong pen/batch, stock exceeded ...)</t>
        </is>
      </c>
      <c r="C9" s="49">
        <f>COUNTIF(tFeedPur[[Check]],"?*")-COUNTIF(tFeedPur[[Check]],"OK")</f>
        <v/>
      </c>
    </row>
    <row r="10">
      <c r="A10" s="27" t="inlineStr">
        <is>
          <t>FEED_ISSUES</t>
        </is>
      </c>
      <c r="B10" s="36" t="inlineStr">
        <is>
          <t>Rows whose Check column is not OK (missing IDs, wrong pen/batch, stock exceeded ...)</t>
        </is>
      </c>
      <c r="C10" s="49">
        <f>COUNTIF(tFeedIss[[Check]],"?*")-COUNTIF(tFeedIss[[Check]],"OK")</f>
        <v/>
      </c>
    </row>
    <row r="11">
      <c r="A11" s="27" t="inlineStr">
        <is>
          <t>DRUG_PURCHASES</t>
        </is>
      </c>
      <c r="B11" s="36" t="inlineStr">
        <is>
          <t>Rows whose Check column is not OK (missing IDs, wrong pen/batch, stock exceeded ...)</t>
        </is>
      </c>
      <c r="C11" s="49">
        <f>COUNTIF(tDrugPur[[Check]],"?*")-COUNTIF(tDrugPur[[Check]],"OK")</f>
        <v/>
      </c>
    </row>
    <row r="12">
      <c r="A12" s="27" t="inlineStr">
        <is>
          <t>DRUG_USAGE</t>
        </is>
      </c>
      <c r="B12" s="36" t="inlineStr">
        <is>
          <t>Rows whose Check column is not OK (missing IDs, wrong pen/batch, stock exceeded ...)</t>
        </is>
      </c>
      <c r="C12" s="49">
        <f>COUNTIF(tDrugUse[[Check]],"?*")-COUNTIF(tDrugUse[[Check]],"OK")</f>
        <v/>
      </c>
    </row>
    <row r="13">
      <c r="A13" s="27" t="inlineStr">
        <is>
          <t>MORTALITY_LOG</t>
        </is>
      </c>
      <c r="B13" s="36" t="inlineStr">
        <is>
          <t>Rows whose Check column is not OK (missing IDs, wrong pen/batch, stock exceeded ...)</t>
        </is>
      </c>
      <c r="C13" s="49">
        <f>COUNTIF(tMort[[Check]],"?*")-COUNTIF(tMort[[Check]],"OK")</f>
        <v/>
      </c>
    </row>
    <row r="14">
      <c r="A14" s="27" t="inlineStr">
        <is>
          <t>PRODUCTION_LOG</t>
        </is>
      </c>
      <c r="B14" s="36" t="inlineStr">
        <is>
          <t>Rows whose Check column is not OK (missing IDs, wrong pen/batch, stock exceeded ...)</t>
        </is>
      </c>
      <c r="C14" s="49">
        <f>COUNTIF(tProd[[Check]],"?*")-COUNTIF(tProd[[Check]],"OK")</f>
        <v/>
      </c>
    </row>
    <row r="15">
      <c r="A15" s="27" t="inlineStr">
        <is>
          <t>SALES</t>
        </is>
      </c>
      <c r="B15" s="36" t="inlineStr">
        <is>
          <t>Rows whose Check column is not OK (missing IDs, wrong pen/batch, stock exceeded ...)</t>
        </is>
      </c>
      <c r="C15" s="49">
        <f>COUNTIF(tSales[[Check]],"?*")-COUNTIF(tSales[[Check]],"OK")</f>
        <v/>
      </c>
    </row>
    <row r="16">
      <c r="A16" s="27" t="inlineStr">
        <is>
          <t>OTHER_EXPENSES</t>
        </is>
      </c>
      <c r="B16" s="36" t="inlineStr">
        <is>
          <t>Rows whose Check column is not OK (missing IDs, wrong pen/batch, stock exceeded ...)</t>
        </is>
      </c>
      <c r="C16" s="49">
        <f>COUNTIF(tExp[[Check]],"?*")-COUNTIF(tExp[[Check]],"OK")</f>
        <v/>
      </c>
    </row>
    <row r="17">
      <c r="A17" s="27" t="inlineStr">
        <is>
          <t>CASHBOOK</t>
        </is>
      </c>
      <c r="B17" s="36" t="inlineStr">
        <is>
          <t>Rows whose Check column is not OK (missing IDs, wrong pen/batch, stock exceeded ...)</t>
        </is>
      </c>
      <c r="C17" s="49">
        <f>COUNTIF(tCash[[Check]],"?*")-COUNTIF(tCash[[Check]],"OK")</f>
        <v/>
      </c>
    </row>
    <row r="18">
      <c r="A18" s="27" t="inlineStr">
        <is>
          <t>STOCK_MOVEMENTS</t>
        </is>
      </c>
      <c r="B18" s="36" t="inlineStr">
        <is>
          <t>Rows whose Check column is not OK (missing IDs, wrong pen/batch, stock exceeded ...)</t>
        </is>
      </c>
      <c r="C18" s="49">
        <f>COUNTIF(tMoves[[Check]],"?*")-COUNTIF(tMoves[[Check]],"OK")</f>
        <v/>
      </c>
    </row>
    <row r="19">
      <c r="A19" s="27" t="inlineStr">
        <is>
          <t>INVENTORY</t>
        </is>
      </c>
      <c r="B19" s="36" t="inlineStr">
        <is>
          <t>Feed types with NEGATIVE stock</t>
        </is>
      </c>
      <c r="C19" s="49">
        <f>COUNTIF(INVENTORY!$K$6:$K$25,"NEGATIVE*")</f>
        <v/>
      </c>
    </row>
    <row r="20">
      <c r="A20" s="27" t="inlineStr">
        <is>
          <t>INVENTORY</t>
        </is>
      </c>
      <c r="B20" s="36" t="inlineStr">
        <is>
          <t>Drugs with NEGATIVE stock</t>
        </is>
      </c>
      <c r="C20" s="49">
        <f>COUNTIF(INVENTORY!$K$31:$K$80,"NEGATIVE*")</f>
        <v/>
      </c>
    </row>
    <row r="21">
      <c r="A21" s="27" t="inlineStr">
        <is>
          <t>FEED</t>
        </is>
      </c>
      <c r="B21" s="36" t="inlineStr">
        <is>
          <t>Feed purchased/issued under a type missing from LISTS</t>
        </is>
      </c>
      <c r="C21" s="49">
        <f>COUNTA(tFeedPur[[Feed Type]])+COUNTA(tFeedIss[[Feed Type]])-SUMPRODUCT(COUNTIF(tFeedPur[[Feed Type]],tFeedTypes[[Feed Type]]))-SUMPRODUCT(COUNTIF(tFeedIss[[Feed Type]],tFeedTypes[[Feed Type]]))</f>
        <v/>
      </c>
    </row>
    <row r="22">
      <c r="A22" s="27" t="inlineStr">
        <is>
          <t>DRUG_PURCHASES</t>
        </is>
      </c>
      <c r="B22" s="36" t="inlineStr">
        <is>
          <t>Lots EXPIRED with stock remaining</t>
        </is>
      </c>
      <c r="C22" s="49">
        <f>COUNTIF(tDrugPur[[Expiry Status]],"EXPIRED")</f>
        <v/>
      </c>
    </row>
    <row r="23">
      <c r="A23" s="27" t="inlineStr">
        <is>
          <t>DRUG_PURCHASES</t>
        </is>
      </c>
      <c r="B23" s="36">
        <f>"Lots expiring within "&amp;ExpiryWarnDays&amp;" days"</f>
        <v/>
      </c>
      <c r="C23" s="49">
        <f>COUNTIF(tDrugPur[[Expiry Status]],"Expires*")</f>
        <v/>
      </c>
    </row>
    <row r="24">
      <c r="A24" s="27" t="inlineStr">
        <is>
          <t>CASHBOOK</t>
        </is>
      </c>
      <c r="B24" s="36" t="inlineStr">
        <is>
          <t>Rows with a negative running balance</t>
        </is>
      </c>
      <c r="C24" s="49">
        <f>COUNTIF(tCash[[Running Balance]],"&lt;0")</f>
        <v/>
      </c>
    </row>
    <row r="27">
      <c r="A27" s="25" t="inlineStr">
        <is>
          <t>CASH RECONCILIATION (all time) - logs vs cashbook</t>
        </is>
      </c>
    </row>
    <row r="28" ht="30" customHeight="1">
      <c r="A28" s="26" t="inlineStr">
        <is>
          <t>Item</t>
        </is>
      </c>
      <c r="B28" s="26" t="inlineStr">
        <is>
          <t>Explanation</t>
        </is>
      </c>
      <c r="C28" s="26" t="inlineStr">
        <is>
          <t>Per logs</t>
        </is>
      </c>
      <c r="D28" s="26" t="inlineStr">
        <is>
          <t>Per cashbook</t>
        </is>
      </c>
      <c r="E28" s="26" t="inlineStr">
        <is>
          <t>Difference</t>
        </is>
      </c>
    </row>
    <row r="29">
      <c r="A29" s="27" t="inlineStr">
        <is>
          <t>Feed purchases paid</t>
        </is>
      </c>
      <c r="B29" s="59" t="inlineStr">
        <is>
          <t>FEED_PURCHASES not on Credit vs cashbook 'Feed Purchase'</t>
        </is>
      </c>
      <c r="C29" s="29">
        <f>SUMIFS(tFeedPur[[Total Cost]],tFeedPur[[Payment Method]],"&lt;&gt;Credit")</f>
        <v/>
      </c>
      <c r="D29" s="29">
        <f>SUMIFS(tCash[[Money Out]],tCash[[Type]],"Feed Purchase")</f>
        <v/>
      </c>
      <c r="E29" s="41">
        <f>C29-D29</f>
        <v/>
      </c>
    </row>
    <row r="30">
      <c r="A30" s="27" t="inlineStr">
        <is>
          <t>Drug purchases paid</t>
        </is>
      </c>
      <c r="B30" s="59" t="inlineStr">
        <is>
          <t>DRUG_PURCHASES not on Credit vs cashbook 'Drug Purchase'</t>
        </is>
      </c>
      <c r="C30" s="29">
        <f>SUMIFS(tDrugPur[[Total Cost]],tDrugPur[[Payment Method]],"&lt;&gt;Credit")</f>
        <v/>
      </c>
      <c r="D30" s="29">
        <f>SUMIFS(tCash[[Money Out]],tCash[[Type]],"Drug Purchase")</f>
        <v/>
      </c>
      <c r="E30" s="41">
        <f>C30-D30</f>
        <v/>
      </c>
    </row>
    <row r="31">
      <c r="A31" s="27" t="inlineStr">
        <is>
          <t>Other expenses paid</t>
        </is>
      </c>
      <c r="B31" s="59" t="inlineStr">
        <is>
          <t>OTHER_EXPENSES not on Credit vs cashbook 'Expense Payment'</t>
        </is>
      </c>
      <c r="C31" s="29">
        <f>SUMIFS(tExp[[Amount]],tExp[[Payment Method]],"&lt;&gt;Credit")</f>
        <v/>
      </c>
      <c r="D31" s="29">
        <f>SUMIFS(tCash[[Money Out]],tCash[[Type]],"Expense Payment")</f>
        <v/>
      </c>
      <c r="E31" s="41">
        <f>C31-D31</f>
        <v/>
      </c>
    </row>
    <row r="32">
      <c r="A32" s="27" t="inlineStr">
        <is>
          <t>Sales received</t>
        </is>
      </c>
      <c r="B32" s="59" t="inlineStr">
        <is>
          <t>SALES not on Credit vs cashbook 'Sale Receipt'</t>
        </is>
      </c>
      <c r="C32" s="29">
        <f>SUMIFS(tSales[[Total Revenue]],tSales[[Payment Method]],"&lt;&gt;Credit")</f>
        <v/>
      </c>
      <c r="D32" s="29">
        <f>SUMIFS(tCash[[Money In]],tCash[[Type]],"Sale Receipt")</f>
        <v/>
      </c>
      <c r="E32" s="41">
        <f>C32-D32</f>
        <v/>
      </c>
    </row>
    <row r="33">
      <c r="A33" s="27" t="inlineStr">
        <is>
          <t>Owed to suppliers (credit)</t>
        </is>
      </c>
      <c r="B33" s="59" t="inlineStr">
        <is>
          <t>Credit purchases &amp; expenses minus 'Supplier Credit Payment'</t>
        </is>
      </c>
      <c r="C33" s="29">
        <f>SUMIFS(tFeedPur[[Total Cost]],tFeedPur[[Payment Method]],"Credit")+SUMIFS(tDrugPur[[Total Cost]],tDrugPur[[Payment Method]],"Credit")+SUMIFS(tExp[[Amount]],tExp[[Payment Method]],"Credit")</f>
        <v/>
      </c>
      <c r="D33" s="29">
        <f>SUMIFS(tCash[[Money Out]],tCash[[Type]],"Supplier Credit Payment")</f>
        <v/>
      </c>
      <c r="E33" s="41">
        <f>C33-D33</f>
        <v/>
      </c>
    </row>
    <row r="34">
      <c r="A34" s="27" t="inlineStr">
        <is>
          <t>Owed by customers (credit)</t>
        </is>
      </c>
      <c r="B34" s="59" t="inlineStr">
        <is>
          <t>Credit sales minus 'Customer Credit Receipt'</t>
        </is>
      </c>
      <c r="C34" s="29">
        <f>SUMIFS(tSales[[Total Revenue]],tSales[[Payment Method]],"Credit")</f>
        <v/>
      </c>
      <c r="D34" s="29">
        <f>SUMIFS(tCash[[Money In]],tCash[[Type]],"Customer Credit Receipt")</f>
        <v/>
      </c>
      <c r="E34" s="41">
        <f>C34-D34</f>
        <v/>
      </c>
    </row>
    <row r="36">
      <c r="A36" s="7" t="inlineStr">
        <is>
          <t>Differences in the first four lines mean a payment was recorded in one place but not the other. The last two lines are outstanding credit balances (Difference = amount still owed).</t>
        </is>
      </c>
    </row>
  </sheetData>
  <sheetProtection selectLockedCells="0" selectUnlockedCells="0" sheet="1" objects="0" insertRows="1" insertHyperlinks="1" autoFilter="0" scenarios="0" formatColumns="0" deleteColumns="1" insertColumns="1" pivotTables="1" deleteRows="1" formatCells="1" formatRows="0" sort="0"/>
  <conditionalFormatting sqref="C4:C24">
    <cfRule type="cellIs" priority="1" operator="greaterThan" dxfId="9">
      <formula>0</formula>
    </cfRule>
  </conditionalFormatting>
  <conditionalFormatting sqref="C7:C24">
    <cfRule type="cellIs" priority="2" operator="equal" dxfId="2">
      <formula>0</formula>
    </cfRule>
  </conditionalFormatting>
  <conditionalFormatting sqref="E29">
    <cfRule type="expression" priority="3" dxfId="3">
      <formula>ABS(E29)&gt;0.5</formula>
    </cfRule>
  </conditionalFormatting>
  <conditionalFormatting sqref="E30">
    <cfRule type="expression" priority="4" dxfId="3">
      <formula>ABS(E30)&gt;0.5</formula>
    </cfRule>
  </conditionalFormatting>
  <conditionalFormatting sqref="E31">
    <cfRule type="expression" priority="5" dxfId="3">
      <formula>ABS(E31)&gt;0.5</formula>
    </cfRule>
  </conditionalFormatting>
  <conditionalFormatting sqref="E32">
    <cfRule type="expression" priority="6" dxfId="3">
      <formula>ABS(E32)&gt;0.5</formula>
    </cfRule>
  </conditionalFormatting>
  <pageMargins left="0.75" right="0.75" top="1" bottom="1" header="0.5" footer="0.5"/>
</worksheet>
</file>

<file path=xl/worksheets/sheet20.xml><?xml version="1.0" encoding="utf-8"?>
<worksheet xmlns="http://schemas.openxmlformats.org/spreadsheetml/2006/main">
  <sheetPr>
    <tabColor rgb="00BF8F00"/>
    <outlinePr summaryBelow="1" summaryRight="1"/>
    <pageSetUpPr/>
  </sheetPr>
  <dimension ref="A1:AN17"/>
  <sheetViews>
    <sheetView showGridLines="0" tabSelected="0" zoomScale="90" workbookViewId="0">
      <pane ySplit="4" topLeftCell="A5" activePane="bottomLeft" state="frozen"/>
      <selection pane="bottomLeft" activeCell="A1" sqref="A1"/>
    </sheetView>
  </sheetViews>
  <sheetFormatPr baseColWidth="8" defaultRowHeight="15"/>
  <cols>
    <col width="26" customWidth="1" min="1" max="1"/>
    <col width="30" customWidth="1" min="2" max="2"/>
    <col width="16" customWidth="1" min="4" max="4"/>
    <col width="11" customWidth="1" min="5" max="5"/>
    <col width="11" customWidth="1" min="6" max="6"/>
    <col width="22" customWidth="1" min="8" max="8"/>
    <col width="20" customWidth="1" min="9" max="9"/>
    <col width="10" customWidth="1" min="10" max="10"/>
    <col width="10" customWidth="1" min="11" max="11"/>
    <col width="10" customWidth="1" min="13" max="13"/>
    <col width="13" customWidth="1" min="15" max="15"/>
    <col width="16" customWidth="1" min="17" max="17"/>
    <col width="9" customWidth="1" min="18" max="18"/>
    <col width="10" customWidth="1" min="19" max="19"/>
    <col width="26" customWidth="1" min="21" max="21"/>
    <col width="12" customWidth="1" min="23" max="23"/>
    <col width="20" customWidth="1" min="25" max="25"/>
    <col width="16" customWidth="1" min="27" max="27"/>
    <col width="16" customWidth="1" min="29" max="29"/>
    <col width="16" customWidth="1" min="31" max="31"/>
    <col width="24" customWidth="1" min="33" max="33"/>
    <col width="9" customWidth="1" min="34" max="34"/>
    <col width="14" customWidth="1" min="36" max="36"/>
    <col width="20" customWidth="1" min="38" max="38"/>
    <col width="20" customWidth="1" min="40" max="40"/>
  </cols>
  <sheetData>
    <row r="1">
      <c r="A1" s="1" t="inlineStr">
        <is>
          <t>LISTS &amp; SETTINGS</t>
        </is>
      </c>
    </row>
    <row r="2">
      <c r="A2" s="7" t="inlineStr">
        <is>
          <t>Master lists that feed every dropdown. Add new items by typing directly under a list — the dropdowns grow automatically. Rename with care: existing records keep the old text.</t>
        </is>
      </c>
    </row>
    <row r="3">
      <c r="A3" s="8" t="inlineStr">
        <is>
          <t>■ GREEN header = you enter / select      ■ GREY header = automatic (do not type)      Add a new record by typing in the first empty row directly under the table.</t>
        </is>
      </c>
    </row>
    <row r="4" ht="32" customHeight="1">
      <c r="D4" s="9" t="inlineStr">
        <is>
          <t>Feed Type</t>
        </is>
      </c>
      <c r="E4" s="9" t="inlineStr">
        <is>
          <t>Default Bag Size kg</t>
        </is>
      </c>
      <c r="F4" s="9" t="inlineStr">
        <is>
          <t>Reorder Level kg</t>
        </is>
      </c>
      <c r="H4" s="9" t="inlineStr">
        <is>
          <t>Drug Name</t>
        </is>
      </c>
      <c r="I4" s="9" t="inlineStr">
        <is>
          <t>Form/Concentration</t>
        </is>
      </c>
      <c r="J4" s="9" t="inlineStr">
        <is>
          <t>Stock Unit</t>
        </is>
      </c>
      <c r="K4" s="9" t="inlineStr">
        <is>
          <t>Reorder Level</t>
        </is>
      </c>
      <c r="M4" s="9" t="inlineStr">
        <is>
          <t>Unit</t>
        </is>
      </c>
      <c r="O4" s="9" t="inlineStr">
        <is>
          <t>Animal Type</t>
        </is>
      </c>
      <c r="Q4" s="9" t="inlineStr">
        <is>
          <t>Product</t>
        </is>
      </c>
      <c r="R4" s="9" t="inlineStr">
        <is>
          <t>Sale Unit</t>
        </is>
      </c>
      <c r="S4" s="9" t="inlineStr">
        <is>
          <t>Reduces Head Count</t>
        </is>
      </c>
      <c r="U4" s="9" t="inlineStr">
        <is>
          <t>Expense Category</t>
        </is>
      </c>
      <c r="W4" s="9" t="inlineStr">
        <is>
          <t>Payment Method</t>
        </is>
      </c>
      <c r="Y4" s="9" t="inlineStr">
        <is>
          <t>Mortality Cause</t>
        </is>
      </c>
      <c r="AA4" s="9" t="inlineStr">
        <is>
          <t>Measurement Type</t>
        </is>
      </c>
      <c r="AC4" s="9" t="inlineStr">
        <is>
          <t>Drug Reason</t>
        </is>
      </c>
      <c r="AE4" s="9" t="inlineStr">
        <is>
          <t>Movement Type</t>
        </is>
      </c>
      <c r="AG4" s="9" t="inlineStr">
        <is>
          <t>Cash Type</t>
        </is>
      </c>
      <c r="AH4" s="9" t="inlineStr">
        <is>
          <t>Direction</t>
        </is>
      </c>
      <c r="AJ4" s="9" t="inlineStr">
        <is>
          <t>Staff</t>
        </is>
      </c>
      <c r="AL4" s="9" t="inlineStr">
        <is>
          <t>Customer</t>
        </is>
      </c>
      <c r="AN4" s="9" t="inlineStr">
        <is>
          <t>Supplier</t>
        </is>
      </c>
    </row>
    <row r="5">
      <c r="A5" s="25" t="inlineStr">
        <is>
          <t>SETTINGS</t>
        </is>
      </c>
      <c r="B5" t="inlineStr"/>
      <c r="D5" s="12" t="inlineStr">
        <is>
          <t>Pre-Starter</t>
        </is>
      </c>
      <c r="E5" s="18" t="n">
        <v>25</v>
      </c>
      <c r="F5" s="18" t="n">
        <v>50</v>
      </c>
      <c r="H5" s="12" t="inlineStr">
        <is>
          <t>Multivitamin</t>
        </is>
      </c>
      <c r="I5" s="12" t="inlineStr">
        <is>
          <t>Soluble liquid</t>
        </is>
      </c>
      <c r="J5" s="12" t="inlineStr">
        <is>
          <t>ml</t>
        </is>
      </c>
      <c r="K5" s="18" t="n">
        <v>200</v>
      </c>
      <c r="M5" s="12" t="inlineStr">
        <is>
          <t>ml</t>
        </is>
      </c>
      <c r="O5" s="12" t="inlineStr">
        <is>
          <t>Broiler</t>
        </is>
      </c>
      <c r="Q5" s="12" t="inlineStr">
        <is>
          <t>Live Birds</t>
        </is>
      </c>
      <c r="R5" s="12" t="inlineStr">
        <is>
          <t>birds</t>
        </is>
      </c>
      <c r="S5" s="12" t="inlineStr">
        <is>
          <t>Yes</t>
        </is>
      </c>
      <c r="U5" s="12" t="inlineStr">
        <is>
          <t>Day-old Chicks / Stock Purchase</t>
        </is>
      </c>
      <c r="W5" s="12" t="inlineStr">
        <is>
          <t>Cash</t>
        </is>
      </c>
      <c r="Y5" s="12" t="inlineStr">
        <is>
          <t>Unknown</t>
        </is>
      </c>
      <c r="AA5" s="12" t="inlineStr">
        <is>
          <t>Weighing</t>
        </is>
      </c>
      <c r="AC5" s="12" t="inlineStr">
        <is>
          <t>Treatment</t>
        </is>
      </c>
      <c r="AE5" s="12" t="inlineStr">
        <is>
          <t>Transfer In</t>
        </is>
      </c>
      <c r="AG5" s="12" t="inlineStr">
        <is>
          <t>Opening Balance</t>
        </is>
      </c>
      <c r="AH5" s="12" t="inlineStr">
        <is>
          <t>In</t>
        </is>
      </c>
      <c r="AJ5" s="12" t="inlineStr">
        <is>
          <t>Farm Manager</t>
        </is>
      </c>
      <c r="AL5" s="12" t="inlineStr">
        <is>
          <t>Walk-in Customer</t>
        </is>
      </c>
      <c r="AN5" s="12" t="inlineStr">
        <is>
          <t>Feed Supplier A (sample)</t>
        </is>
      </c>
    </row>
    <row r="6">
      <c r="A6" s="47" t="inlineStr">
        <is>
          <t>Farm Name</t>
        </is>
      </c>
      <c r="B6" s="62" t="inlineStr">
        <is>
          <t>My Farm (edit me)</t>
        </is>
      </c>
      <c r="D6" s="12" t="inlineStr">
        <is>
          <t>Starter</t>
        </is>
      </c>
      <c r="E6" s="18" t="n">
        <v>25</v>
      </c>
      <c r="F6" s="18" t="n">
        <v>100</v>
      </c>
      <c r="H6" s="12" t="inlineStr">
        <is>
          <t>Antibiotic A</t>
        </is>
      </c>
      <c r="I6" s="12" t="inlineStr">
        <is>
          <t>Water-soluble powder</t>
        </is>
      </c>
      <c r="J6" s="12" t="inlineStr">
        <is>
          <t>g</t>
        </is>
      </c>
      <c r="K6" s="18" t="n">
        <v>100</v>
      </c>
      <c r="M6" s="12" t="inlineStr">
        <is>
          <t>litres</t>
        </is>
      </c>
      <c r="O6" s="12" t="inlineStr">
        <is>
          <t>Layer</t>
        </is>
      </c>
      <c r="Q6" s="12" t="inlineStr">
        <is>
          <t>Dressed Birds</t>
        </is>
      </c>
      <c r="R6" s="12" t="inlineStr">
        <is>
          <t>birds</t>
        </is>
      </c>
      <c r="S6" s="12" t="inlineStr">
        <is>
          <t>Yes</t>
        </is>
      </c>
      <c r="U6" s="12" t="inlineStr">
        <is>
          <t>Labour</t>
        </is>
      </c>
      <c r="W6" s="12" t="inlineStr">
        <is>
          <t>Transfer</t>
        </is>
      </c>
      <c r="Y6" s="12" t="inlineStr">
        <is>
          <t>Suspected disease</t>
        </is>
      </c>
      <c r="AA6" s="12" t="inlineStr">
        <is>
          <t>Egg Collection</t>
        </is>
      </c>
      <c r="AC6" s="12" t="inlineStr">
        <is>
          <t>Prevention</t>
        </is>
      </c>
      <c r="AE6" s="12" t="inlineStr">
        <is>
          <t>Transfer Out</t>
        </is>
      </c>
      <c r="AG6" s="12" t="inlineStr">
        <is>
          <t>Sale Receipt</t>
        </is>
      </c>
      <c r="AH6" s="12" t="inlineStr">
        <is>
          <t>In</t>
        </is>
      </c>
      <c r="AJ6" s="12" t="inlineStr">
        <is>
          <t>Attendant 1</t>
        </is>
      </c>
      <c r="AL6" s="12" t="inlineStr">
        <is>
          <t>Customer A (sample)</t>
        </is>
      </c>
      <c r="AN6" s="12" t="inlineStr">
        <is>
          <t>Feed Supplier B (sample)</t>
        </is>
      </c>
    </row>
    <row r="7">
      <c r="A7" s="47" t="inlineStr">
        <is>
          <t>Drug expiry warning (days)</t>
        </is>
      </c>
      <c r="B7" s="63" t="n">
        <v>30</v>
      </c>
      <c r="D7" s="12" t="inlineStr">
        <is>
          <t>Grower</t>
        </is>
      </c>
      <c r="E7" s="18" t="n">
        <v>25</v>
      </c>
      <c r="F7" s="18" t="n">
        <v>100</v>
      </c>
      <c r="H7" s="12" t="inlineStr">
        <is>
          <t>ND Vaccine (Lasota)</t>
        </is>
      </c>
      <c r="I7" s="12" t="inlineStr">
        <is>
          <t>1000-dose vial</t>
        </is>
      </c>
      <c r="J7" s="12" t="inlineStr">
        <is>
          <t>doses</t>
        </is>
      </c>
      <c r="K7" s="18" t="n">
        <v>1000</v>
      </c>
      <c r="M7" s="12" t="inlineStr">
        <is>
          <t>g</t>
        </is>
      </c>
      <c r="O7" s="12" t="inlineStr">
        <is>
          <t>Cockerel</t>
        </is>
      </c>
      <c r="Q7" s="12" t="inlineStr">
        <is>
          <t>Spent Layers</t>
        </is>
      </c>
      <c r="R7" s="12" t="inlineStr">
        <is>
          <t>birds</t>
        </is>
      </c>
      <c r="S7" s="12" t="inlineStr">
        <is>
          <t>Yes</t>
        </is>
      </c>
      <c r="U7" s="12" t="inlineStr">
        <is>
          <t>Electricity</t>
        </is>
      </c>
      <c r="W7" s="12" t="inlineStr">
        <is>
          <t>POS</t>
        </is>
      </c>
      <c r="Y7" s="12" t="inlineStr">
        <is>
          <t>Heat stress</t>
        </is>
      </c>
      <c r="AA7" s="12" t="inlineStr">
        <is>
          <t>Other Output</t>
        </is>
      </c>
      <c r="AC7" s="12" t="inlineStr">
        <is>
          <t>Vaccination</t>
        </is>
      </c>
      <c r="AE7" s="12" t="inlineStr">
        <is>
          <t>Additional Stock</t>
        </is>
      </c>
      <c r="AG7" s="12" t="inlineStr">
        <is>
          <t>Customer Credit Receipt</t>
        </is>
      </c>
      <c r="AH7" s="12" t="inlineStr">
        <is>
          <t>In</t>
        </is>
      </c>
      <c r="AJ7" s="12" t="inlineStr">
        <is>
          <t>Attendant 2</t>
        </is>
      </c>
      <c r="AL7" s="12" t="inlineStr">
        <is>
          <t>Customer B (sample)</t>
        </is>
      </c>
      <c r="AN7" s="12" t="inlineStr">
        <is>
          <t>Vet Store (sample)</t>
        </is>
      </c>
    </row>
    <row r="8">
      <c r="A8" s="47" t="inlineStr">
        <is>
          <t>Currency</t>
        </is>
      </c>
      <c r="B8" s="12" t="inlineStr">
        <is>
          <t>₦ Naira (formats are fixed to ₦)</t>
        </is>
      </c>
      <c r="D8" s="12" t="inlineStr">
        <is>
          <t>Finisher</t>
        </is>
      </c>
      <c r="E8" s="18" t="n">
        <v>25</v>
      </c>
      <c r="F8" s="18" t="n">
        <v>100</v>
      </c>
      <c r="H8" s="12" t="inlineStr">
        <is>
          <t>Anticoccidial</t>
        </is>
      </c>
      <c r="I8" s="12" t="inlineStr">
        <is>
          <t>Oral solution</t>
        </is>
      </c>
      <c r="J8" s="12" t="inlineStr">
        <is>
          <t>ml</t>
        </is>
      </c>
      <c r="K8" s="18" t="n">
        <v>100</v>
      </c>
      <c r="M8" s="12" t="inlineStr">
        <is>
          <t>kg</t>
        </is>
      </c>
      <c r="O8" s="12" t="inlineStr">
        <is>
          <t>Turkey</t>
        </is>
      </c>
      <c r="Q8" s="12" t="inlineStr">
        <is>
          <t>Eggs</t>
        </is>
      </c>
      <c r="R8" s="12" t="inlineStr">
        <is>
          <t>crates</t>
        </is>
      </c>
      <c r="S8" s="12" t="inlineStr">
        <is>
          <t>No</t>
        </is>
      </c>
      <c r="U8" s="12" t="inlineStr">
        <is>
          <t>Fuel / Generator</t>
        </is>
      </c>
      <c r="W8" s="12" t="inlineStr">
        <is>
          <t>Credit</t>
        </is>
      </c>
      <c r="Y8" s="12" t="inlineStr">
        <is>
          <t>Cold / Chilling</t>
        </is>
      </c>
      <c r="AC8" s="12" t="inlineStr">
        <is>
          <t>Vitamin / Supplement</t>
        </is>
      </c>
      <c r="AE8" s="12" t="inlineStr">
        <is>
          <t>Count Correction</t>
        </is>
      </c>
      <c r="AG8" s="12" t="inlineStr">
        <is>
          <t>Capital Injection</t>
        </is>
      </c>
      <c r="AH8" s="12" t="inlineStr">
        <is>
          <t>In</t>
        </is>
      </c>
      <c r="AJ8" s="12" t="inlineStr">
        <is>
          <t>Vet</t>
        </is>
      </c>
      <c r="AL8" s="12" t="inlineStr">
        <is>
          <t>Market Trader (sample)</t>
        </is>
      </c>
      <c r="AN8" s="12" t="inlineStr">
        <is>
          <t>Hatchery (sample)</t>
        </is>
      </c>
    </row>
    <row r="9">
      <c r="A9" s="47" t="inlineStr">
        <is>
          <t>Costing method</t>
        </is>
      </c>
      <c r="B9" s="12" t="inlineStr">
        <is>
          <t>Moving weighted average</t>
        </is>
      </c>
      <c r="D9" s="12" t="inlineStr">
        <is>
          <t>Layer Mash</t>
        </is>
      </c>
      <c r="E9" s="18" t="n">
        <v>25</v>
      </c>
      <c r="F9" s="18" t="n">
        <v>150</v>
      </c>
      <c r="H9" s="12" t="inlineStr">
        <is>
          <t>Dewormer</t>
        </is>
      </c>
      <c r="I9" s="12" t="inlineStr">
        <is>
          <t>Oral suspension</t>
        </is>
      </c>
      <c r="J9" s="12" t="inlineStr">
        <is>
          <t>ml</t>
        </is>
      </c>
      <c r="K9" s="18" t="n">
        <v>50</v>
      </c>
      <c r="M9" s="12" t="inlineStr">
        <is>
          <t>tablets</t>
        </is>
      </c>
      <c r="O9" s="12" t="inlineStr">
        <is>
          <t>Noiler</t>
        </is>
      </c>
      <c r="Q9" s="12" t="inlineStr">
        <is>
          <t>Manure</t>
        </is>
      </c>
      <c r="R9" s="12" t="inlineStr">
        <is>
          <t>bags</t>
        </is>
      </c>
      <c r="S9" s="12" t="inlineStr">
        <is>
          <t>No</t>
        </is>
      </c>
      <c r="U9" s="12" t="inlineStr">
        <is>
          <t>Water</t>
        </is>
      </c>
      <c r="W9" s="12" t="inlineStr">
        <is>
          <t>Other</t>
        </is>
      </c>
      <c r="Y9" s="12" t="inlineStr">
        <is>
          <t>Smothering / Crushing</t>
        </is>
      </c>
      <c r="AC9" s="12" t="inlineStr">
        <is>
          <t>Deworming</t>
        </is>
      </c>
      <c r="AE9" s="12" t="inlineStr">
        <is>
          <t>Other</t>
        </is>
      </c>
      <c r="AG9" s="12" t="inlineStr">
        <is>
          <t>Loan Received</t>
        </is>
      </c>
      <c r="AH9" s="12" t="inlineStr">
        <is>
          <t>In</t>
        </is>
      </c>
    </row>
    <row r="10">
      <c r="D10" s="12" t="inlineStr">
        <is>
          <t>Chick Mash</t>
        </is>
      </c>
      <c r="E10" s="18" t="n">
        <v>25</v>
      </c>
      <c r="F10" s="18" t="n">
        <v>50</v>
      </c>
      <c r="H10" s="12" t="inlineStr">
        <is>
          <t>Disinfectant</t>
        </is>
      </c>
      <c r="I10" s="12" t="inlineStr">
        <is>
          <t>Concentrate</t>
        </is>
      </c>
      <c r="J10" s="12" t="inlineStr">
        <is>
          <t>litres</t>
        </is>
      </c>
      <c r="K10" s="18" t="n">
        <v>2</v>
      </c>
      <c r="M10" s="12" t="inlineStr">
        <is>
          <t>doses</t>
        </is>
      </c>
      <c r="O10" s="12" t="inlineStr">
        <is>
          <t>Pig</t>
        </is>
      </c>
      <c r="Q10" s="12" t="inlineStr">
        <is>
          <t>Live Animals</t>
        </is>
      </c>
      <c r="R10" s="12" t="inlineStr">
        <is>
          <t>heads</t>
        </is>
      </c>
      <c r="S10" s="12" t="inlineStr">
        <is>
          <t>Yes</t>
        </is>
      </c>
      <c r="U10" s="12" t="inlineStr">
        <is>
          <t>Transport</t>
        </is>
      </c>
      <c r="Y10" s="12" t="inlineStr">
        <is>
          <t>Injury</t>
        </is>
      </c>
      <c r="AC10" s="12" t="inlineStr">
        <is>
          <t>Disinfection</t>
        </is>
      </c>
      <c r="AG10" s="12" t="inlineStr">
        <is>
          <t>Other Income</t>
        </is>
      </c>
      <c r="AH10" s="12" t="inlineStr">
        <is>
          <t>In</t>
        </is>
      </c>
    </row>
    <row r="11">
      <c r="M11" s="12" t="inlineStr">
        <is>
          <t>vials</t>
        </is>
      </c>
      <c r="O11" s="12" t="inlineStr">
        <is>
          <t>Goat</t>
        </is>
      </c>
      <c r="Q11" s="12" t="inlineStr">
        <is>
          <t>Other Product</t>
        </is>
      </c>
      <c r="R11" s="12" t="inlineStr">
        <is>
          <t>units</t>
        </is>
      </c>
      <c r="S11" s="12" t="inlineStr">
        <is>
          <t>No</t>
        </is>
      </c>
      <c r="U11" s="12" t="inlineStr">
        <is>
          <t>Repairs</t>
        </is>
      </c>
      <c r="Y11" s="12" t="inlineStr">
        <is>
          <t>Predator</t>
        </is>
      </c>
      <c r="AC11" s="12" t="inlineStr">
        <is>
          <t>Other</t>
        </is>
      </c>
      <c r="AG11" s="12" t="inlineStr">
        <is>
          <t>Feed Purchase</t>
        </is>
      </c>
      <c r="AH11" s="12" t="inlineStr">
        <is>
          <t>Out</t>
        </is>
      </c>
    </row>
    <row r="12">
      <c r="M12" s="12" t="inlineStr">
        <is>
          <t>bottles</t>
        </is>
      </c>
      <c r="O12" s="12" t="inlineStr">
        <is>
          <t>Catfish</t>
        </is>
      </c>
      <c r="U12" s="12" t="inlineStr">
        <is>
          <t>Maintenance</t>
        </is>
      </c>
      <c r="Y12" s="12" t="inlineStr">
        <is>
          <t>Culled</t>
        </is>
      </c>
      <c r="AG12" s="12" t="inlineStr">
        <is>
          <t>Drug Purchase</t>
        </is>
      </c>
      <c r="AH12" s="12" t="inlineStr">
        <is>
          <t>Out</t>
        </is>
      </c>
    </row>
    <row r="13">
      <c r="M13" s="12" t="inlineStr">
        <is>
          <t>sachets</t>
        </is>
      </c>
      <c r="O13" s="12" t="inlineStr">
        <is>
          <t>Other</t>
        </is>
      </c>
      <c r="U13" s="12" t="inlineStr">
        <is>
          <t>Equipment</t>
        </is>
      </c>
      <c r="Y13" s="12" t="inlineStr">
        <is>
          <t>Other</t>
        </is>
      </c>
      <c r="AG13" s="12" t="inlineStr">
        <is>
          <t>Expense Payment</t>
        </is>
      </c>
      <c r="AH13" s="12" t="inlineStr">
        <is>
          <t>Out</t>
        </is>
      </c>
    </row>
    <row r="14">
      <c r="M14" s="12" t="inlineStr">
        <is>
          <t>pieces</t>
        </is>
      </c>
      <c r="U14" s="12" t="inlineStr">
        <is>
          <t>Cleaning / Disinfection</t>
        </is>
      </c>
      <c r="AG14" s="12" t="inlineStr">
        <is>
          <t>Supplier Credit Payment</t>
        </is>
      </c>
      <c r="AH14" s="12" t="inlineStr">
        <is>
          <t>Out</t>
        </is>
      </c>
    </row>
    <row r="15">
      <c r="U15" s="12" t="inlineStr">
        <is>
          <t>Litter / Bedding</t>
        </is>
      </c>
      <c r="AG15" s="12" t="inlineStr">
        <is>
          <t>Loan Repayment</t>
        </is>
      </c>
      <c r="AH15" s="12" t="inlineStr">
        <is>
          <t>Out</t>
        </is>
      </c>
    </row>
    <row r="16">
      <c r="U16" s="12" t="inlineStr">
        <is>
          <t>Veterinary Services</t>
        </is>
      </c>
      <c r="AG16" s="12" t="inlineStr">
        <is>
          <t>Owner Drawings</t>
        </is>
      </c>
      <c r="AH16" s="12" t="inlineStr">
        <is>
          <t>Out</t>
        </is>
      </c>
    </row>
    <row r="17">
      <c r="U17" s="12" t="inlineStr">
        <is>
          <t>Other farm expenses</t>
        </is>
      </c>
      <c r="AG17" s="12" t="inlineStr">
        <is>
          <t>Other Payment</t>
        </is>
      </c>
      <c r="AH17" s="12" t="inlineStr">
        <is>
          <t>Out</t>
        </is>
      </c>
    </row>
  </sheetData>
  <dataValidations count="6">
    <dataValidation sqref="E5:E400" showDropDown="0" showInputMessage="0" showErrorMessage="1" allowBlank="1" errorTitle="Invalid number" error="Enter a number that is zero or greater (no text, no negative values)." type="decimal" operator="greaterThanOrEqual">
      <formula1>0</formula1>
    </dataValidation>
    <dataValidation sqref="F5:F400" showDropDown="0" showInputMessage="0" showErrorMessage="1" allowBlank="1" errorTitle="Invalid number" error="Enter a number that is zero or greater (no text, no negative values)." type="decimal" operator="greaterThanOrEqual">
      <formula1>0</formula1>
    </dataValidation>
    <dataValidation sqref="J5:J400" showDropDown="0" showInputMessage="0" showErrorMessage="1" allowBlank="1" errorTitle="Not in list" error="Choose a value from the dropdown list (lists are maintained on the LISTS / register sheets)." type="list">
      <formula1>L_Units</formula1>
    </dataValidation>
    <dataValidation sqref="K5:K400" showDropDown="0" showInputMessage="0" showErrorMessage="1" allowBlank="1" errorTitle="Invalid number" error="Enter a number that is zero or greater (no text, no negative values)." type="decimal" operator="greaterThanOrEqual">
      <formula1>0</formula1>
    </dataValidation>
    <dataValidation sqref="S5:S400" showDropDown="0" showInputMessage="0" showErrorMessage="1" allowBlank="1" errorTitle="Not in list" error="Choose a value from the dropdown list (lists are maintained on the LISTS / register sheets)." type="list">
      <formula1>"Yes,No"</formula1>
    </dataValidation>
    <dataValidation sqref="AH5:AH400" showDropDown="0" showInputMessage="0" showErrorMessage="1" allowBlank="1" errorTitle="Not in list" error="Choose a value from the dropdown list (lists are maintained on the LISTS / register sheets)." type="list">
      <formula1>"In,Out"</formula1>
    </dataValidation>
  </dataValidations>
  <pageMargins left="0.75" right="0.75" top="1" bottom="1" header="0.5" footer="0.5"/>
  <tableParts count="1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s>
</worksheet>
</file>

<file path=xl/worksheets/sheet21.xml><?xml version="1.0" encoding="utf-8"?>
<worksheet xmlns="http://schemas.openxmlformats.org/spreadsheetml/2006/main">
  <sheetPr>
    <outlinePr summaryBelow="1" summaryRight="1"/>
    <pageSetUpPr/>
  </sheetPr>
  <dimension ref="A1:G1002"/>
  <sheetViews>
    <sheetView tabSelected="0" zoomScale="90" workbookViewId="0">
      <selection activeCell="A1" sqref="A1"/>
    </sheetView>
  </sheetViews>
  <sheetFormatPr baseColWidth="8" defaultRowHeight="15"/>
  <sheetData>
    <row r="1">
      <c r="A1" t="inlineStr">
        <is>
          <t>PenChoices</t>
        </is>
      </c>
      <c r="B1" t="inlineStr">
        <is>
          <t>PenFilter</t>
        </is>
      </c>
      <c r="C1" t="inlineStr">
        <is>
          <t>BatchFilter</t>
        </is>
      </c>
      <c r="D1" t="inlineStr">
        <is>
          <t>AnimalFilter</t>
        </is>
      </c>
      <c r="F1" t="inlineStr">
        <is>
          <t>Dashboard filter logic</t>
        </is>
      </c>
      <c r="G1" t="inlineStr"/>
    </row>
    <row r="2">
      <c r="A2" t="inlineStr">
        <is>
          <t>GENERAL</t>
        </is>
      </c>
      <c r="B2" t="inlineStr">
        <is>
          <t>All Pens</t>
        </is>
      </c>
      <c r="C2" t="inlineStr">
        <is>
          <t>All Batches</t>
        </is>
      </c>
      <c r="D2" t="inlineStr">
        <is>
          <t>All Types</t>
        </is>
      </c>
      <c r="F2" t="inlineStr">
        <is>
          <t>DStart</t>
        </is>
      </c>
      <c r="G2" s="64">
        <f>IF(DB_Period="Today",TODAY(),IF(DB_Period="This Week",TODAY()-WEEKDAY(TODAY(),2)+1,IF(DB_Period="This Month",DATE(YEAR(TODAY()),MONTH(TODAY()),1),IF(DB_Period="This Year",DATE(YEAR(TODAY()),1,1),IF(DB_Period="Custom",IF(ISNUMBER(DB_From),DB_From,1),1)))))</f>
        <v/>
      </c>
    </row>
    <row r="3">
      <c r="A3">
        <f>IFERROR(INDEX(tPens[[Pen ID]],1)&amp;"","")</f>
        <v/>
      </c>
      <c r="B3">
        <f>A3</f>
        <v/>
      </c>
      <c r="C3">
        <f>IFERROR(INDEX(tBatches[[Batch ID]],1)&amp;"","")</f>
        <v/>
      </c>
      <c r="D3">
        <f>IFERROR(INDEX(tAnimalTypes[[Animal Type]],1)&amp;"","")</f>
        <v/>
      </c>
      <c r="F3" t="inlineStr">
        <is>
          <t>DEnd</t>
        </is>
      </c>
      <c r="G3" s="64">
        <f>IF(DB_Period="Today",TODAY(),IF(DB_Period="This Week",TODAY()-WEEKDAY(TODAY(),2)+7,IF(DB_Period="This Month",EOMONTH(TODAY(),0),IF(DB_Period="This Year",DATE(YEAR(TODAY()),12,31),IF(DB_Period="Custom",IF(ISNUMBER(DB_To),DB_To,2958465),2958465)))))</f>
        <v/>
      </c>
    </row>
    <row r="4">
      <c r="A4">
        <f>IFERROR(INDEX(tPens[[Pen ID]],2)&amp;"","")</f>
        <v/>
      </c>
      <c r="B4">
        <f>A4</f>
        <v/>
      </c>
      <c r="C4">
        <f>IFERROR(INDEX(tBatches[[Batch ID]],2)&amp;"","")</f>
        <v/>
      </c>
      <c r="D4">
        <f>IFERROR(INDEX(tAnimalTypes[[Animal Type]],2)&amp;"","")</f>
        <v/>
      </c>
      <c r="F4" t="inlineStr">
        <is>
          <t>FPen</t>
        </is>
      </c>
      <c r="G4">
        <f>IF(OR(DB_Pen="",DB_Pen="All Pens"),"&lt;&gt;#ALL#",DB_Pen)</f>
        <v/>
      </c>
    </row>
    <row r="5">
      <c r="A5">
        <f>IFERROR(INDEX(tPens[[Pen ID]],3)&amp;"","")</f>
        <v/>
      </c>
      <c r="B5">
        <f>A5</f>
        <v/>
      </c>
      <c r="C5">
        <f>IFERROR(INDEX(tBatches[[Batch ID]],3)&amp;"","")</f>
        <v/>
      </c>
      <c r="D5">
        <f>IFERROR(INDEX(tAnimalTypes[[Animal Type]],3)&amp;"","")</f>
        <v/>
      </c>
      <c r="F5" t="inlineStr">
        <is>
          <t>FBatch</t>
        </is>
      </c>
      <c r="G5">
        <f>IF(OR(DB_Batch="",DB_Batch="All Batches"),"&lt;&gt;#ALL#",DB_Batch)</f>
        <v/>
      </c>
    </row>
    <row r="6">
      <c r="A6">
        <f>IFERROR(INDEX(tPens[[Pen ID]],4)&amp;"","")</f>
        <v/>
      </c>
      <c r="B6">
        <f>A6</f>
        <v/>
      </c>
      <c r="C6">
        <f>IFERROR(INDEX(tBatches[[Batch ID]],4)&amp;"","")</f>
        <v/>
      </c>
      <c r="D6">
        <f>IFERROR(INDEX(tAnimalTypes[[Animal Type]],4)&amp;"","")</f>
        <v/>
      </c>
      <c r="F6" t="inlineStr">
        <is>
          <t>FAnimal</t>
        </is>
      </c>
      <c r="G6">
        <f>IF(OR(DB_Animal="",DB_Animal="All Types"),"&lt;&gt;#ALL#",DB_Animal)</f>
        <v/>
      </c>
    </row>
    <row r="7">
      <c r="A7">
        <f>IFERROR(INDEX(tPens[[Pen ID]],5)&amp;"","")</f>
        <v/>
      </c>
      <c r="B7">
        <f>A7</f>
        <v/>
      </c>
      <c r="C7">
        <f>IFERROR(INDEX(tBatches[[Batch ID]],5)&amp;"","")</f>
        <v/>
      </c>
      <c r="D7">
        <f>IFERROR(INDEX(tAnimalTypes[[Animal Type]],5)&amp;"","")</f>
        <v/>
      </c>
      <c r="F7" t="inlineStr">
        <is>
          <t>FilterText</t>
        </is>
      </c>
      <c r="G7">
        <f>IF(DB_Period="All Time","All time",TEXT(DStart,"dd/mm/yyyy")&amp;" to "&amp;TEXT(DEnd,"dd/mm/yyyy"))&amp;"  |  Pen: "&amp;IF(DB_Pen="","All Pens",DB_Pen)&amp;"  |  Batch: "&amp;IF(DB_Batch="","All Batches",DB_Batch)&amp;"  |  Animal: "&amp;IF(DB_Animal="","All Types",DB_Animal)</f>
        <v/>
      </c>
    </row>
    <row r="8">
      <c r="A8">
        <f>IFERROR(INDEX(tPens[[Pen ID]],6)&amp;"","")</f>
        <v/>
      </c>
      <c r="B8">
        <f>A8</f>
        <v/>
      </c>
      <c r="C8">
        <f>IFERROR(INDEX(tBatches[[Batch ID]],6)&amp;"","")</f>
        <v/>
      </c>
      <c r="D8">
        <f>IFERROR(INDEX(tAnimalTypes[[Animal Type]],6)&amp;"","")</f>
        <v/>
      </c>
    </row>
    <row r="9">
      <c r="A9">
        <f>IFERROR(INDEX(tPens[[Pen ID]],7)&amp;"","")</f>
        <v/>
      </c>
      <c r="B9">
        <f>A9</f>
        <v/>
      </c>
      <c r="C9">
        <f>IFERROR(INDEX(tBatches[[Batch ID]],7)&amp;"","")</f>
        <v/>
      </c>
      <c r="D9">
        <f>IFERROR(INDEX(tAnimalTypes[[Animal Type]],7)&amp;"","")</f>
        <v/>
      </c>
    </row>
    <row r="10">
      <c r="A10">
        <f>IFERROR(INDEX(tPens[[Pen ID]],8)&amp;"","")</f>
        <v/>
      </c>
      <c r="B10">
        <f>A10</f>
        <v/>
      </c>
      <c r="C10">
        <f>IFERROR(INDEX(tBatches[[Batch ID]],8)&amp;"","")</f>
        <v/>
      </c>
      <c r="D10">
        <f>IFERROR(INDEX(tAnimalTypes[[Animal Type]],8)&amp;"","")</f>
        <v/>
      </c>
    </row>
    <row r="11">
      <c r="A11">
        <f>IFERROR(INDEX(tPens[[Pen ID]],9)&amp;"","")</f>
        <v/>
      </c>
      <c r="B11">
        <f>A11</f>
        <v/>
      </c>
      <c r="C11">
        <f>IFERROR(INDEX(tBatches[[Batch ID]],9)&amp;"","")</f>
        <v/>
      </c>
      <c r="D11">
        <f>IFERROR(INDEX(tAnimalTypes[[Animal Type]],9)&amp;"","")</f>
        <v/>
      </c>
    </row>
    <row r="12">
      <c r="A12">
        <f>IFERROR(INDEX(tPens[[Pen ID]],10)&amp;"","")</f>
        <v/>
      </c>
      <c r="B12">
        <f>A12</f>
        <v/>
      </c>
      <c r="C12">
        <f>IFERROR(INDEX(tBatches[[Batch ID]],10)&amp;"","")</f>
        <v/>
      </c>
      <c r="D12">
        <f>IFERROR(INDEX(tAnimalTypes[[Animal Type]],10)&amp;"","")</f>
        <v/>
      </c>
    </row>
    <row r="13">
      <c r="A13">
        <f>IFERROR(INDEX(tPens[[Pen ID]],11)&amp;"","")</f>
        <v/>
      </c>
      <c r="B13">
        <f>A13</f>
        <v/>
      </c>
      <c r="C13">
        <f>IFERROR(INDEX(tBatches[[Batch ID]],11)&amp;"","")</f>
        <v/>
      </c>
      <c r="D13">
        <f>IFERROR(INDEX(tAnimalTypes[[Animal Type]],11)&amp;"","")</f>
        <v/>
      </c>
    </row>
    <row r="14">
      <c r="A14">
        <f>IFERROR(INDEX(tPens[[Pen ID]],12)&amp;"","")</f>
        <v/>
      </c>
      <c r="B14">
        <f>A14</f>
        <v/>
      </c>
      <c r="C14">
        <f>IFERROR(INDEX(tBatches[[Batch ID]],12)&amp;"","")</f>
        <v/>
      </c>
      <c r="D14">
        <f>IFERROR(INDEX(tAnimalTypes[[Animal Type]],12)&amp;"","")</f>
        <v/>
      </c>
    </row>
    <row r="15">
      <c r="A15">
        <f>IFERROR(INDEX(tPens[[Pen ID]],13)&amp;"","")</f>
        <v/>
      </c>
      <c r="B15">
        <f>A15</f>
        <v/>
      </c>
      <c r="C15">
        <f>IFERROR(INDEX(tBatches[[Batch ID]],13)&amp;"","")</f>
        <v/>
      </c>
      <c r="D15">
        <f>IFERROR(INDEX(tAnimalTypes[[Animal Type]],13)&amp;"","")</f>
        <v/>
      </c>
    </row>
    <row r="16">
      <c r="A16">
        <f>IFERROR(INDEX(tPens[[Pen ID]],14)&amp;"","")</f>
        <v/>
      </c>
      <c r="B16">
        <f>A16</f>
        <v/>
      </c>
      <c r="C16">
        <f>IFERROR(INDEX(tBatches[[Batch ID]],14)&amp;"","")</f>
        <v/>
      </c>
      <c r="D16">
        <f>IFERROR(INDEX(tAnimalTypes[[Animal Type]],14)&amp;"","")</f>
        <v/>
      </c>
    </row>
    <row r="17">
      <c r="A17">
        <f>IFERROR(INDEX(tPens[[Pen ID]],15)&amp;"","")</f>
        <v/>
      </c>
      <c r="B17">
        <f>A17</f>
        <v/>
      </c>
      <c r="C17">
        <f>IFERROR(INDEX(tBatches[[Batch ID]],15)&amp;"","")</f>
        <v/>
      </c>
      <c r="D17">
        <f>IFERROR(INDEX(tAnimalTypes[[Animal Type]],15)&amp;"","")</f>
        <v/>
      </c>
    </row>
    <row r="18">
      <c r="A18">
        <f>IFERROR(INDEX(tPens[[Pen ID]],16)&amp;"","")</f>
        <v/>
      </c>
      <c r="B18">
        <f>A18</f>
        <v/>
      </c>
      <c r="C18">
        <f>IFERROR(INDEX(tBatches[[Batch ID]],16)&amp;"","")</f>
        <v/>
      </c>
      <c r="D18">
        <f>IFERROR(INDEX(tAnimalTypes[[Animal Type]],16)&amp;"","")</f>
        <v/>
      </c>
    </row>
    <row r="19">
      <c r="A19">
        <f>IFERROR(INDEX(tPens[[Pen ID]],17)&amp;"","")</f>
        <v/>
      </c>
      <c r="B19">
        <f>A19</f>
        <v/>
      </c>
      <c r="C19">
        <f>IFERROR(INDEX(tBatches[[Batch ID]],17)&amp;"","")</f>
        <v/>
      </c>
      <c r="D19">
        <f>IFERROR(INDEX(tAnimalTypes[[Animal Type]],17)&amp;"","")</f>
        <v/>
      </c>
    </row>
    <row r="20">
      <c r="A20">
        <f>IFERROR(INDEX(tPens[[Pen ID]],18)&amp;"","")</f>
        <v/>
      </c>
      <c r="B20">
        <f>A20</f>
        <v/>
      </c>
      <c r="C20">
        <f>IFERROR(INDEX(tBatches[[Batch ID]],18)&amp;"","")</f>
        <v/>
      </c>
      <c r="D20">
        <f>IFERROR(INDEX(tAnimalTypes[[Animal Type]],18)&amp;"","")</f>
        <v/>
      </c>
    </row>
    <row r="21">
      <c r="A21">
        <f>IFERROR(INDEX(tPens[[Pen ID]],19)&amp;"","")</f>
        <v/>
      </c>
      <c r="B21">
        <f>A21</f>
        <v/>
      </c>
      <c r="C21">
        <f>IFERROR(INDEX(tBatches[[Batch ID]],19)&amp;"","")</f>
        <v/>
      </c>
      <c r="D21">
        <f>IFERROR(INDEX(tAnimalTypes[[Animal Type]],19)&amp;"","")</f>
        <v/>
      </c>
    </row>
    <row r="22">
      <c r="A22">
        <f>IFERROR(INDEX(tPens[[Pen ID]],20)&amp;"","")</f>
        <v/>
      </c>
      <c r="B22">
        <f>A22</f>
        <v/>
      </c>
      <c r="C22">
        <f>IFERROR(INDEX(tBatches[[Batch ID]],20)&amp;"","")</f>
        <v/>
      </c>
      <c r="D22">
        <f>IFERROR(INDEX(tAnimalTypes[[Animal Type]],20)&amp;"","")</f>
        <v/>
      </c>
    </row>
    <row r="23">
      <c r="A23">
        <f>IFERROR(INDEX(tPens[[Pen ID]],21)&amp;"","")</f>
        <v/>
      </c>
      <c r="B23">
        <f>A23</f>
        <v/>
      </c>
      <c r="C23">
        <f>IFERROR(INDEX(tBatches[[Batch ID]],21)&amp;"","")</f>
        <v/>
      </c>
      <c r="D23">
        <f>IFERROR(INDEX(tAnimalTypes[[Animal Type]],21)&amp;"","")</f>
        <v/>
      </c>
    </row>
    <row r="24">
      <c r="A24">
        <f>IFERROR(INDEX(tPens[[Pen ID]],22)&amp;"","")</f>
        <v/>
      </c>
      <c r="B24">
        <f>A24</f>
        <v/>
      </c>
      <c r="C24">
        <f>IFERROR(INDEX(tBatches[[Batch ID]],22)&amp;"","")</f>
        <v/>
      </c>
      <c r="D24">
        <f>IFERROR(INDEX(tAnimalTypes[[Animal Type]],22)&amp;"","")</f>
        <v/>
      </c>
    </row>
    <row r="25">
      <c r="A25">
        <f>IFERROR(INDEX(tPens[[Pen ID]],23)&amp;"","")</f>
        <v/>
      </c>
      <c r="B25">
        <f>A25</f>
        <v/>
      </c>
      <c r="C25">
        <f>IFERROR(INDEX(tBatches[[Batch ID]],23)&amp;"","")</f>
        <v/>
      </c>
      <c r="D25">
        <f>IFERROR(INDEX(tAnimalTypes[[Animal Type]],23)&amp;"","")</f>
        <v/>
      </c>
    </row>
    <row r="26">
      <c r="A26">
        <f>IFERROR(INDEX(tPens[[Pen ID]],24)&amp;"","")</f>
        <v/>
      </c>
      <c r="B26">
        <f>A26</f>
        <v/>
      </c>
      <c r="C26">
        <f>IFERROR(INDEX(tBatches[[Batch ID]],24)&amp;"","")</f>
        <v/>
      </c>
      <c r="D26">
        <f>IFERROR(INDEX(tAnimalTypes[[Animal Type]],24)&amp;"","")</f>
        <v/>
      </c>
    </row>
    <row r="27">
      <c r="A27">
        <f>IFERROR(INDEX(tPens[[Pen ID]],25)&amp;"","")</f>
        <v/>
      </c>
      <c r="B27">
        <f>A27</f>
        <v/>
      </c>
      <c r="C27">
        <f>IFERROR(INDEX(tBatches[[Batch ID]],25)&amp;"","")</f>
        <v/>
      </c>
      <c r="D27">
        <f>IFERROR(INDEX(tAnimalTypes[[Animal Type]],25)&amp;"","")</f>
        <v/>
      </c>
    </row>
    <row r="28">
      <c r="A28">
        <f>IFERROR(INDEX(tPens[[Pen ID]],26)&amp;"","")</f>
        <v/>
      </c>
      <c r="B28">
        <f>A28</f>
        <v/>
      </c>
      <c r="C28">
        <f>IFERROR(INDEX(tBatches[[Batch ID]],26)&amp;"","")</f>
        <v/>
      </c>
      <c r="D28">
        <f>IFERROR(INDEX(tAnimalTypes[[Animal Type]],26)&amp;"","")</f>
        <v/>
      </c>
    </row>
    <row r="29">
      <c r="A29">
        <f>IFERROR(INDEX(tPens[[Pen ID]],27)&amp;"","")</f>
        <v/>
      </c>
      <c r="B29">
        <f>A29</f>
        <v/>
      </c>
      <c r="C29">
        <f>IFERROR(INDEX(tBatches[[Batch ID]],27)&amp;"","")</f>
        <v/>
      </c>
      <c r="D29">
        <f>IFERROR(INDEX(tAnimalTypes[[Animal Type]],27)&amp;"","")</f>
        <v/>
      </c>
    </row>
    <row r="30">
      <c r="A30">
        <f>IFERROR(INDEX(tPens[[Pen ID]],28)&amp;"","")</f>
        <v/>
      </c>
      <c r="B30">
        <f>A30</f>
        <v/>
      </c>
      <c r="C30">
        <f>IFERROR(INDEX(tBatches[[Batch ID]],28)&amp;"","")</f>
        <v/>
      </c>
      <c r="D30">
        <f>IFERROR(INDEX(tAnimalTypes[[Animal Type]],28)&amp;"","")</f>
        <v/>
      </c>
    </row>
    <row r="31">
      <c r="A31">
        <f>IFERROR(INDEX(tPens[[Pen ID]],29)&amp;"","")</f>
        <v/>
      </c>
      <c r="B31">
        <f>A31</f>
        <v/>
      </c>
      <c r="C31">
        <f>IFERROR(INDEX(tBatches[[Batch ID]],29)&amp;"","")</f>
        <v/>
      </c>
      <c r="D31">
        <f>IFERROR(INDEX(tAnimalTypes[[Animal Type]],29)&amp;"","")</f>
        <v/>
      </c>
    </row>
    <row r="32">
      <c r="A32">
        <f>IFERROR(INDEX(tPens[[Pen ID]],30)&amp;"","")</f>
        <v/>
      </c>
      <c r="B32">
        <f>A32</f>
        <v/>
      </c>
      <c r="C32">
        <f>IFERROR(INDEX(tBatches[[Batch ID]],30)&amp;"","")</f>
        <v/>
      </c>
      <c r="D32">
        <f>IFERROR(INDEX(tAnimalTypes[[Animal Type]],30)&amp;"","")</f>
        <v/>
      </c>
    </row>
    <row r="33">
      <c r="A33">
        <f>IFERROR(INDEX(tPens[[Pen ID]],31)&amp;"","")</f>
        <v/>
      </c>
      <c r="B33">
        <f>A33</f>
        <v/>
      </c>
      <c r="C33">
        <f>IFERROR(INDEX(tBatches[[Batch ID]],31)&amp;"","")</f>
        <v/>
      </c>
      <c r="D33">
        <f>IFERROR(INDEX(tAnimalTypes[[Animal Type]],31)&amp;"","")</f>
        <v/>
      </c>
    </row>
    <row r="34">
      <c r="A34">
        <f>IFERROR(INDEX(tPens[[Pen ID]],32)&amp;"","")</f>
        <v/>
      </c>
      <c r="B34">
        <f>A34</f>
        <v/>
      </c>
      <c r="C34">
        <f>IFERROR(INDEX(tBatches[[Batch ID]],32)&amp;"","")</f>
        <v/>
      </c>
      <c r="D34">
        <f>IFERROR(INDEX(tAnimalTypes[[Animal Type]],32)&amp;"","")</f>
        <v/>
      </c>
    </row>
    <row r="35">
      <c r="A35">
        <f>IFERROR(INDEX(tPens[[Pen ID]],33)&amp;"","")</f>
        <v/>
      </c>
      <c r="B35">
        <f>A35</f>
        <v/>
      </c>
      <c r="C35">
        <f>IFERROR(INDEX(tBatches[[Batch ID]],33)&amp;"","")</f>
        <v/>
      </c>
      <c r="D35">
        <f>IFERROR(INDEX(tAnimalTypes[[Animal Type]],33)&amp;"","")</f>
        <v/>
      </c>
    </row>
    <row r="36">
      <c r="A36">
        <f>IFERROR(INDEX(tPens[[Pen ID]],34)&amp;"","")</f>
        <v/>
      </c>
      <c r="B36">
        <f>A36</f>
        <v/>
      </c>
      <c r="C36">
        <f>IFERROR(INDEX(tBatches[[Batch ID]],34)&amp;"","")</f>
        <v/>
      </c>
      <c r="D36">
        <f>IFERROR(INDEX(tAnimalTypes[[Animal Type]],34)&amp;"","")</f>
        <v/>
      </c>
    </row>
    <row r="37">
      <c r="A37">
        <f>IFERROR(INDEX(tPens[[Pen ID]],35)&amp;"","")</f>
        <v/>
      </c>
      <c r="B37">
        <f>A37</f>
        <v/>
      </c>
      <c r="C37">
        <f>IFERROR(INDEX(tBatches[[Batch ID]],35)&amp;"","")</f>
        <v/>
      </c>
      <c r="D37">
        <f>IFERROR(INDEX(tAnimalTypes[[Animal Type]],35)&amp;"","")</f>
        <v/>
      </c>
    </row>
    <row r="38">
      <c r="A38">
        <f>IFERROR(INDEX(tPens[[Pen ID]],36)&amp;"","")</f>
        <v/>
      </c>
      <c r="B38">
        <f>A38</f>
        <v/>
      </c>
      <c r="C38">
        <f>IFERROR(INDEX(tBatches[[Batch ID]],36)&amp;"","")</f>
        <v/>
      </c>
      <c r="D38">
        <f>IFERROR(INDEX(tAnimalTypes[[Animal Type]],36)&amp;"","")</f>
        <v/>
      </c>
    </row>
    <row r="39">
      <c r="A39">
        <f>IFERROR(INDEX(tPens[[Pen ID]],37)&amp;"","")</f>
        <v/>
      </c>
      <c r="B39">
        <f>A39</f>
        <v/>
      </c>
      <c r="C39">
        <f>IFERROR(INDEX(tBatches[[Batch ID]],37)&amp;"","")</f>
        <v/>
      </c>
      <c r="D39">
        <f>IFERROR(INDEX(tAnimalTypes[[Animal Type]],37)&amp;"","")</f>
        <v/>
      </c>
    </row>
    <row r="40">
      <c r="A40">
        <f>IFERROR(INDEX(tPens[[Pen ID]],38)&amp;"","")</f>
        <v/>
      </c>
      <c r="B40">
        <f>A40</f>
        <v/>
      </c>
      <c r="C40">
        <f>IFERROR(INDEX(tBatches[[Batch ID]],38)&amp;"","")</f>
        <v/>
      </c>
      <c r="D40">
        <f>IFERROR(INDEX(tAnimalTypes[[Animal Type]],38)&amp;"","")</f>
        <v/>
      </c>
    </row>
    <row r="41">
      <c r="A41">
        <f>IFERROR(INDEX(tPens[[Pen ID]],39)&amp;"","")</f>
        <v/>
      </c>
      <c r="B41">
        <f>A41</f>
        <v/>
      </c>
      <c r="C41">
        <f>IFERROR(INDEX(tBatches[[Batch ID]],39)&amp;"","")</f>
        <v/>
      </c>
      <c r="D41">
        <f>IFERROR(INDEX(tAnimalTypes[[Animal Type]],39)&amp;"","")</f>
        <v/>
      </c>
    </row>
    <row r="42">
      <c r="A42">
        <f>IFERROR(INDEX(tPens[[Pen ID]],40)&amp;"","")</f>
        <v/>
      </c>
      <c r="B42">
        <f>A42</f>
        <v/>
      </c>
      <c r="C42">
        <f>IFERROR(INDEX(tBatches[[Batch ID]],40)&amp;"","")</f>
        <v/>
      </c>
      <c r="D42">
        <f>IFERROR(INDEX(tAnimalTypes[[Animal Type]],40)&amp;"","")</f>
        <v/>
      </c>
    </row>
    <row r="43">
      <c r="A43">
        <f>IFERROR(INDEX(tPens[[Pen ID]],41)&amp;"","")</f>
        <v/>
      </c>
      <c r="B43">
        <f>A43</f>
        <v/>
      </c>
      <c r="C43">
        <f>IFERROR(INDEX(tBatches[[Batch ID]],41)&amp;"","")</f>
        <v/>
      </c>
      <c r="D43">
        <f>IFERROR(INDEX(tAnimalTypes[[Animal Type]],41)&amp;"","")</f>
        <v/>
      </c>
    </row>
    <row r="44">
      <c r="A44">
        <f>IFERROR(INDEX(tPens[[Pen ID]],42)&amp;"","")</f>
        <v/>
      </c>
      <c r="B44">
        <f>A44</f>
        <v/>
      </c>
      <c r="C44">
        <f>IFERROR(INDEX(tBatches[[Batch ID]],42)&amp;"","")</f>
        <v/>
      </c>
      <c r="D44">
        <f>IFERROR(INDEX(tAnimalTypes[[Animal Type]],42)&amp;"","")</f>
        <v/>
      </c>
    </row>
    <row r="45">
      <c r="A45">
        <f>IFERROR(INDEX(tPens[[Pen ID]],43)&amp;"","")</f>
        <v/>
      </c>
      <c r="B45">
        <f>A45</f>
        <v/>
      </c>
      <c r="C45">
        <f>IFERROR(INDEX(tBatches[[Batch ID]],43)&amp;"","")</f>
        <v/>
      </c>
      <c r="D45">
        <f>IFERROR(INDEX(tAnimalTypes[[Animal Type]],43)&amp;"","")</f>
        <v/>
      </c>
    </row>
    <row r="46">
      <c r="A46">
        <f>IFERROR(INDEX(tPens[[Pen ID]],44)&amp;"","")</f>
        <v/>
      </c>
      <c r="B46">
        <f>A46</f>
        <v/>
      </c>
      <c r="C46">
        <f>IFERROR(INDEX(tBatches[[Batch ID]],44)&amp;"","")</f>
        <v/>
      </c>
      <c r="D46">
        <f>IFERROR(INDEX(tAnimalTypes[[Animal Type]],44)&amp;"","")</f>
        <v/>
      </c>
    </row>
    <row r="47">
      <c r="A47">
        <f>IFERROR(INDEX(tPens[[Pen ID]],45)&amp;"","")</f>
        <v/>
      </c>
      <c r="B47">
        <f>A47</f>
        <v/>
      </c>
      <c r="C47">
        <f>IFERROR(INDEX(tBatches[[Batch ID]],45)&amp;"","")</f>
        <v/>
      </c>
      <c r="D47">
        <f>IFERROR(INDEX(tAnimalTypes[[Animal Type]],45)&amp;"","")</f>
        <v/>
      </c>
    </row>
    <row r="48">
      <c r="A48">
        <f>IFERROR(INDEX(tPens[[Pen ID]],46)&amp;"","")</f>
        <v/>
      </c>
      <c r="B48">
        <f>A48</f>
        <v/>
      </c>
      <c r="C48">
        <f>IFERROR(INDEX(tBatches[[Batch ID]],46)&amp;"","")</f>
        <v/>
      </c>
      <c r="D48">
        <f>IFERROR(INDEX(tAnimalTypes[[Animal Type]],46)&amp;"","")</f>
        <v/>
      </c>
    </row>
    <row r="49">
      <c r="A49">
        <f>IFERROR(INDEX(tPens[[Pen ID]],47)&amp;"","")</f>
        <v/>
      </c>
      <c r="B49">
        <f>A49</f>
        <v/>
      </c>
      <c r="C49">
        <f>IFERROR(INDEX(tBatches[[Batch ID]],47)&amp;"","")</f>
        <v/>
      </c>
      <c r="D49">
        <f>IFERROR(INDEX(tAnimalTypes[[Animal Type]],47)&amp;"","")</f>
        <v/>
      </c>
    </row>
    <row r="50">
      <c r="A50">
        <f>IFERROR(INDEX(tPens[[Pen ID]],48)&amp;"","")</f>
        <v/>
      </c>
      <c r="B50">
        <f>A50</f>
        <v/>
      </c>
      <c r="C50">
        <f>IFERROR(INDEX(tBatches[[Batch ID]],48)&amp;"","")</f>
        <v/>
      </c>
      <c r="D50">
        <f>IFERROR(INDEX(tAnimalTypes[[Animal Type]],48)&amp;"","")</f>
        <v/>
      </c>
    </row>
    <row r="51">
      <c r="A51">
        <f>IFERROR(INDEX(tPens[[Pen ID]],49)&amp;"","")</f>
        <v/>
      </c>
      <c r="B51">
        <f>A51</f>
        <v/>
      </c>
      <c r="C51">
        <f>IFERROR(INDEX(tBatches[[Batch ID]],49)&amp;"","")</f>
        <v/>
      </c>
      <c r="D51">
        <f>IFERROR(INDEX(tAnimalTypes[[Animal Type]],49)&amp;"","")</f>
        <v/>
      </c>
    </row>
    <row r="52">
      <c r="A52">
        <f>IFERROR(INDEX(tPens[[Pen ID]],50)&amp;"","")</f>
        <v/>
      </c>
      <c r="B52">
        <f>A52</f>
        <v/>
      </c>
      <c r="C52">
        <f>IFERROR(INDEX(tBatches[[Batch ID]],50)&amp;"","")</f>
        <v/>
      </c>
      <c r="D52">
        <f>IFERROR(INDEX(tAnimalTypes[[Animal Type]],50)&amp;"","")</f>
        <v/>
      </c>
    </row>
    <row r="53">
      <c r="A53">
        <f>IFERROR(INDEX(tPens[[Pen ID]],51)&amp;"","")</f>
        <v/>
      </c>
      <c r="B53">
        <f>A53</f>
        <v/>
      </c>
      <c r="C53">
        <f>IFERROR(INDEX(tBatches[[Batch ID]],51)&amp;"","")</f>
        <v/>
      </c>
      <c r="D53">
        <f>IFERROR(INDEX(tAnimalTypes[[Animal Type]],51)&amp;"","")</f>
        <v/>
      </c>
    </row>
    <row r="54">
      <c r="A54">
        <f>IFERROR(INDEX(tPens[[Pen ID]],52)&amp;"","")</f>
        <v/>
      </c>
      <c r="B54">
        <f>A54</f>
        <v/>
      </c>
      <c r="C54">
        <f>IFERROR(INDEX(tBatches[[Batch ID]],52)&amp;"","")</f>
        <v/>
      </c>
      <c r="D54">
        <f>IFERROR(INDEX(tAnimalTypes[[Animal Type]],52)&amp;"","")</f>
        <v/>
      </c>
    </row>
    <row r="55">
      <c r="A55">
        <f>IFERROR(INDEX(tPens[[Pen ID]],53)&amp;"","")</f>
        <v/>
      </c>
      <c r="B55">
        <f>A55</f>
        <v/>
      </c>
      <c r="C55">
        <f>IFERROR(INDEX(tBatches[[Batch ID]],53)&amp;"","")</f>
        <v/>
      </c>
      <c r="D55">
        <f>IFERROR(INDEX(tAnimalTypes[[Animal Type]],53)&amp;"","")</f>
        <v/>
      </c>
    </row>
    <row r="56">
      <c r="A56">
        <f>IFERROR(INDEX(tPens[[Pen ID]],54)&amp;"","")</f>
        <v/>
      </c>
      <c r="B56">
        <f>A56</f>
        <v/>
      </c>
      <c r="C56">
        <f>IFERROR(INDEX(tBatches[[Batch ID]],54)&amp;"","")</f>
        <v/>
      </c>
      <c r="D56">
        <f>IFERROR(INDEX(tAnimalTypes[[Animal Type]],54)&amp;"","")</f>
        <v/>
      </c>
    </row>
    <row r="57">
      <c r="A57">
        <f>IFERROR(INDEX(tPens[[Pen ID]],55)&amp;"","")</f>
        <v/>
      </c>
      <c r="B57">
        <f>A57</f>
        <v/>
      </c>
      <c r="C57">
        <f>IFERROR(INDEX(tBatches[[Batch ID]],55)&amp;"","")</f>
        <v/>
      </c>
      <c r="D57">
        <f>IFERROR(INDEX(tAnimalTypes[[Animal Type]],55)&amp;"","")</f>
        <v/>
      </c>
    </row>
    <row r="58">
      <c r="A58">
        <f>IFERROR(INDEX(tPens[[Pen ID]],56)&amp;"","")</f>
        <v/>
      </c>
      <c r="B58">
        <f>A58</f>
        <v/>
      </c>
      <c r="C58">
        <f>IFERROR(INDEX(tBatches[[Batch ID]],56)&amp;"","")</f>
        <v/>
      </c>
      <c r="D58">
        <f>IFERROR(INDEX(tAnimalTypes[[Animal Type]],56)&amp;"","")</f>
        <v/>
      </c>
    </row>
    <row r="59">
      <c r="A59">
        <f>IFERROR(INDEX(tPens[[Pen ID]],57)&amp;"","")</f>
        <v/>
      </c>
      <c r="B59">
        <f>A59</f>
        <v/>
      </c>
      <c r="C59">
        <f>IFERROR(INDEX(tBatches[[Batch ID]],57)&amp;"","")</f>
        <v/>
      </c>
      <c r="D59">
        <f>IFERROR(INDEX(tAnimalTypes[[Animal Type]],57)&amp;"","")</f>
        <v/>
      </c>
    </row>
    <row r="60">
      <c r="A60">
        <f>IFERROR(INDEX(tPens[[Pen ID]],58)&amp;"","")</f>
        <v/>
      </c>
      <c r="B60">
        <f>A60</f>
        <v/>
      </c>
      <c r="C60">
        <f>IFERROR(INDEX(tBatches[[Batch ID]],58)&amp;"","")</f>
        <v/>
      </c>
      <c r="D60">
        <f>IFERROR(INDEX(tAnimalTypes[[Animal Type]],58)&amp;"","")</f>
        <v/>
      </c>
    </row>
    <row r="61">
      <c r="A61">
        <f>IFERROR(INDEX(tPens[[Pen ID]],59)&amp;"","")</f>
        <v/>
      </c>
      <c r="B61">
        <f>A61</f>
        <v/>
      </c>
      <c r="C61">
        <f>IFERROR(INDEX(tBatches[[Batch ID]],59)&amp;"","")</f>
        <v/>
      </c>
      <c r="D61">
        <f>IFERROR(INDEX(tAnimalTypes[[Animal Type]],59)&amp;"","")</f>
        <v/>
      </c>
    </row>
    <row r="62">
      <c r="A62">
        <f>IFERROR(INDEX(tPens[[Pen ID]],60)&amp;"","")</f>
        <v/>
      </c>
      <c r="B62">
        <f>A62</f>
        <v/>
      </c>
      <c r="C62">
        <f>IFERROR(INDEX(tBatches[[Batch ID]],60)&amp;"","")</f>
        <v/>
      </c>
      <c r="D62">
        <f>IFERROR(INDEX(tAnimalTypes[[Animal Type]],60)&amp;"","")</f>
        <v/>
      </c>
    </row>
    <row r="63">
      <c r="A63">
        <f>IFERROR(INDEX(tPens[[Pen ID]],61)&amp;"","")</f>
        <v/>
      </c>
      <c r="B63">
        <f>A63</f>
        <v/>
      </c>
      <c r="C63">
        <f>IFERROR(INDEX(tBatches[[Batch ID]],61)&amp;"","")</f>
        <v/>
      </c>
    </row>
    <row r="64">
      <c r="A64">
        <f>IFERROR(INDEX(tPens[[Pen ID]],62)&amp;"","")</f>
        <v/>
      </c>
      <c r="B64">
        <f>A64</f>
        <v/>
      </c>
      <c r="C64">
        <f>IFERROR(INDEX(tBatches[[Batch ID]],62)&amp;"","")</f>
        <v/>
      </c>
    </row>
    <row r="65">
      <c r="A65">
        <f>IFERROR(INDEX(tPens[[Pen ID]],63)&amp;"","")</f>
        <v/>
      </c>
      <c r="B65">
        <f>A65</f>
        <v/>
      </c>
      <c r="C65">
        <f>IFERROR(INDEX(tBatches[[Batch ID]],63)&amp;"","")</f>
        <v/>
      </c>
    </row>
    <row r="66">
      <c r="A66">
        <f>IFERROR(INDEX(tPens[[Pen ID]],64)&amp;"","")</f>
        <v/>
      </c>
      <c r="B66">
        <f>A66</f>
        <v/>
      </c>
      <c r="C66">
        <f>IFERROR(INDEX(tBatches[[Batch ID]],64)&amp;"","")</f>
        <v/>
      </c>
    </row>
    <row r="67">
      <c r="A67">
        <f>IFERROR(INDEX(tPens[[Pen ID]],65)&amp;"","")</f>
        <v/>
      </c>
      <c r="B67">
        <f>A67</f>
        <v/>
      </c>
      <c r="C67">
        <f>IFERROR(INDEX(tBatches[[Batch ID]],65)&amp;"","")</f>
        <v/>
      </c>
    </row>
    <row r="68">
      <c r="A68">
        <f>IFERROR(INDEX(tPens[[Pen ID]],66)&amp;"","")</f>
        <v/>
      </c>
      <c r="B68">
        <f>A68</f>
        <v/>
      </c>
      <c r="C68">
        <f>IFERROR(INDEX(tBatches[[Batch ID]],66)&amp;"","")</f>
        <v/>
      </c>
    </row>
    <row r="69">
      <c r="A69">
        <f>IFERROR(INDEX(tPens[[Pen ID]],67)&amp;"","")</f>
        <v/>
      </c>
      <c r="B69">
        <f>A69</f>
        <v/>
      </c>
      <c r="C69">
        <f>IFERROR(INDEX(tBatches[[Batch ID]],67)&amp;"","")</f>
        <v/>
      </c>
    </row>
    <row r="70">
      <c r="A70">
        <f>IFERROR(INDEX(tPens[[Pen ID]],68)&amp;"","")</f>
        <v/>
      </c>
      <c r="B70">
        <f>A70</f>
        <v/>
      </c>
      <c r="C70">
        <f>IFERROR(INDEX(tBatches[[Batch ID]],68)&amp;"","")</f>
        <v/>
      </c>
    </row>
    <row r="71">
      <c r="A71">
        <f>IFERROR(INDEX(tPens[[Pen ID]],69)&amp;"","")</f>
        <v/>
      </c>
      <c r="B71">
        <f>A71</f>
        <v/>
      </c>
      <c r="C71">
        <f>IFERROR(INDEX(tBatches[[Batch ID]],69)&amp;"","")</f>
        <v/>
      </c>
    </row>
    <row r="72">
      <c r="A72">
        <f>IFERROR(INDEX(tPens[[Pen ID]],70)&amp;"","")</f>
        <v/>
      </c>
      <c r="B72">
        <f>A72</f>
        <v/>
      </c>
      <c r="C72">
        <f>IFERROR(INDEX(tBatches[[Batch ID]],70)&amp;"","")</f>
        <v/>
      </c>
    </row>
    <row r="73">
      <c r="A73">
        <f>IFERROR(INDEX(tPens[[Pen ID]],71)&amp;"","")</f>
        <v/>
      </c>
      <c r="B73">
        <f>A73</f>
        <v/>
      </c>
      <c r="C73">
        <f>IFERROR(INDEX(tBatches[[Batch ID]],71)&amp;"","")</f>
        <v/>
      </c>
    </row>
    <row r="74">
      <c r="A74">
        <f>IFERROR(INDEX(tPens[[Pen ID]],72)&amp;"","")</f>
        <v/>
      </c>
      <c r="B74">
        <f>A74</f>
        <v/>
      </c>
      <c r="C74">
        <f>IFERROR(INDEX(tBatches[[Batch ID]],72)&amp;"","")</f>
        <v/>
      </c>
    </row>
    <row r="75">
      <c r="A75">
        <f>IFERROR(INDEX(tPens[[Pen ID]],73)&amp;"","")</f>
        <v/>
      </c>
      <c r="B75">
        <f>A75</f>
        <v/>
      </c>
      <c r="C75">
        <f>IFERROR(INDEX(tBatches[[Batch ID]],73)&amp;"","")</f>
        <v/>
      </c>
    </row>
    <row r="76">
      <c r="A76">
        <f>IFERROR(INDEX(tPens[[Pen ID]],74)&amp;"","")</f>
        <v/>
      </c>
      <c r="B76">
        <f>A76</f>
        <v/>
      </c>
      <c r="C76">
        <f>IFERROR(INDEX(tBatches[[Batch ID]],74)&amp;"","")</f>
        <v/>
      </c>
    </row>
    <row r="77">
      <c r="A77">
        <f>IFERROR(INDEX(tPens[[Pen ID]],75)&amp;"","")</f>
        <v/>
      </c>
      <c r="B77">
        <f>A77</f>
        <v/>
      </c>
      <c r="C77">
        <f>IFERROR(INDEX(tBatches[[Batch ID]],75)&amp;"","")</f>
        <v/>
      </c>
    </row>
    <row r="78">
      <c r="A78">
        <f>IFERROR(INDEX(tPens[[Pen ID]],76)&amp;"","")</f>
        <v/>
      </c>
      <c r="B78">
        <f>A78</f>
        <v/>
      </c>
      <c r="C78">
        <f>IFERROR(INDEX(tBatches[[Batch ID]],76)&amp;"","")</f>
        <v/>
      </c>
    </row>
    <row r="79">
      <c r="A79">
        <f>IFERROR(INDEX(tPens[[Pen ID]],77)&amp;"","")</f>
        <v/>
      </c>
      <c r="B79">
        <f>A79</f>
        <v/>
      </c>
      <c r="C79">
        <f>IFERROR(INDEX(tBatches[[Batch ID]],77)&amp;"","")</f>
        <v/>
      </c>
    </row>
    <row r="80">
      <c r="A80">
        <f>IFERROR(INDEX(tPens[[Pen ID]],78)&amp;"","")</f>
        <v/>
      </c>
      <c r="B80">
        <f>A80</f>
        <v/>
      </c>
      <c r="C80">
        <f>IFERROR(INDEX(tBatches[[Batch ID]],78)&amp;"","")</f>
        <v/>
      </c>
    </row>
    <row r="81">
      <c r="A81">
        <f>IFERROR(INDEX(tPens[[Pen ID]],79)&amp;"","")</f>
        <v/>
      </c>
      <c r="B81">
        <f>A81</f>
        <v/>
      </c>
      <c r="C81">
        <f>IFERROR(INDEX(tBatches[[Batch ID]],79)&amp;"","")</f>
        <v/>
      </c>
    </row>
    <row r="82">
      <c r="A82">
        <f>IFERROR(INDEX(tPens[[Pen ID]],80)&amp;"","")</f>
        <v/>
      </c>
      <c r="B82">
        <f>A82</f>
        <v/>
      </c>
      <c r="C82">
        <f>IFERROR(INDEX(tBatches[[Batch ID]],80)&amp;"","")</f>
        <v/>
      </c>
    </row>
    <row r="83">
      <c r="A83">
        <f>IFERROR(INDEX(tPens[[Pen ID]],81)&amp;"","")</f>
        <v/>
      </c>
      <c r="B83">
        <f>A83</f>
        <v/>
      </c>
      <c r="C83">
        <f>IFERROR(INDEX(tBatches[[Batch ID]],81)&amp;"","")</f>
        <v/>
      </c>
    </row>
    <row r="84">
      <c r="A84">
        <f>IFERROR(INDEX(tPens[[Pen ID]],82)&amp;"","")</f>
        <v/>
      </c>
      <c r="B84">
        <f>A84</f>
        <v/>
      </c>
      <c r="C84">
        <f>IFERROR(INDEX(tBatches[[Batch ID]],82)&amp;"","")</f>
        <v/>
      </c>
    </row>
    <row r="85">
      <c r="A85">
        <f>IFERROR(INDEX(tPens[[Pen ID]],83)&amp;"","")</f>
        <v/>
      </c>
      <c r="B85">
        <f>A85</f>
        <v/>
      </c>
      <c r="C85">
        <f>IFERROR(INDEX(tBatches[[Batch ID]],83)&amp;"","")</f>
        <v/>
      </c>
    </row>
    <row r="86">
      <c r="A86">
        <f>IFERROR(INDEX(tPens[[Pen ID]],84)&amp;"","")</f>
        <v/>
      </c>
      <c r="B86">
        <f>A86</f>
        <v/>
      </c>
      <c r="C86">
        <f>IFERROR(INDEX(tBatches[[Batch ID]],84)&amp;"","")</f>
        <v/>
      </c>
    </row>
    <row r="87">
      <c r="A87">
        <f>IFERROR(INDEX(tPens[[Pen ID]],85)&amp;"","")</f>
        <v/>
      </c>
      <c r="B87">
        <f>A87</f>
        <v/>
      </c>
      <c r="C87">
        <f>IFERROR(INDEX(tBatches[[Batch ID]],85)&amp;"","")</f>
        <v/>
      </c>
    </row>
    <row r="88">
      <c r="A88">
        <f>IFERROR(INDEX(tPens[[Pen ID]],86)&amp;"","")</f>
        <v/>
      </c>
      <c r="B88">
        <f>A88</f>
        <v/>
      </c>
      <c r="C88">
        <f>IFERROR(INDEX(tBatches[[Batch ID]],86)&amp;"","")</f>
        <v/>
      </c>
    </row>
    <row r="89">
      <c r="A89">
        <f>IFERROR(INDEX(tPens[[Pen ID]],87)&amp;"","")</f>
        <v/>
      </c>
      <c r="B89">
        <f>A89</f>
        <v/>
      </c>
      <c r="C89">
        <f>IFERROR(INDEX(tBatches[[Batch ID]],87)&amp;"","")</f>
        <v/>
      </c>
    </row>
    <row r="90">
      <c r="A90">
        <f>IFERROR(INDEX(tPens[[Pen ID]],88)&amp;"","")</f>
        <v/>
      </c>
      <c r="B90">
        <f>A90</f>
        <v/>
      </c>
      <c r="C90">
        <f>IFERROR(INDEX(tBatches[[Batch ID]],88)&amp;"","")</f>
        <v/>
      </c>
    </row>
    <row r="91">
      <c r="A91">
        <f>IFERROR(INDEX(tPens[[Pen ID]],89)&amp;"","")</f>
        <v/>
      </c>
      <c r="B91">
        <f>A91</f>
        <v/>
      </c>
      <c r="C91">
        <f>IFERROR(INDEX(tBatches[[Batch ID]],89)&amp;"","")</f>
        <v/>
      </c>
    </row>
    <row r="92">
      <c r="A92">
        <f>IFERROR(INDEX(tPens[[Pen ID]],90)&amp;"","")</f>
        <v/>
      </c>
      <c r="B92">
        <f>A92</f>
        <v/>
      </c>
      <c r="C92">
        <f>IFERROR(INDEX(tBatches[[Batch ID]],90)&amp;"","")</f>
        <v/>
      </c>
    </row>
    <row r="93">
      <c r="A93">
        <f>IFERROR(INDEX(tPens[[Pen ID]],91)&amp;"","")</f>
        <v/>
      </c>
      <c r="B93">
        <f>A93</f>
        <v/>
      </c>
      <c r="C93">
        <f>IFERROR(INDEX(tBatches[[Batch ID]],91)&amp;"","")</f>
        <v/>
      </c>
    </row>
    <row r="94">
      <c r="A94">
        <f>IFERROR(INDEX(tPens[[Pen ID]],92)&amp;"","")</f>
        <v/>
      </c>
      <c r="B94">
        <f>A94</f>
        <v/>
      </c>
      <c r="C94">
        <f>IFERROR(INDEX(tBatches[[Batch ID]],92)&amp;"","")</f>
        <v/>
      </c>
    </row>
    <row r="95">
      <c r="A95">
        <f>IFERROR(INDEX(tPens[[Pen ID]],93)&amp;"","")</f>
        <v/>
      </c>
      <c r="B95">
        <f>A95</f>
        <v/>
      </c>
      <c r="C95">
        <f>IFERROR(INDEX(tBatches[[Batch ID]],93)&amp;"","")</f>
        <v/>
      </c>
    </row>
    <row r="96">
      <c r="A96">
        <f>IFERROR(INDEX(tPens[[Pen ID]],94)&amp;"","")</f>
        <v/>
      </c>
      <c r="B96">
        <f>A96</f>
        <v/>
      </c>
      <c r="C96">
        <f>IFERROR(INDEX(tBatches[[Batch ID]],94)&amp;"","")</f>
        <v/>
      </c>
    </row>
    <row r="97">
      <c r="A97">
        <f>IFERROR(INDEX(tPens[[Pen ID]],95)&amp;"","")</f>
        <v/>
      </c>
      <c r="B97">
        <f>A97</f>
        <v/>
      </c>
      <c r="C97">
        <f>IFERROR(INDEX(tBatches[[Batch ID]],95)&amp;"","")</f>
        <v/>
      </c>
    </row>
    <row r="98">
      <c r="A98">
        <f>IFERROR(INDEX(tPens[[Pen ID]],96)&amp;"","")</f>
        <v/>
      </c>
      <c r="B98">
        <f>A98</f>
        <v/>
      </c>
      <c r="C98">
        <f>IFERROR(INDEX(tBatches[[Batch ID]],96)&amp;"","")</f>
        <v/>
      </c>
    </row>
    <row r="99">
      <c r="A99">
        <f>IFERROR(INDEX(tPens[[Pen ID]],97)&amp;"","")</f>
        <v/>
      </c>
      <c r="B99">
        <f>A99</f>
        <v/>
      </c>
      <c r="C99">
        <f>IFERROR(INDEX(tBatches[[Batch ID]],97)&amp;"","")</f>
        <v/>
      </c>
    </row>
    <row r="100">
      <c r="A100">
        <f>IFERROR(INDEX(tPens[[Pen ID]],98)&amp;"","")</f>
        <v/>
      </c>
      <c r="B100">
        <f>A100</f>
        <v/>
      </c>
      <c r="C100">
        <f>IFERROR(INDEX(tBatches[[Batch ID]],98)&amp;"","")</f>
        <v/>
      </c>
    </row>
    <row r="101">
      <c r="A101">
        <f>IFERROR(INDEX(tPens[[Pen ID]],99)&amp;"","")</f>
        <v/>
      </c>
      <c r="B101">
        <f>A101</f>
        <v/>
      </c>
      <c r="C101">
        <f>IFERROR(INDEX(tBatches[[Batch ID]],99)&amp;"","")</f>
        <v/>
      </c>
    </row>
    <row r="102">
      <c r="A102">
        <f>IFERROR(INDEX(tPens[[Pen ID]],100)&amp;"","")</f>
        <v/>
      </c>
      <c r="B102">
        <f>A102</f>
        <v/>
      </c>
      <c r="C102">
        <f>IFERROR(INDEX(tBatches[[Batch ID]],100)&amp;"","")</f>
        <v/>
      </c>
    </row>
    <row r="103">
      <c r="A103">
        <f>IFERROR(INDEX(tPens[[Pen ID]],101)&amp;"","")</f>
        <v/>
      </c>
      <c r="B103">
        <f>A103</f>
        <v/>
      </c>
      <c r="C103">
        <f>IFERROR(INDEX(tBatches[[Batch ID]],101)&amp;"","")</f>
        <v/>
      </c>
    </row>
    <row r="104">
      <c r="A104">
        <f>IFERROR(INDEX(tPens[[Pen ID]],102)&amp;"","")</f>
        <v/>
      </c>
      <c r="B104">
        <f>A104</f>
        <v/>
      </c>
      <c r="C104">
        <f>IFERROR(INDEX(tBatches[[Batch ID]],102)&amp;"","")</f>
        <v/>
      </c>
    </row>
    <row r="105">
      <c r="A105">
        <f>IFERROR(INDEX(tPens[[Pen ID]],103)&amp;"","")</f>
        <v/>
      </c>
      <c r="B105">
        <f>A105</f>
        <v/>
      </c>
      <c r="C105">
        <f>IFERROR(INDEX(tBatches[[Batch ID]],103)&amp;"","")</f>
        <v/>
      </c>
    </row>
    <row r="106">
      <c r="A106">
        <f>IFERROR(INDEX(tPens[[Pen ID]],104)&amp;"","")</f>
        <v/>
      </c>
      <c r="B106">
        <f>A106</f>
        <v/>
      </c>
      <c r="C106">
        <f>IFERROR(INDEX(tBatches[[Batch ID]],104)&amp;"","")</f>
        <v/>
      </c>
    </row>
    <row r="107">
      <c r="A107">
        <f>IFERROR(INDEX(tPens[[Pen ID]],105)&amp;"","")</f>
        <v/>
      </c>
      <c r="B107">
        <f>A107</f>
        <v/>
      </c>
      <c r="C107">
        <f>IFERROR(INDEX(tBatches[[Batch ID]],105)&amp;"","")</f>
        <v/>
      </c>
    </row>
    <row r="108">
      <c r="A108">
        <f>IFERROR(INDEX(tPens[[Pen ID]],106)&amp;"","")</f>
        <v/>
      </c>
      <c r="B108">
        <f>A108</f>
        <v/>
      </c>
      <c r="C108">
        <f>IFERROR(INDEX(tBatches[[Batch ID]],106)&amp;"","")</f>
        <v/>
      </c>
    </row>
    <row r="109">
      <c r="A109">
        <f>IFERROR(INDEX(tPens[[Pen ID]],107)&amp;"","")</f>
        <v/>
      </c>
      <c r="B109">
        <f>A109</f>
        <v/>
      </c>
      <c r="C109">
        <f>IFERROR(INDEX(tBatches[[Batch ID]],107)&amp;"","")</f>
        <v/>
      </c>
    </row>
    <row r="110">
      <c r="A110">
        <f>IFERROR(INDEX(tPens[[Pen ID]],108)&amp;"","")</f>
        <v/>
      </c>
      <c r="B110">
        <f>A110</f>
        <v/>
      </c>
      <c r="C110">
        <f>IFERROR(INDEX(tBatches[[Batch ID]],108)&amp;"","")</f>
        <v/>
      </c>
    </row>
    <row r="111">
      <c r="A111">
        <f>IFERROR(INDEX(tPens[[Pen ID]],109)&amp;"","")</f>
        <v/>
      </c>
      <c r="B111">
        <f>A111</f>
        <v/>
      </c>
      <c r="C111">
        <f>IFERROR(INDEX(tBatches[[Batch ID]],109)&amp;"","")</f>
        <v/>
      </c>
    </row>
    <row r="112">
      <c r="A112">
        <f>IFERROR(INDEX(tPens[[Pen ID]],110)&amp;"","")</f>
        <v/>
      </c>
      <c r="B112">
        <f>A112</f>
        <v/>
      </c>
      <c r="C112">
        <f>IFERROR(INDEX(tBatches[[Batch ID]],110)&amp;"","")</f>
        <v/>
      </c>
    </row>
    <row r="113">
      <c r="A113">
        <f>IFERROR(INDEX(tPens[[Pen ID]],111)&amp;"","")</f>
        <v/>
      </c>
      <c r="B113">
        <f>A113</f>
        <v/>
      </c>
      <c r="C113">
        <f>IFERROR(INDEX(tBatches[[Batch ID]],111)&amp;"","")</f>
        <v/>
      </c>
    </row>
    <row r="114">
      <c r="A114">
        <f>IFERROR(INDEX(tPens[[Pen ID]],112)&amp;"","")</f>
        <v/>
      </c>
      <c r="B114">
        <f>A114</f>
        <v/>
      </c>
      <c r="C114">
        <f>IFERROR(INDEX(tBatches[[Batch ID]],112)&amp;"","")</f>
        <v/>
      </c>
    </row>
    <row r="115">
      <c r="A115">
        <f>IFERROR(INDEX(tPens[[Pen ID]],113)&amp;"","")</f>
        <v/>
      </c>
      <c r="B115">
        <f>A115</f>
        <v/>
      </c>
      <c r="C115">
        <f>IFERROR(INDEX(tBatches[[Batch ID]],113)&amp;"","")</f>
        <v/>
      </c>
    </row>
    <row r="116">
      <c r="A116">
        <f>IFERROR(INDEX(tPens[[Pen ID]],114)&amp;"","")</f>
        <v/>
      </c>
      <c r="B116">
        <f>A116</f>
        <v/>
      </c>
      <c r="C116">
        <f>IFERROR(INDEX(tBatches[[Batch ID]],114)&amp;"","")</f>
        <v/>
      </c>
    </row>
    <row r="117">
      <c r="A117">
        <f>IFERROR(INDEX(tPens[[Pen ID]],115)&amp;"","")</f>
        <v/>
      </c>
      <c r="B117">
        <f>A117</f>
        <v/>
      </c>
      <c r="C117">
        <f>IFERROR(INDEX(tBatches[[Batch ID]],115)&amp;"","")</f>
        <v/>
      </c>
    </row>
    <row r="118">
      <c r="A118">
        <f>IFERROR(INDEX(tPens[[Pen ID]],116)&amp;"","")</f>
        <v/>
      </c>
      <c r="B118">
        <f>A118</f>
        <v/>
      </c>
      <c r="C118">
        <f>IFERROR(INDEX(tBatches[[Batch ID]],116)&amp;"","")</f>
        <v/>
      </c>
    </row>
    <row r="119">
      <c r="A119">
        <f>IFERROR(INDEX(tPens[[Pen ID]],117)&amp;"","")</f>
        <v/>
      </c>
      <c r="B119">
        <f>A119</f>
        <v/>
      </c>
      <c r="C119">
        <f>IFERROR(INDEX(tBatches[[Batch ID]],117)&amp;"","")</f>
        <v/>
      </c>
    </row>
    <row r="120">
      <c r="A120">
        <f>IFERROR(INDEX(tPens[[Pen ID]],118)&amp;"","")</f>
        <v/>
      </c>
      <c r="B120">
        <f>A120</f>
        <v/>
      </c>
      <c r="C120">
        <f>IFERROR(INDEX(tBatches[[Batch ID]],118)&amp;"","")</f>
        <v/>
      </c>
    </row>
    <row r="121">
      <c r="A121">
        <f>IFERROR(INDEX(tPens[[Pen ID]],119)&amp;"","")</f>
        <v/>
      </c>
      <c r="B121">
        <f>A121</f>
        <v/>
      </c>
      <c r="C121">
        <f>IFERROR(INDEX(tBatches[[Batch ID]],119)&amp;"","")</f>
        <v/>
      </c>
    </row>
    <row r="122">
      <c r="A122">
        <f>IFERROR(INDEX(tPens[[Pen ID]],120)&amp;"","")</f>
        <v/>
      </c>
      <c r="B122">
        <f>A122</f>
        <v/>
      </c>
      <c r="C122">
        <f>IFERROR(INDEX(tBatches[[Batch ID]],120)&amp;"","")</f>
        <v/>
      </c>
    </row>
    <row r="123">
      <c r="A123">
        <f>IFERROR(INDEX(tPens[[Pen ID]],121)&amp;"","")</f>
        <v/>
      </c>
      <c r="B123">
        <f>A123</f>
        <v/>
      </c>
      <c r="C123">
        <f>IFERROR(INDEX(tBatches[[Batch ID]],121)&amp;"","")</f>
        <v/>
      </c>
    </row>
    <row r="124">
      <c r="A124">
        <f>IFERROR(INDEX(tPens[[Pen ID]],122)&amp;"","")</f>
        <v/>
      </c>
      <c r="B124">
        <f>A124</f>
        <v/>
      </c>
      <c r="C124">
        <f>IFERROR(INDEX(tBatches[[Batch ID]],122)&amp;"","")</f>
        <v/>
      </c>
    </row>
    <row r="125">
      <c r="A125">
        <f>IFERROR(INDEX(tPens[[Pen ID]],123)&amp;"","")</f>
        <v/>
      </c>
      <c r="B125">
        <f>A125</f>
        <v/>
      </c>
      <c r="C125">
        <f>IFERROR(INDEX(tBatches[[Batch ID]],123)&amp;"","")</f>
        <v/>
      </c>
    </row>
    <row r="126">
      <c r="A126">
        <f>IFERROR(INDEX(tPens[[Pen ID]],124)&amp;"","")</f>
        <v/>
      </c>
      <c r="B126">
        <f>A126</f>
        <v/>
      </c>
      <c r="C126">
        <f>IFERROR(INDEX(tBatches[[Batch ID]],124)&amp;"","")</f>
        <v/>
      </c>
    </row>
    <row r="127">
      <c r="A127">
        <f>IFERROR(INDEX(tPens[[Pen ID]],125)&amp;"","")</f>
        <v/>
      </c>
      <c r="B127">
        <f>A127</f>
        <v/>
      </c>
      <c r="C127">
        <f>IFERROR(INDEX(tBatches[[Batch ID]],125)&amp;"","")</f>
        <v/>
      </c>
    </row>
    <row r="128">
      <c r="A128">
        <f>IFERROR(INDEX(tPens[[Pen ID]],126)&amp;"","")</f>
        <v/>
      </c>
      <c r="B128">
        <f>A128</f>
        <v/>
      </c>
      <c r="C128">
        <f>IFERROR(INDEX(tBatches[[Batch ID]],126)&amp;"","")</f>
        <v/>
      </c>
    </row>
    <row r="129">
      <c r="A129">
        <f>IFERROR(INDEX(tPens[[Pen ID]],127)&amp;"","")</f>
        <v/>
      </c>
      <c r="B129">
        <f>A129</f>
        <v/>
      </c>
      <c r="C129">
        <f>IFERROR(INDEX(tBatches[[Batch ID]],127)&amp;"","")</f>
        <v/>
      </c>
    </row>
    <row r="130">
      <c r="A130">
        <f>IFERROR(INDEX(tPens[[Pen ID]],128)&amp;"","")</f>
        <v/>
      </c>
      <c r="B130">
        <f>A130</f>
        <v/>
      </c>
      <c r="C130">
        <f>IFERROR(INDEX(tBatches[[Batch ID]],128)&amp;"","")</f>
        <v/>
      </c>
    </row>
    <row r="131">
      <c r="A131">
        <f>IFERROR(INDEX(tPens[[Pen ID]],129)&amp;"","")</f>
        <v/>
      </c>
      <c r="B131">
        <f>A131</f>
        <v/>
      </c>
      <c r="C131">
        <f>IFERROR(INDEX(tBatches[[Batch ID]],129)&amp;"","")</f>
        <v/>
      </c>
    </row>
    <row r="132">
      <c r="A132">
        <f>IFERROR(INDEX(tPens[[Pen ID]],130)&amp;"","")</f>
        <v/>
      </c>
      <c r="B132">
        <f>A132</f>
        <v/>
      </c>
      <c r="C132">
        <f>IFERROR(INDEX(tBatches[[Batch ID]],130)&amp;"","")</f>
        <v/>
      </c>
    </row>
    <row r="133">
      <c r="A133">
        <f>IFERROR(INDEX(tPens[[Pen ID]],131)&amp;"","")</f>
        <v/>
      </c>
      <c r="B133">
        <f>A133</f>
        <v/>
      </c>
      <c r="C133">
        <f>IFERROR(INDEX(tBatches[[Batch ID]],131)&amp;"","")</f>
        <v/>
      </c>
    </row>
    <row r="134">
      <c r="A134">
        <f>IFERROR(INDEX(tPens[[Pen ID]],132)&amp;"","")</f>
        <v/>
      </c>
      <c r="B134">
        <f>A134</f>
        <v/>
      </c>
      <c r="C134">
        <f>IFERROR(INDEX(tBatches[[Batch ID]],132)&amp;"","")</f>
        <v/>
      </c>
    </row>
    <row r="135">
      <c r="A135">
        <f>IFERROR(INDEX(tPens[[Pen ID]],133)&amp;"","")</f>
        <v/>
      </c>
      <c r="B135">
        <f>A135</f>
        <v/>
      </c>
      <c r="C135">
        <f>IFERROR(INDEX(tBatches[[Batch ID]],133)&amp;"","")</f>
        <v/>
      </c>
    </row>
    <row r="136">
      <c r="A136">
        <f>IFERROR(INDEX(tPens[[Pen ID]],134)&amp;"","")</f>
        <v/>
      </c>
      <c r="B136">
        <f>A136</f>
        <v/>
      </c>
      <c r="C136">
        <f>IFERROR(INDEX(tBatches[[Batch ID]],134)&amp;"","")</f>
        <v/>
      </c>
    </row>
    <row r="137">
      <c r="A137">
        <f>IFERROR(INDEX(tPens[[Pen ID]],135)&amp;"","")</f>
        <v/>
      </c>
      <c r="B137">
        <f>A137</f>
        <v/>
      </c>
      <c r="C137">
        <f>IFERROR(INDEX(tBatches[[Batch ID]],135)&amp;"","")</f>
        <v/>
      </c>
    </row>
    <row r="138">
      <c r="A138">
        <f>IFERROR(INDEX(tPens[[Pen ID]],136)&amp;"","")</f>
        <v/>
      </c>
      <c r="B138">
        <f>A138</f>
        <v/>
      </c>
      <c r="C138">
        <f>IFERROR(INDEX(tBatches[[Batch ID]],136)&amp;"","")</f>
        <v/>
      </c>
    </row>
    <row r="139">
      <c r="A139">
        <f>IFERROR(INDEX(tPens[[Pen ID]],137)&amp;"","")</f>
        <v/>
      </c>
      <c r="B139">
        <f>A139</f>
        <v/>
      </c>
      <c r="C139">
        <f>IFERROR(INDEX(tBatches[[Batch ID]],137)&amp;"","")</f>
        <v/>
      </c>
    </row>
    <row r="140">
      <c r="A140">
        <f>IFERROR(INDEX(tPens[[Pen ID]],138)&amp;"","")</f>
        <v/>
      </c>
      <c r="B140">
        <f>A140</f>
        <v/>
      </c>
      <c r="C140">
        <f>IFERROR(INDEX(tBatches[[Batch ID]],138)&amp;"","")</f>
        <v/>
      </c>
    </row>
    <row r="141">
      <c r="A141">
        <f>IFERROR(INDEX(tPens[[Pen ID]],139)&amp;"","")</f>
        <v/>
      </c>
      <c r="B141">
        <f>A141</f>
        <v/>
      </c>
      <c r="C141">
        <f>IFERROR(INDEX(tBatches[[Batch ID]],139)&amp;"","")</f>
        <v/>
      </c>
    </row>
    <row r="142">
      <c r="A142">
        <f>IFERROR(INDEX(tPens[[Pen ID]],140)&amp;"","")</f>
        <v/>
      </c>
      <c r="B142">
        <f>A142</f>
        <v/>
      </c>
      <c r="C142">
        <f>IFERROR(INDEX(tBatches[[Batch ID]],140)&amp;"","")</f>
        <v/>
      </c>
    </row>
    <row r="143">
      <c r="A143">
        <f>IFERROR(INDEX(tPens[[Pen ID]],141)&amp;"","")</f>
        <v/>
      </c>
      <c r="B143">
        <f>A143</f>
        <v/>
      </c>
      <c r="C143">
        <f>IFERROR(INDEX(tBatches[[Batch ID]],141)&amp;"","")</f>
        <v/>
      </c>
    </row>
    <row r="144">
      <c r="A144">
        <f>IFERROR(INDEX(tPens[[Pen ID]],142)&amp;"","")</f>
        <v/>
      </c>
      <c r="B144">
        <f>A144</f>
        <v/>
      </c>
      <c r="C144">
        <f>IFERROR(INDEX(tBatches[[Batch ID]],142)&amp;"","")</f>
        <v/>
      </c>
    </row>
    <row r="145">
      <c r="A145">
        <f>IFERROR(INDEX(tPens[[Pen ID]],143)&amp;"","")</f>
        <v/>
      </c>
      <c r="B145">
        <f>A145</f>
        <v/>
      </c>
      <c r="C145">
        <f>IFERROR(INDEX(tBatches[[Batch ID]],143)&amp;"","")</f>
        <v/>
      </c>
    </row>
    <row r="146">
      <c r="A146">
        <f>IFERROR(INDEX(tPens[[Pen ID]],144)&amp;"","")</f>
        <v/>
      </c>
      <c r="B146">
        <f>A146</f>
        <v/>
      </c>
      <c r="C146">
        <f>IFERROR(INDEX(tBatches[[Batch ID]],144)&amp;"","")</f>
        <v/>
      </c>
    </row>
    <row r="147">
      <c r="A147">
        <f>IFERROR(INDEX(tPens[[Pen ID]],145)&amp;"","")</f>
        <v/>
      </c>
      <c r="B147">
        <f>A147</f>
        <v/>
      </c>
      <c r="C147">
        <f>IFERROR(INDEX(tBatches[[Batch ID]],145)&amp;"","")</f>
        <v/>
      </c>
    </row>
    <row r="148">
      <c r="A148">
        <f>IFERROR(INDEX(tPens[[Pen ID]],146)&amp;"","")</f>
        <v/>
      </c>
      <c r="B148">
        <f>A148</f>
        <v/>
      </c>
      <c r="C148">
        <f>IFERROR(INDEX(tBatches[[Batch ID]],146)&amp;"","")</f>
        <v/>
      </c>
    </row>
    <row r="149">
      <c r="A149">
        <f>IFERROR(INDEX(tPens[[Pen ID]],147)&amp;"","")</f>
        <v/>
      </c>
      <c r="B149">
        <f>A149</f>
        <v/>
      </c>
      <c r="C149">
        <f>IFERROR(INDEX(tBatches[[Batch ID]],147)&amp;"","")</f>
        <v/>
      </c>
    </row>
    <row r="150">
      <c r="A150">
        <f>IFERROR(INDEX(tPens[[Pen ID]],148)&amp;"","")</f>
        <v/>
      </c>
      <c r="B150">
        <f>A150</f>
        <v/>
      </c>
      <c r="C150">
        <f>IFERROR(INDEX(tBatches[[Batch ID]],148)&amp;"","")</f>
        <v/>
      </c>
    </row>
    <row r="151">
      <c r="A151">
        <f>IFERROR(INDEX(tPens[[Pen ID]],149)&amp;"","")</f>
        <v/>
      </c>
      <c r="B151">
        <f>A151</f>
        <v/>
      </c>
      <c r="C151">
        <f>IFERROR(INDEX(tBatches[[Batch ID]],149)&amp;"","")</f>
        <v/>
      </c>
    </row>
    <row r="152">
      <c r="A152">
        <f>IFERROR(INDEX(tPens[[Pen ID]],150)&amp;"","")</f>
        <v/>
      </c>
      <c r="B152">
        <f>A152</f>
        <v/>
      </c>
      <c r="C152">
        <f>IFERROR(INDEX(tBatches[[Batch ID]],150)&amp;"","")</f>
        <v/>
      </c>
    </row>
    <row r="153">
      <c r="A153">
        <f>IFERROR(INDEX(tPens[[Pen ID]],151)&amp;"","")</f>
        <v/>
      </c>
      <c r="B153">
        <f>A153</f>
        <v/>
      </c>
      <c r="C153">
        <f>IFERROR(INDEX(tBatches[[Batch ID]],151)&amp;"","")</f>
        <v/>
      </c>
    </row>
    <row r="154">
      <c r="A154">
        <f>IFERROR(INDEX(tPens[[Pen ID]],152)&amp;"","")</f>
        <v/>
      </c>
      <c r="B154">
        <f>A154</f>
        <v/>
      </c>
      <c r="C154">
        <f>IFERROR(INDEX(tBatches[[Batch ID]],152)&amp;"","")</f>
        <v/>
      </c>
    </row>
    <row r="155">
      <c r="A155">
        <f>IFERROR(INDEX(tPens[[Pen ID]],153)&amp;"","")</f>
        <v/>
      </c>
      <c r="B155">
        <f>A155</f>
        <v/>
      </c>
      <c r="C155">
        <f>IFERROR(INDEX(tBatches[[Batch ID]],153)&amp;"","")</f>
        <v/>
      </c>
    </row>
    <row r="156">
      <c r="A156">
        <f>IFERROR(INDEX(tPens[[Pen ID]],154)&amp;"","")</f>
        <v/>
      </c>
      <c r="B156">
        <f>A156</f>
        <v/>
      </c>
      <c r="C156">
        <f>IFERROR(INDEX(tBatches[[Batch ID]],154)&amp;"","")</f>
        <v/>
      </c>
    </row>
    <row r="157">
      <c r="A157">
        <f>IFERROR(INDEX(tPens[[Pen ID]],155)&amp;"","")</f>
        <v/>
      </c>
      <c r="B157">
        <f>A157</f>
        <v/>
      </c>
      <c r="C157">
        <f>IFERROR(INDEX(tBatches[[Batch ID]],155)&amp;"","")</f>
        <v/>
      </c>
    </row>
    <row r="158">
      <c r="A158">
        <f>IFERROR(INDEX(tPens[[Pen ID]],156)&amp;"","")</f>
        <v/>
      </c>
      <c r="B158">
        <f>A158</f>
        <v/>
      </c>
      <c r="C158">
        <f>IFERROR(INDEX(tBatches[[Batch ID]],156)&amp;"","")</f>
        <v/>
      </c>
    </row>
    <row r="159">
      <c r="A159">
        <f>IFERROR(INDEX(tPens[[Pen ID]],157)&amp;"","")</f>
        <v/>
      </c>
      <c r="B159">
        <f>A159</f>
        <v/>
      </c>
      <c r="C159">
        <f>IFERROR(INDEX(tBatches[[Batch ID]],157)&amp;"","")</f>
        <v/>
      </c>
    </row>
    <row r="160">
      <c r="A160">
        <f>IFERROR(INDEX(tPens[[Pen ID]],158)&amp;"","")</f>
        <v/>
      </c>
      <c r="B160">
        <f>A160</f>
        <v/>
      </c>
      <c r="C160">
        <f>IFERROR(INDEX(tBatches[[Batch ID]],158)&amp;"","")</f>
        <v/>
      </c>
    </row>
    <row r="161">
      <c r="A161">
        <f>IFERROR(INDEX(tPens[[Pen ID]],159)&amp;"","")</f>
        <v/>
      </c>
      <c r="B161">
        <f>A161</f>
        <v/>
      </c>
      <c r="C161">
        <f>IFERROR(INDEX(tBatches[[Batch ID]],159)&amp;"","")</f>
        <v/>
      </c>
    </row>
    <row r="162">
      <c r="A162">
        <f>IFERROR(INDEX(tPens[[Pen ID]],160)&amp;"","")</f>
        <v/>
      </c>
      <c r="B162">
        <f>A162</f>
        <v/>
      </c>
      <c r="C162">
        <f>IFERROR(INDEX(tBatches[[Batch ID]],160)&amp;"","")</f>
        <v/>
      </c>
    </row>
    <row r="163">
      <c r="A163">
        <f>IFERROR(INDEX(tPens[[Pen ID]],161)&amp;"","")</f>
        <v/>
      </c>
      <c r="B163">
        <f>A163</f>
        <v/>
      </c>
      <c r="C163">
        <f>IFERROR(INDEX(tBatches[[Batch ID]],161)&amp;"","")</f>
        <v/>
      </c>
    </row>
    <row r="164">
      <c r="A164">
        <f>IFERROR(INDEX(tPens[[Pen ID]],162)&amp;"","")</f>
        <v/>
      </c>
      <c r="B164">
        <f>A164</f>
        <v/>
      </c>
      <c r="C164">
        <f>IFERROR(INDEX(tBatches[[Batch ID]],162)&amp;"","")</f>
        <v/>
      </c>
    </row>
    <row r="165">
      <c r="A165">
        <f>IFERROR(INDEX(tPens[[Pen ID]],163)&amp;"","")</f>
        <v/>
      </c>
      <c r="B165">
        <f>A165</f>
        <v/>
      </c>
      <c r="C165">
        <f>IFERROR(INDEX(tBatches[[Batch ID]],163)&amp;"","")</f>
        <v/>
      </c>
    </row>
    <row r="166">
      <c r="A166">
        <f>IFERROR(INDEX(tPens[[Pen ID]],164)&amp;"","")</f>
        <v/>
      </c>
      <c r="B166">
        <f>A166</f>
        <v/>
      </c>
      <c r="C166">
        <f>IFERROR(INDEX(tBatches[[Batch ID]],164)&amp;"","")</f>
        <v/>
      </c>
    </row>
    <row r="167">
      <c r="A167">
        <f>IFERROR(INDEX(tPens[[Pen ID]],165)&amp;"","")</f>
        <v/>
      </c>
      <c r="B167">
        <f>A167</f>
        <v/>
      </c>
      <c r="C167">
        <f>IFERROR(INDEX(tBatches[[Batch ID]],165)&amp;"","")</f>
        <v/>
      </c>
    </row>
    <row r="168">
      <c r="A168">
        <f>IFERROR(INDEX(tPens[[Pen ID]],166)&amp;"","")</f>
        <v/>
      </c>
      <c r="B168">
        <f>A168</f>
        <v/>
      </c>
      <c r="C168">
        <f>IFERROR(INDEX(tBatches[[Batch ID]],166)&amp;"","")</f>
        <v/>
      </c>
    </row>
    <row r="169">
      <c r="A169">
        <f>IFERROR(INDEX(tPens[[Pen ID]],167)&amp;"","")</f>
        <v/>
      </c>
      <c r="B169">
        <f>A169</f>
        <v/>
      </c>
      <c r="C169">
        <f>IFERROR(INDEX(tBatches[[Batch ID]],167)&amp;"","")</f>
        <v/>
      </c>
    </row>
    <row r="170">
      <c r="A170">
        <f>IFERROR(INDEX(tPens[[Pen ID]],168)&amp;"","")</f>
        <v/>
      </c>
      <c r="B170">
        <f>A170</f>
        <v/>
      </c>
      <c r="C170">
        <f>IFERROR(INDEX(tBatches[[Batch ID]],168)&amp;"","")</f>
        <v/>
      </c>
    </row>
    <row r="171">
      <c r="A171">
        <f>IFERROR(INDEX(tPens[[Pen ID]],169)&amp;"","")</f>
        <v/>
      </c>
      <c r="B171">
        <f>A171</f>
        <v/>
      </c>
      <c r="C171">
        <f>IFERROR(INDEX(tBatches[[Batch ID]],169)&amp;"","")</f>
        <v/>
      </c>
    </row>
    <row r="172">
      <c r="A172">
        <f>IFERROR(INDEX(tPens[[Pen ID]],170)&amp;"","")</f>
        <v/>
      </c>
      <c r="B172">
        <f>A172</f>
        <v/>
      </c>
      <c r="C172">
        <f>IFERROR(INDEX(tBatches[[Batch ID]],170)&amp;"","")</f>
        <v/>
      </c>
    </row>
    <row r="173">
      <c r="A173">
        <f>IFERROR(INDEX(tPens[[Pen ID]],171)&amp;"","")</f>
        <v/>
      </c>
      <c r="B173">
        <f>A173</f>
        <v/>
      </c>
      <c r="C173">
        <f>IFERROR(INDEX(tBatches[[Batch ID]],171)&amp;"","")</f>
        <v/>
      </c>
    </row>
    <row r="174">
      <c r="A174">
        <f>IFERROR(INDEX(tPens[[Pen ID]],172)&amp;"","")</f>
        <v/>
      </c>
      <c r="B174">
        <f>A174</f>
        <v/>
      </c>
      <c r="C174">
        <f>IFERROR(INDEX(tBatches[[Batch ID]],172)&amp;"","")</f>
        <v/>
      </c>
    </row>
    <row r="175">
      <c r="A175">
        <f>IFERROR(INDEX(tPens[[Pen ID]],173)&amp;"","")</f>
        <v/>
      </c>
      <c r="B175">
        <f>A175</f>
        <v/>
      </c>
      <c r="C175">
        <f>IFERROR(INDEX(tBatches[[Batch ID]],173)&amp;"","")</f>
        <v/>
      </c>
    </row>
    <row r="176">
      <c r="A176">
        <f>IFERROR(INDEX(tPens[[Pen ID]],174)&amp;"","")</f>
        <v/>
      </c>
      <c r="B176">
        <f>A176</f>
        <v/>
      </c>
      <c r="C176">
        <f>IFERROR(INDEX(tBatches[[Batch ID]],174)&amp;"","")</f>
        <v/>
      </c>
    </row>
    <row r="177">
      <c r="A177">
        <f>IFERROR(INDEX(tPens[[Pen ID]],175)&amp;"","")</f>
        <v/>
      </c>
      <c r="B177">
        <f>A177</f>
        <v/>
      </c>
      <c r="C177">
        <f>IFERROR(INDEX(tBatches[[Batch ID]],175)&amp;"","")</f>
        <v/>
      </c>
    </row>
    <row r="178">
      <c r="A178">
        <f>IFERROR(INDEX(tPens[[Pen ID]],176)&amp;"","")</f>
        <v/>
      </c>
      <c r="B178">
        <f>A178</f>
        <v/>
      </c>
      <c r="C178">
        <f>IFERROR(INDEX(tBatches[[Batch ID]],176)&amp;"","")</f>
        <v/>
      </c>
    </row>
    <row r="179">
      <c r="A179">
        <f>IFERROR(INDEX(tPens[[Pen ID]],177)&amp;"","")</f>
        <v/>
      </c>
      <c r="B179">
        <f>A179</f>
        <v/>
      </c>
      <c r="C179">
        <f>IFERROR(INDEX(tBatches[[Batch ID]],177)&amp;"","")</f>
        <v/>
      </c>
    </row>
    <row r="180">
      <c r="A180">
        <f>IFERROR(INDEX(tPens[[Pen ID]],178)&amp;"","")</f>
        <v/>
      </c>
      <c r="B180">
        <f>A180</f>
        <v/>
      </c>
      <c r="C180">
        <f>IFERROR(INDEX(tBatches[[Batch ID]],178)&amp;"","")</f>
        <v/>
      </c>
    </row>
    <row r="181">
      <c r="A181">
        <f>IFERROR(INDEX(tPens[[Pen ID]],179)&amp;"","")</f>
        <v/>
      </c>
      <c r="B181">
        <f>A181</f>
        <v/>
      </c>
      <c r="C181">
        <f>IFERROR(INDEX(tBatches[[Batch ID]],179)&amp;"","")</f>
        <v/>
      </c>
    </row>
    <row r="182">
      <c r="A182">
        <f>IFERROR(INDEX(tPens[[Pen ID]],180)&amp;"","")</f>
        <v/>
      </c>
      <c r="B182">
        <f>A182</f>
        <v/>
      </c>
      <c r="C182">
        <f>IFERROR(INDEX(tBatches[[Batch ID]],180)&amp;"","")</f>
        <v/>
      </c>
    </row>
    <row r="183">
      <c r="A183">
        <f>IFERROR(INDEX(tPens[[Pen ID]],181)&amp;"","")</f>
        <v/>
      </c>
      <c r="B183">
        <f>A183</f>
        <v/>
      </c>
      <c r="C183">
        <f>IFERROR(INDEX(tBatches[[Batch ID]],181)&amp;"","")</f>
        <v/>
      </c>
    </row>
    <row r="184">
      <c r="A184">
        <f>IFERROR(INDEX(tPens[[Pen ID]],182)&amp;"","")</f>
        <v/>
      </c>
      <c r="B184">
        <f>A184</f>
        <v/>
      </c>
      <c r="C184">
        <f>IFERROR(INDEX(tBatches[[Batch ID]],182)&amp;"","")</f>
        <v/>
      </c>
    </row>
    <row r="185">
      <c r="A185">
        <f>IFERROR(INDEX(tPens[[Pen ID]],183)&amp;"","")</f>
        <v/>
      </c>
      <c r="B185">
        <f>A185</f>
        <v/>
      </c>
      <c r="C185">
        <f>IFERROR(INDEX(tBatches[[Batch ID]],183)&amp;"","")</f>
        <v/>
      </c>
    </row>
    <row r="186">
      <c r="A186">
        <f>IFERROR(INDEX(tPens[[Pen ID]],184)&amp;"","")</f>
        <v/>
      </c>
      <c r="B186">
        <f>A186</f>
        <v/>
      </c>
      <c r="C186">
        <f>IFERROR(INDEX(tBatches[[Batch ID]],184)&amp;"","")</f>
        <v/>
      </c>
    </row>
    <row r="187">
      <c r="A187">
        <f>IFERROR(INDEX(tPens[[Pen ID]],185)&amp;"","")</f>
        <v/>
      </c>
      <c r="B187">
        <f>A187</f>
        <v/>
      </c>
      <c r="C187">
        <f>IFERROR(INDEX(tBatches[[Batch ID]],185)&amp;"","")</f>
        <v/>
      </c>
    </row>
    <row r="188">
      <c r="A188">
        <f>IFERROR(INDEX(tPens[[Pen ID]],186)&amp;"","")</f>
        <v/>
      </c>
      <c r="B188">
        <f>A188</f>
        <v/>
      </c>
      <c r="C188">
        <f>IFERROR(INDEX(tBatches[[Batch ID]],186)&amp;"","")</f>
        <v/>
      </c>
    </row>
    <row r="189">
      <c r="A189">
        <f>IFERROR(INDEX(tPens[[Pen ID]],187)&amp;"","")</f>
        <v/>
      </c>
      <c r="B189">
        <f>A189</f>
        <v/>
      </c>
      <c r="C189">
        <f>IFERROR(INDEX(tBatches[[Batch ID]],187)&amp;"","")</f>
        <v/>
      </c>
    </row>
    <row r="190">
      <c r="A190">
        <f>IFERROR(INDEX(tPens[[Pen ID]],188)&amp;"","")</f>
        <v/>
      </c>
      <c r="B190">
        <f>A190</f>
        <v/>
      </c>
      <c r="C190">
        <f>IFERROR(INDEX(tBatches[[Batch ID]],188)&amp;"","")</f>
        <v/>
      </c>
    </row>
    <row r="191">
      <c r="A191">
        <f>IFERROR(INDEX(tPens[[Pen ID]],189)&amp;"","")</f>
        <v/>
      </c>
      <c r="B191">
        <f>A191</f>
        <v/>
      </c>
      <c r="C191">
        <f>IFERROR(INDEX(tBatches[[Batch ID]],189)&amp;"","")</f>
        <v/>
      </c>
    </row>
    <row r="192">
      <c r="A192">
        <f>IFERROR(INDEX(tPens[[Pen ID]],190)&amp;"","")</f>
        <v/>
      </c>
      <c r="B192">
        <f>A192</f>
        <v/>
      </c>
      <c r="C192">
        <f>IFERROR(INDEX(tBatches[[Batch ID]],190)&amp;"","")</f>
        <v/>
      </c>
    </row>
    <row r="193">
      <c r="A193">
        <f>IFERROR(INDEX(tPens[[Pen ID]],191)&amp;"","")</f>
        <v/>
      </c>
      <c r="B193">
        <f>A193</f>
        <v/>
      </c>
      <c r="C193">
        <f>IFERROR(INDEX(tBatches[[Batch ID]],191)&amp;"","")</f>
        <v/>
      </c>
    </row>
    <row r="194">
      <c r="A194">
        <f>IFERROR(INDEX(tPens[[Pen ID]],192)&amp;"","")</f>
        <v/>
      </c>
      <c r="B194">
        <f>A194</f>
        <v/>
      </c>
      <c r="C194">
        <f>IFERROR(INDEX(tBatches[[Batch ID]],192)&amp;"","")</f>
        <v/>
      </c>
    </row>
    <row r="195">
      <c r="A195">
        <f>IFERROR(INDEX(tPens[[Pen ID]],193)&amp;"","")</f>
        <v/>
      </c>
      <c r="B195">
        <f>A195</f>
        <v/>
      </c>
      <c r="C195">
        <f>IFERROR(INDEX(tBatches[[Batch ID]],193)&amp;"","")</f>
        <v/>
      </c>
    </row>
    <row r="196">
      <c r="A196">
        <f>IFERROR(INDEX(tPens[[Pen ID]],194)&amp;"","")</f>
        <v/>
      </c>
      <c r="B196">
        <f>A196</f>
        <v/>
      </c>
      <c r="C196">
        <f>IFERROR(INDEX(tBatches[[Batch ID]],194)&amp;"","")</f>
        <v/>
      </c>
    </row>
    <row r="197">
      <c r="A197">
        <f>IFERROR(INDEX(tPens[[Pen ID]],195)&amp;"","")</f>
        <v/>
      </c>
      <c r="B197">
        <f>A197</f>
        <v/>
      </c>
      <c r="C197">
        <f>IFERROR(INDEX(tBatches[[Batch ID]],195)&amp;"","")</f>
        <v/>
      </c>
    </row>
    <row r="198">
      <c r="A198">
        <f>IFERROR(INDEX(tPens[[Pen ID]],196)&amp;"","")</f>
        <v/>
      </c>
      <c r="B198">
        <f>A198</f>
        <v/>
      </c>
      <c r="C198">
        <f>IFERROR(INDEX(tBatches[[Batch ID]],196)&amp;"","")</f>
        <v/>
      </c>
    </row>
    <row r="199">
      <c r="A199">
        <f>IFERROR(INDEX(tPens[[Pen ID]],197)&amp;"","")</f>
        <v/>
      </c>
      <c r="B199">
        <f>A199</f>
        <v/>
      </c>
      <c r="C199">
        <f>IFERROR(INDEX(tBatches[[Batch ID]],197)&amp;"","")</f>
        <v/>
      </c>
    </row>
    <row r="200">
      <c r="A200">
        <f>IFERROR(INDEX(tPens[[Pen ID]],198)&amp;"","")</f>
        <v/>
      </c>
      <c r="B200">
        <f>A200</f>
        <v/>
      </c>
      <c r="C200">
        <f>IFERROR(INDEX(tBatches[[Batch ID]],198)&amp;"","")</f>
        <v/>
      </c>
    </row>
    <row r="201">
      <c r="A201">
        <f>IFERROR(INDEX(tPens[[Pen ID]],199)&amp;"","")</f>
        <v/>
      </c>
      <c r="B201">
        <f>A201</f>
        <v/>
      </c>
      <c r="C201">
        <f>IFERROR(INDEX(tBatches[[Batch ID]],199)&amp;"","")</f>
        <v/>
      </c>
    </row>
    <row r="202">
      <c r="A202">
        <f>IFERROR(INDEX(tPens[[Pen ID]],200)&amp;"","")</f>
        <v/>
      </c>
      <c r="B202">
        <f>A202</f>
        <v/>
      </c>
      <c r="C202">
        <f>IFERROR(INDEX(tBatches[[Batch ID]],200)&amp;"","")</f>
        <v/>
      </c>
    </row>
    <row r="203">
      <c r="A203">
        <f>IFERROR(INDEX(tPens[[Pen ID]],201)&amp;"","")</f>
        <v/>
      </c>
      <c r="B203">
        <f>A203</f>
        <v/>
      </c>
      <c r="C203">
        <f>IFERROR(INDEX(tBatches[[Batch ID]],201)&amp;"","")</f>
        <v/>
      </c>
    </row>
    <row r="204">
      <c r="A204">
        <f>IFERROR(INDEX(tPens[[Pen ID]],202)&amp;"","")</f>
        <v/>
      </c>
      <c r="B204">
        <f>A204</f>
        <v/>
      </c>
      <c r="C204">
        <f>IFERROR(INDEX(tBatches[[Batch ID]],202)&amp;"","")</f>
        <v/>
      </c>
    </row>
    <row r="205">
      <c r="A205">
        <f>IFERROR(INDEX(tPens[[Pen ID]],203)&amp;"","")</f>
        <v/>
      </c>
      <c r="B205">
        <f>A205</f>
        <v/>
      </c>
      <c r="C205">
        <f>IFERROR(INDEX(tBatches[[Batch ID]],203)&amp;"","")</f>
        <v/>
      </c>
    </row>
    <row r="206">
      <c r="A206">
        <f>IFERROR(INDEX(tPens[[Pen ID]],204)&amp;"","")</f>
        <v/>
      </c>
      <c r="B206">
        <f>A206</f>
        <v/>
      </c>
      <c r="C206">
        <f>IFERROR(INDEX(tBatches[[Batch ID]],204)&amp;"","")</f>
        <v/>
      </c>
    </row>
    <row r="207">
      <c r="A207">
        <f>IFERROR(INDEX(tPens[[Pen ID]],205)&amp;"","")</f>
        <v/>
      </c>
      <c r="B207">
        <f>A207</f>
        <v/>
      </c>
      <c r="C207">
        <f>IFERROR(INDEX(tBatches[[Batch ID]],205)&amp;"","")</f>
        <v/>
      </c>
    </row>
    <row r="208">
      <c r="A208">
        <f>IFERROR(INDEX(tPens[[Pen ID]],206)&amp;"","")</f>
        <v/>
      </c>
      <c r="B208">
        <f>A208</f>
        <v/>
      </c>
      <c r="C208">
        <f>IFERROR(INDEX(tBatches[[Batch ID]],206)&amp;"","")</f>
        <v/>
      </c>
    </row>
    <row r="209">
      <c r="A209">
        <f>IFERROR(INDEX(tPens[[Pen ID]],207)&amp;"","")</f>
        <v/>
      </c>
      <c r="B209">
        <f>A209</f>
        <v/>
      </c>
      <c r="C209">
        <f>IFERROR(INDEX(tBatches[[Batch ID]],207)&amp;"","")</f>
        <v/>
      </c>
    </row>
    <row r="210">
      <c r="A210">
        <f>IFERROR(INDEX(tPens[[Pen ID]],208)&amp;"","")</f>
        <v/>
      </c>
      <c r="B210">
        <f>A210</f>
        <v/>
      </c>
      <c r="C210">
        <f>IFERROR(INDEX(tBatches[[Batch ID]],208)&amp;"","")</f>
        <v/>
      </c>
    </row>
    <row r="211">
      <c r="A211">
        <f>IFERROR(INDEX(tPens[[Pen ID]],209)&amp;"","")</f>
        <v/>
      </c>
      <c r="B211">
        <f>A211</f>
        <v/>
      </c>
      <c r="C211">
        <f>IFERROR(INDEX(tBatches[[Batch ID]],209)&amp;"","")</f>
        <v/>
      </c>
    </row>
    <row r="212">
      <c r="A212">
        <f>IFERROR(INDEX(tPens[[Pen ID]],210)&amp;"","")</f>
        <v/>
      </c>
      <c r="B212">
        <f>A212</f>
        <v/>
      </c>
      <c r="C212">
        <f>IFERROR(INDEX(tBatches[[Batch ID]],210)&amp;"","")</f>
        <v/>
      </c>
    </row>
    <row r="213">
      <c r="A213">
        <f>IFERROR(INDEX(tPens[[Pen ID]],211)&amp;"","")</f>
        <v/>
      </c>
      <c r="B213">
        <f>A213</f>
        <v/>
      </c>
      <c r="C213">
        <f>IFERROR(INDEX(tBatches[[Batch ID]],211)&amp;"","")</f>
        <v/>
      </c>
    </row>
    <row r="214">
      <c r="A214">
        <f>IFERROR(INDEX(tPens[[Pen ID]],212)&amp;"","")</f>
        <v/>
      </c>
      <c r="B214">
        <f>A214</f>
        <v/>
      </c>
      <c r="C214">
        <f>IFERROR(INDEX(tBatches[[Batch ID]],212)&amp;"","")</f>
        <v/>
      </c>
    </row>
    <row r="215">
      <c r="A215">
        <f>IFERROR(INDEX(tPens[[Pen ID]],213)&amp;"","")</f>
        <v/>
      </c>
      <c r="B215">
        <f>A215</f>
        <v/>
      </c>
      <c r="C215">
        <f>IFERROR(INDEX(tBatches[[Batch ID]],213)&amp;"","")</f>
        <v/>
      </c>
    </row>
    <row r="216">
      <c r="A216">
        <f>IFERROR(INDEX(tPens[[Pen ID]],214)&amp;"","")</f>
        <v/>
      </c>
      <c r="B216">
        <f>A216</f>
        <v/>
      </c>
      <c r="C216">
        <f>IFERROR(INDEX(tBatches[[Batch ID]],214)&amp;"","")</f>
        <v/>
      </c>
    </row>
    <row r="217">
      <c r="A217">
        <f>IFERROR(INDEX(tPens[[Pen ID]],215)&amp;"","")</f>
        <v/>
      </c>
      <c r="B217">
        <f>A217</f>
        <v/>
      </c>
      <c r="C217">
        <f>IFERROR(INDEX(tBatches[[Batch ID]],215)&amp;"","")</f>
        <v/>
      </c>
    </row>
    <row r="218">
      <c r="A218">
        <f>IFERROR(INDEX(tPens[[Pen ID]],216)&amp;"","")</f>
        <v/>
      </c>
      <c r="B218">
        <f>A218</f>
        <v/>
      </c>
      <c r="C218">
        <f>IFERROR(INDEX(tBatches[[Batch ID]],216)&amp;"","")</f>
        <v/>
      </c>
    </row>
    <row r="219">
      <c r="A219">
        <f>IFERROR(INDEX(tPens[[Pen ID]],217)&amp;"","")</f>
        <v/>
      </c>
      <c r="B219">
        <f>A219</f>
        <v/>
      </c>
      <c r="C219">
        <f>IFERROR(INDEX(tBatches[[Batch ID]],217)&amp;"","")</f>
        <v/>
      </c>
    </row>
    <row r="220">
      <c r="A220">
        <f>IFERROR(INDEX(tPens[[Pen ID]],218)&amp;"","")</f>
        <v/>
      </c>
      <c r="B220">
        <f>A220</f>
        <v/>
      </c>
      <c r="C220">
        <f>IFERROR(INDEX(tBatches[[Batch ID]],218)&amp;"","")</f>
        <v/>
      </c>
    </row>
    <row r="221">
      <c r="A221">
        <f>IFERROR(INDEX(tPens[[Pen ID]],219)&amp;"","")</f>
        <v/>
      </c>
      <c r="B221">
        <f>A221</f>
        <v/>
      </c>
      <c r="C221">
        <f>IFERROR(INDEX(tBatches[[Batch ID]],219)&amp;"","")</f>
        <v/>
      </c>
    </row>
    <row r="222">
      <c r="A222">
        <f>IFERROR(INDEX(tPens[[Pen ID]],220)&amp;"","")</f>
        <v/>
      </c>
      <c r="B222">
        <f>A222</f>
        <v/>
      </c>
      <c r="C222">
        <f>IFERROR(INDEX(tBatches[[Batch ID]],220)&amp;"","")</f>
        <v/>
      </c>
    </row>
    <row r="223">
      <c r="A223">
        <f>IFERROR(INDEX(tPens[[Pen ID]],221)&amp;"","")</f>
        <v/>
      </c>
      <c r="B223">
        <f>A223</f>
        <v/>
      </c>
      <c r="C223">
        <f>IFERROR(INDEX(tBatches[[Batch ID]],221)&amp;"","")</f>
        <v/>
      </c>
    </row>
    <row r="224">
      <c r="A224">
        <f>IFERROR(INDEX(tPens[[Pen ID]],222)&amp;"","")</f>
        <v/>
      </c>
      <c r="B224">
        <f>A224</f>
        <v/>
      </c>
      <c r="C224">
        <f>IFERROR(INDEX(tBatches[[Batch ID]],222)&amp;"","")</f>
        <v/>
      </c>
    </row>
    <row r="225">
      <c r="A225">
        <f>IFERROR(INDEX(tPens[[Pen ID]],223)&amp;"","")</f>
        <v/>
      </c>
      <c r="B225">
        <f>A225</f>
        <v/>
      </c>
      <c r="C225">
        <f>IFERROR(INDEX(tBatches[[Batch ID]],223)&amp;"","")</f>
        <v/>
      </c>
    </row>
    <row r="226">
      <c r="A226">
        <f>IFERROR(INDEX(tPens[[Pen ID]],224)&amp;"","")</f>
        <v/>
      </c>
      <c r="B226">
        <f>A226</f>
        <v/>
      </c>
      <c r="C226">
        <f>IFERROR(INDEX(tBatches[[Batch ID]],224)&amp;"","")</f>
        <v/>
      </c>
    </row>
    <row r="227">
      <c r="A227">
        <f>IFERROR(INDEX(tPens[[Pen ID]],225)&amp;"","")</f>
        <v/>
      </c>
      <c r="B227">
        <f>A227</f>
        <v/>
      </c>
      <c r="C227">
        <f>IFERROR(INDEX(tBatches[[Batch ID]],225)&amp;"","")</f>
        <v/>
      </c>
    </row>
    <row r="228">
      <c r="A228">
        <f>IFERROR(INDEX(tPens[[Pen ID]],226)&amp;"","")</f>
        <v/>
      </c>
      <c r="B228">
        <f>A228</f>
        <v/>
      </c>
      <c r="C228">
        <f>IFERROR(INDEX(tBatches[[Batch ID]],226)&amp;"","")</f>
        <v/>
      </c>
    </row>
    <row r="229">
      <c r="A229">
        <f>IFERROR(INDEX(tPens[[Pen ID]],227)&amp;"","")</f>
        <v/>
      </c>
      <c r="B229">
        <f>A229</f>
        <v/>
      </c>
      <c r="C229">
        <f>IFERROR(INDEX(tBatches[[Batch ID]],227)&amp;"","")</f>
        <v/>
      </c>
    </row>
    <row r="230">
      <c r="A230">
        <f>IFERROR(INDEX(tPens[[Pen ID]],228)&amp;"","")</f>
        <v/>
      </c>
      <c r="B230">
        <f>A230</f>
        <v/>
      </c>
      <c r="C230">
        <f>IFERROR(INDEX(tBatches[[Batch ID]],228)&amp;"","")</f>
        <v/>
      </c>
    </row>
    <row r="231">
      <c r="A231">
        <f>IFERROR(INDEX(tPens[[Pen ID]],229)&amp;"","")</f>
        <v/>
      </c>
      <c r="B231">
        <f>A231</f>
        <v/>
      </c>
      <c r="C231">
        <f>IFERROR(INDEX(tBatches[[Batch ID]],229)&amp;"","")</f>
        <v/>
      </c>
    </row>
    <row r="232">
      <c r="A232">
        <f>IFERROR(INDEX(tPens[[Pen ID]],230)&amp;"","")</f>
        <v/>
      </c>
      <c r="B232">
        <f>A232</f>
        <v/>
      </c>
      <c r="C232">
        <f>IFERROR(INDEX(tBatches[[Batch ID]],230)&amp;"","")</f>
        <v/>
      </c>
    </row>
    <row r="233">
      <c r="A233">
        <f>IFERROR(INDEX(tPens[[Pen ID]],231)&amp;"","")</f>
        <v/>
      </c>
      <c r="B233">
        <f>A233</f>
        <v/>
      </c>
      <c r="C233">
        <f>IFERROR(INDEX(tBatches[[Batch ID]],231)&amp;"","")</f>
        <v/>
      </c>
    </row>
    <row r="234">
      <c r="A234">
        <f>IFERROR(INDEX(tPens[[Pen ID]],232)&amp;"","")</f>
        <v/>
      </c>
      <c r="B234">
        <f>A234</f>
        <v/>
      </c>
      <c r="C234">
        <f>IFERROR(INDEX(tBatches[[Batch ID]],232)&amp;"","")</f>
        <v/>
      </c>
    </row>
    <row r="235">
      <c r="A235">
        <f>IFERROR(INDEX(tPens[[Pen ID]],233)&amp;"","")</f>
        <v/>
      </c>
      <c r="B235">
        <f>A235</f>
        <v/>
      </c>
      <c r="C235">
        <f>IFERROR(INDEX(tBatches[[Batch ID]],233)&amp;"","")</f>
        <v/>
      </c>
    </row>
    <row r="236">
      <c r="A236">
        <f>IFERROR(INDEX(tPens[[Pen ID]],234)&amp;"","")</f>
        <v/>
      </c>
      <c r="B236">
        <f>A236</f>
        <v/>
      </c>
      <c r="C236">
        <f>IFERROR(INDEX(tBatches[[Batch ID]],234)&amp;"","")</f>
        <v/>
      </c>
    </row>
    <row r="237">
      <c r="A237">
        <f>IFERROR(INDEX(tPens[[Pen ID]],235)&amp;"","")</f>
        <v/>
      </c>
      <c r="B237">
        <f>A237</f>
        <v/>
      </c>
      <c r="C237">
        <f>IFERROR(INDEX(tBatches[[Batch ID]],235)&amp;"","")</f>
        <v/>
      </c>
    </row>
    <row r="238">
      <c r="A238">
        <f>IFERROR(INDEX(tPens[[Pen ID]],236)&amp;"","")</f>
        <v/>
      </c>
      <c r="B238">
        <f>A238</f>
        <v/>
      </c>
      <c r="C238">
        <f>IFERROR(INDEX(tBatches[[Batch ID]],236)&amp;"","")</f>
        <v/>
      </c>
    </row>
    <row r="239">
      <c r="A239">
        <f>IFERROR(INDEX(tPens[[Pen ID]],237)&amp;"","")</f>
        <v/>
      </c>
      <c r="B239">
        <f>A239</f>
        <v/>
      </c>
      <c r="C239">
        <f>IFERROR(INDEX(tBatches[[Batch ID]],237)&amp;"","")</f>
        <v/>
      </c>
    </row>
    <row r="240">
      <c r="A240">
        <f>IFERROR(INDEX(tPens[[Pen ID]],238)&amp;"","")</f>
        <v/>
      </c>
      <c r="B240">
        <f>A240</f>
        <v/>
      </c>
      <c r="C240">
        <f>IFERROR(INDEX(tBatches[[Batch ID]],238)&amp;"","")</f>
        <v/>
      </c>
    </row>
    <row r="241">
      <c r="A241">
        <f>IFERROR(INDEX(tPens[[Pen ID]],239)&amp;"","")</f>
        <v/>
      </c>
      <c r="B241">
        <f>A241</f>
        <v/>
      </c>
      <c r="C241">
        <f>IFERROR(INDEX(tBatches[[Batch ID]],239)&amp;"","")</f>
        <v/>
      </c>
    </row>
    <row r="242">
      <c r="A242">
        <f>IFERROR(INDEX(tPens[[Pen ID]],240)&amp;"","")</f>
        <v/>
      </c>
      <c r="B242">
        <f>A242</f>
        <v/>
      </c>
      <c r="C242">
        <f>IFERROR(INDEX(tBatches[[Batch ID]],240)&amp;"","")</f>
        <v/>
      </c>
    </row>
    <row r="243">
      <c r="A243">
        <f>IFERROR(INDEX(tPens[[Pen ID]],241)&amp;"","")</f>
        <v/>
      </c>
      <c r="B243">
        <f>A243</f>
        <v/>
      </c>
      <c r="C243">
        <f>IFERROR(INDEX(tBatches[[Batch ID]],241)&amp;"","")</f>
        <v/>
      </c>
    </row>
    <row r="244">
      <c r="A244">
        <f>IFERROR(INDEX(tPens[[Pen ID]],242)&amp;"","")</f>
        <v/>
      </c>
      <c r="B244">
        <f>A244</f>
        <v/>
      </c>
      <c r="C244">
        <f>IFERROR(INDEX(tBatches[[Batch ID]],242)&amp;"","")</f>
        <v/>
      </c>
    </row>
    <row r="245">
      <c r="A245">
        <f>IFERROR(INDEX(tPens[[Pen ID]],243)&amp;"","")</f>
        <v/>
      </c>
      <c r="B245">
        <f>A245</f>
        <v/>
      </c>
      <c r="C245">
        <f>IFERROR(INDEX(tBatches[[Batch ID]],243)&amp;"","")</f>
        <v/>
      </c>
    </row>
    <row r="246">
      <c r="A246">
        <f>IFERROR(INDEX(tPens[[Pen ID]],244)&amp;"","")</f>
        <v/>
      </c>
      <c r="B246">
        <f>A246</f>
        <v/>
      </c>
      <c r="C246">
        <f>IFERROR(INDEX(tBatches[[Batch ID]],244)&amp;"","")</f>
        <v/>
      </c>
    </row>
    <row r="247">
      <c r="A247">
        <f>IFERROR(INDEX(tPens[[Pen ID]],245)&amp;"","")</f>
        <v/>
      </c>
      <c r="B247">
        <f>A247</f>
        <v/>
      </c>
      <c r="C247">
        <f>IFERROR(INDEX(tBatches[[Batch ID]],245)&amp;"","")</f>
        <v/>
      </c>
    </row>
    <row r="248">
      <c r="A248">
        <f>IFERROR(INDEX(tPens[[Pen ID]],246)&amp;"","")</f>
        <v/>
      </c>
      <c r="B248">
        <f>A248</f>
        <v/>
      </c>
      <c r="C248">
        <f>IFERROR(INDEX(tBatches[[Batch ID]],246)&amp;"","")</f>
        <v/>
      </c>
    </row>
    <row r="249">
      <c r="A249">
        <f>IFERROR(INDEX(tPens[[Pen ID]],247)&amp;"","")</f>
        <v/>
      </c>
      <c r="B249">
        <f>A249</f>
        <v/>
      </c>
      <c r="C249">
        <f>IFERROR(INDEX(tBatches[[Batch ID]],247)&amp;"","")</f>
        <v/>
      </c>
    </row>
    <row r="250">
      <c r="A250">
        <f>IFERROR(INDEX(tPens[[Pen ID]],248)&amp;"","")</f>
        <v/>
      </c>
      <c r="B250">
        <f>A250</f>
        <v/>
      </c>
      <c r="C250">
        <f>IFERROR(INDEX(tBatches[[Batch ID]],248)&amp;"","")</f>
        <v/>
      </c>
    </row>
    <row r="251">
      <c r="A251">
        <f>IFERROR(INDEX(tPens[[Pen ID]],249)&amp;"","")</f>
        <v/>
      </c>
      <c r="B251">
        <f>A251</f>
        <v/>
      </c>
      <c r="C251">
        <f>IFERROR(INDEX(tBatches[[Batch ID]],249)&amp;"","")</f>
        <v/>
      </c>
    </row>
    <row r="252">
      <c r="A252">
        <f>IFERROR(INDEX(tPens[[Pen ID]],250)&amp;"","")</f>
        <v/>
      </c>
      <c r="B252">
        <f>A252</f>
        <v/>
      </c>
      <c r="C252">
        <f>IFERROR(INDEX(tBatches[[Batch ID]],250)&amp;"","")</f>
        <v/>
      </c>
    </row>
    <row r="253">
      <c r="A253">
        <f>IFERROR(INDEX(tPens[[Pen ID]],251)&amp;"","")</f>
        <v/>
      </c>
      <c r="B253">
        <f>A253</f>
        <v/>
      </c>
      <c r="C253">
        <f>IFERROR(INDEX(tBatches[[Batch ID]],251)&amp;"","")</f>
        <v/>
      </c>
    </row>
    <row r="254">
      <c r="A254">
        <f>IFERROR(INDEX(tPens[[Pen ID]],252)&amp;"","")</f>
        <v/>
      </c>
      <c r="B254">
        <f>A254</f>
        <v/>
      </c>
      <c r="C254">
        <f>IFERROR(INDEX(tBatches[[Batch ID]],252)&amp;"","")</f>
        <v/>
      </c>
    </row>
    <row r="255">
      <c r="A255">
        <f>IFERROR(INDEX(tPens[[Pen ID]],253)&amp;"","")</f>
        <v/>
      </c>
      <c r="B255">
        <f>A255</f>
        <v/>
      </c>
      <c r="C255">
        <f>IFERROR(INDEX(tBatches[[Batch ID]],253)&amp;"","")</f>
        <v/>
      </c>
    </row>
    <row r="256">
      <c r="A256">
        <f>IFERROR(INDEX(tPens[[Pen ID]],254)&amp;"","")</f>
        <v/>
      </c>
      <c r="B256">
        <f>A256</f>
        <v/>
      </c>
      <c r="C256">
        <f>IFERROR(INDEX(tBatches[[Batch ID]],254)&amp;"","")</f>
        <v/>
      </c>
    </row>
    <row r="257">
      <c r="A257">
        <f>IFERROR(INDEX(tPens[[Pen ID]],255)&amp;"","")</f>
        <v/>
      </c>
      <c r="B257">
        <f>A257</f>
        <v/>
      </c>
      <c r="C257">
        <f>IFERROR(INDEX(tBatches[[Batch ID]],255)&amp;"","")</f>
        <v/>
      </c>
    </row>
    <row r="258">
      <c r="A258">
        <f>IFERROR(INDEX(tPens[[Pen ID]],256)&amp;"","")</f>
        <v/>
      </c>
      <c r="B258">
        <f>A258</f>
        <v/>
      </c>
      <c r="C258">
        <f>IFERROR(INDEX(tBatches[[Batch ID]],256)&amp;"","")</f>
        <v/>
      </c>
    </row>
    <row r="259">
      <c r="A259">
        <f>IFERROR(INDEX(tPens[[Pen ID]],257)&amp;"","")</f>
        <v/>
      </c>
      <c r="B259">
        <f>A259</f>
        <v/>
      </c>
      <c r="C259">
        <f>IFERROR(INDEX(tBatches[[Batch ID]],257)&amp;"","")</f>
        <v/>
      </c>
    </row>
    <row r="260">
      <c r="A260">
        <f>IFERROR(INDEX(tPens[[Pen ID]],258)&amp;"","")</f>
        <v/>
      </c>
      <c r="B260">
        <f>A260</f>
        <v/>
      </c>
      <c r="C260">
        <f>IFERROR(INDEX(tBatches[[Batch ID]],258)&amp;"","")</f>
        <v/>
      </c>
    </row>
    <row r="261">
      <c r="A261">
        <f>IFERROR(INDEX(tPens[[Pen ID]],259)&amp;"","")</f>
        <v/>
      </c>
      <c r="B261">
        <f>A261</f>
        <v/>
      </c>
      <c r="C261">
        <f>IFERROR(INDEX(tBatches[[Batch ID]],259)&amp;"","")</f>
        <v/>
      </c>
    </row>
    <row r="262">
      <c r="A262">
        <f>IFERROR(INDEX(tPens[[Pen ID]],260)&amp;"","")</f>
        <v/>
      </c>
      <c r="B262">
        <f>A262</f>
        <v/>
      </c>
      <c r="C262">
        <f>IFERROR(INDEX(tBatches[[Batch ID]],260)&amp;"","")</f>
        <v/>
      </c>
    </row>
    <row r="263">
      <c r="A263">
        <f>IFERROR(INDEX(tPens[[Pen ID]],261)&amp;"","")</f>
        <v/>
      </c>
      <c r="B263">
        <f>A263</f>
        <v/>
      </c>
      <c r="C263">
        <f>IFERROR(INDEX(tBatches[[Batch ID]],261)&amp;"","")</f>
        <v/>
      </c>
    </row>
    <row r="264">
      <c r="A264">
        <f>IFERROR(INDEX(tPens[[Pen ID]],262)&amp;"","")</f>
        <v/>
      </c>
      <c r="B264">
        <f>A264</f>
        <v/>
      </c>
      <c r="C264">
        <f>IFERROR(INDEX(tBatches[[Batch ID]],262)&amp;"","")</f>
        <v/>
      </c>
    </row>
    <row r="265">
      <c r="A265">
        <f>IFERROR(INDEX(tPens[[Pen ID]],263)&amp;"","")</f>
        <v/>
      </c>
      <c r="B265">
        <f>A265</f>
        <v/>
      </c>
      <c r="C265">
        <f>IFERROR(INDEX(tBatches[[Batch ID]],263)&amp;"","")</f>
        <v/>
      </c>
    </row>
    <row r="266">
      <c r="A266">
        <f>IFERROR(INDEX(tPens[[Pen ID]],264)&amp;"","")</f>
        <v/>
      </c>
      <c r="B266">
        <f>A266</f>
        <v/>
      </c>
      <c r="C266">
        <f>IFERROR(INDEX(tBatches[[Batch ID]],264)&amp;"","")</f>
        <v/>
      </c>
    </row>
    <row r="267">
      <c r="A267">
        <f>IFERROR(INDEX(tPens[[Pen ID]],265)&amp;"","")</f>
        <v/>
      </c>
      <c r="B267">
        <f>A267</f>
        <v/>
      </c>
      <c r="C267">
        <f>IFERROR(INDEX(tBatches[[Batch ID]],265)&amp;"","")</f>
        <v/>
      </c>
    </row>
    <row r="268">
      <c r="A268">
        <f>IFERROR(INDEX(tPens[[Pen ID]],266)&amp;"","")</f>
        <v/>
      </c>
      <c r="B268">
        <f>A268</f>
        <v/>
      </c>
      <c r="C268">
        <f>IFERROR(INDEX(tBatches[[Batch ID]],266)&amp;"","")</f>
        <v/>
      </c>
    </row>
    <row r="269">
      <c r="A269">
        <f>IFERROR(INDEX(tPens[[Pen ID]],267)&amp;"","")</f>
        <v/>
      </c>
      <c r="B269">
        <f>A269</f>
        <v/>
      </c>
      <c r="C269">
        <f>IFERROR(INDEX(tBatches[[Batch ID]],267)&amp;"","")</f>
        <v/>
      </c>
    </row>
    <row r="270">
      <c r="A270">
        <f>IFERROR(INDEX(tPens[[Pen ID]],268)&amp;"","")</f>
        <v/>
      </c>
      <c r="B270">
        <f>A270</f>
        <v/>
      </c>
      <c r="C270">
        <f>IFERROR(INDEX(tBatches[[Batch ID]],268)&amp;"","")</f>
        <v/>
      </c>
    </row>
    <row r="271">
      <c r="A271">
        <f>IFERROR(INDEX(tPens[[Pen ID]],269)&amp;"","")</f>
        <v/>
      </c>
      <c r="B271">
        <f>A271</f>
        <v/>
      </c>
      <c r="C271">
        <f>IFERROR(INDEX(tBatches[[Batch ID]],269)&amp;"","")</f>
        <v/>
      </c>
    </row>
    <row r="272">
      <c r="A272">
        <f>IFERROR(INDEX(tPens[[Pen ID]],270)&amp;"","")</f>
        <v/>
      </c>
      <c r="B272">
        <f>A272</f>
        <v/>
      </c>
      <c r="C272">
        <f>IFERROR(INDEX(tBatches[[Batch ID]],270)&amp;"","")</f>
        <v/>
      </c>
    </row>
    <row r="273">
      <c r="A273">
        <f>IFERROR(INDEX(tPens[[Pen ID]],271)&amp;"","")</f>
        <v/>
      </c>
      <c r="B273">
        <f>A273</f>
        <v/>
      </c>
      <c r="C273">
        <f>IFERROR(INDEX(tBatches[[Batch ID]],271)&amp;"","")</f>
        <v/>
      </c>
    </row>
    <row r="274">
      <c r="A274">
        <f>IFERROR(INDEX(tPens[[Pen ID]],272)&amp;"","")</f>
        <v/>
      </c>
      <c r="B274">
        <f>A274</f>
        <v/>
      </c>
      <c r="C274">
        <f>IFERROR(INDEX(tBatches[[Batch ID]],272)&amp;"","")</f>
        <v/>
      </c>
    </row>
    <row r="275">
      <c r="A275">
        <f>IFERROR(INDEX(tPens[[Pen ID]],273)&amp;"","")</f>
        <v/>
      </c>
      <c r="B275">
        <f>A275</f>
        <v/>
      </c>
      <c r="C275">
        <f>IFERROR(INDEX(tBatches[[Batch ID]],273)&amp;"","")</f>
        <v/>
      </c>
    </row>
    <row r="276">
      <c r="A276">
        <f>IFERROR(INDEX(tPens[[Pen ID]],274)&amp;"","")</f>
        <v/>
      </c>
      <c r="B276">
        <f>A276</f>
        <v/>
      </c>
      <c r="C276">
        <f>IFERROR(INDEX(tBatches[[Batch ID]],274)&amp;"","")</f>
        <v/>
      </c>
    </row>
    <row r="277">
      <c r="A277">
        <f>IFERROR(INDEX(tPens[[Pen ID]],275)&amp;"","")</f>
        <v/>
      </c>
      <c r="B277">
        <f>A277</f>
        <v/>
      </c>
      <c r="C277">
        <f>IFERROR(INDEX(tBatches[[Batch ID]],275)&amp;"","")</f>
        <v/>
      </c>
    </row>
    <row r="278">
      <c r="A278">
        <f>IFERROR(INDEX(tPens[[Pen ID]],276)&amp;"","")</f>
        <v/>
      </c>
      <c r="B278">
        <f>A278</f>
        <v/>
      </c>
      <c r="C278">
        <f>IFERROR(INDEX(tBatches[[Batch ID]],276)&amp;"","")</f>
        <v/>
      </c>
    </row>
    <row r="279">
      <c r="A279">
        <f>IFERROR(INDEX(tPens[[Pen ID]],277)&amp;"","")</f>
        <v/>
      </c>
      <c r="B279">
        <f>A279</f>
        <v/>
      </c>
      <c r="C279">
        <f>IFERROR(INDEX(tBatches[[Batch ID]],277)&amp;"","")</f>
        <v/>
      </c>
    </row>
    <row r="280">
      <c r="A280">
        <f>IFERROR(INDEX(tPens[[Pen ID]],278)&amp;"","")</f>
        <v/>
      </c>
      <c r="B280">
        <f>A280</f>
        <v/>
      </c>
      <c r="C280">
        <f>IFERROR(INDEX(tBatches[[Batch ID]],278)&amp;"","")</f>
        <v/>
      </c>
    </row>
    <row r="281">
      <c r="A281">
        <f>IFERROR(INDEX(tPens[[Pen ID]],279)&amp;"","")</f>
        <v/>
      </c>
      <c r="B281">
        <f>A281</f>
        <v/>
      </c>
      <c r="C281">
        <f>IFERROR(INDEX(tBatches[[Batch ID]],279)&amp;"","")</f>
        <v/>
      </c>
    </row>
    <row r="282">
      <c r="A282">
        <f>IFERROR(INDEX(tPens[[Pen ID]],280)&amp;"","")</f>
        <v/>
      </c>
      <c r="B282">
        <f>A282</f>
        <v/>
      </c>
      <c r="C282">
        <f>IFERROR(INDEX(tBatches[[Batch ID]],280)&amp;"","")</f>
        <v/>
      </c>
    </row>
    <row r="283">
      <c r="A283">
        <f>IFERROR(INDEX(tPens[[Pen ID]],281)&amp;"","")</f>
        <v/>
      </c>
      <c r="B283">
        <f>A283</f>
        <v/>
      </c>
      <c r="C283">
        <f>IFERROR(INDEX(tBatches[[Batch ID]],281)&amp;"","")</f>
        <v/>
      </c>
    </row>
    <row r="284">
      <c r="A284">
        <f>IFERROR(INDEX(tPens[[Pen ID]],282)&amp;"","")</f>
        <v/>
      </c>
      <c r="B284">
        <f>A284</f>
        <v/>
      </c>
      <c r="C284">
        <f>IFERROR(INDEX(tBatches[[Batch ID]],282)&amp;"","")</f>
        <v/>
      </c>
    </row>
    <row r="285">
      <c r="A285">
        <f>IFERROR(INDEX(tPens[[Pen ID]],283)&amp;"","")</f>
        <v/>
      </c>
      <c r="B285">
        <f>A285</f>
        <v/>
      </c>
      <c r="C285">
        <f>IFERROR(INDEX(tBatches[[Batch ID]],283)&amp;"","")</f>
        <v/>
      </c>
    </row>
    <row r="286">
      <c r="A286">
        <f>IFERROR(INDEX(tPens[[Pen ID]],284)&amp;"","")</f>
        <v/>
      </c>
      <c r="B286">
        <f>A286</f>
        <v/>
      </c>
      <c r="C286">
        <f>IFERROR(INDEX(tBatches[[Batch ID]],284)&amp;"","")</f>
        <v/>
      </c>
    </row>
    <row r="287">
      <c r="A287">
        <f>IFERROR(INDEX(tPens[[Pen ID]],285)&amp;"","")</f>
        <v/>
      </c>
      <c r="B287">
        <f>A287</f>
        <v/>
      </c>
      <c r="C287">
        <f>IFERROR(INDEX(tBatches[[Batch ID]],285)&amp;"","")</f>
        <v/>
      </c>
    </row>
    <row r="288">
      <c r="A288">
        <f>IFERROR(INDEX(tPens[[Pen ID]],286)&amp;"","")</f>
        <v/>
      </c>
      <c r="B288">
        <f>A288</f>
        <v/>
      </c>
      <c r="C288">
        <f>IFERROR(INDEX(tBatches[[Batch ID]],286)&amp;"","")</f>
        <v/>
      </c>
    </row>
    <row r="289">
      <c r="A289">
        <f>IFERROR(INDEX(tPens[[Pen ID]],287)&amp;"","")</f>
        <v/>
      </c>
      <c r="B289">
        <f>A289</f>
        <v/>
      </c>
      <c r="C289">
        <f>IFERROR(INDEX(tBatches[[Batch ID]],287)&amp;"","")</f>
        <v/>
      </c>
    </row>
    <row r="290">
      <c r="A290">
        <f>IFERROR(INDEX(tPens[[Pen ID]],288)&amp;"","")</f>
        <v/>
      </c>
      <c r="B290">
        <f>A290</f>
        <v/>
      </c>
      <c r="C290">
        <f>IFERROR(INDEX(tBatches[[Batch ID]],288)&amp;"","")</f>
        <v/>
      </c>
    </row>
    <row r="291">
      <c r="A291">
        <f>IFERROR(INDEX(tPens[[Pen ID]],289)&amp;"","")</f>
        <v/>
      </c>
      <c r="B291">
        <f>A291</f>
        <v/>
      </c>
      <c r="C291">
        <f>IFERROR(INDEX(tBatches[[Batch ID]],289)&amp;"","")</f>
        <v/>
      </c>
    </row>
    <row r="292">
      <c r="A292">
        <f>IFERROR(INDEX(tPens[[Pen ID]],290)&amp;"","")</f>
        <v/>
      </c>
      <c r="B292">
        <f>A292</f>
        <v/>
      </c>
      <c r="C292">
        <f>IFERROR(INDEX(tBatches[[Batch ID]],290)&amp;"","")</f>
        <v/>
      </c>
    </row>
    <row r="293">
      <c r="A293">
        <f>IFERROR(INDEX(tPens[[Pen ID]],291)&amp;"","")</f>
        <v/>
      </c>
      <c r="B293">
        <f>A293</f>
        <v/>
      </c>
      <c r="C293">
        <f>IFERROR(INDEX(tBatches[[Batch ID]],291)&amp;"","")</f>
        <v/>
      </c>
    </row>
    <row r="294">
      <c r="A294">
        <f>IFERROR(INDEX(tPens[[Pen ID]],292)&amp;"","")</f>
        <v/>
      </c>
      <c r="B294">
        <f>A294</f>
        <v/>
      </c>
      <c r="C294">
        <f>IFERROR(INDEX(tBatches[[Batch ID]],292)&amp;"","")</f>
        <v/>
      </c>
    </row>
    <row r="295">
      <c r="A295">
        <f>IFERROR(INDEX(tPens[[Pen ID]],293)&amp;"","")</f>
        <v/>
      </c>
      <c r="B295">
        <f>A295</f>
        <v/>
      </c>
      <c r="C295">
        <f>IFERROR(INDEX(tBatches[[Batch ID]],293)&amp;"","")</f>
        <v/>
      </c>
    </row>
    <row r="296">
      <c r="A296">
        <f>IFERROR(INDEX(tPens[[Pen ID]],294)&amp;"","")</f>
        <v/>
      </c>
      <c r="B296">
        <f>A296</f>
        <v/>
      </c>
      <c r="C296">
        <f>IFERROR(INDEX(tBatches[[Batch ID]],294)&amp;"","")</f>
        <v/>
      </c>
    </row>
    <row r="297">
      <c r="A297">
        <f>IFERROR(INDEX(tPens[[Pen ID]],295)&amp;"","")</f>
        <v/>
      </c>
      <c r="B297">
        <f>A297</f>
        <v/>
      </c>
      <c r="C297">
        <f>IFERROR(INDEX(tBatches[[Batch ID]],295)&amp;"","")</f>
        <v/>
      </c>
    </row>
    <row r="298">
      <c r="A298">
        <f>IFERROR(INDEX(tPens[[Pen ID]],296)&amp;"","")</f>
        <v/>
      </c>
      <c r="B298">
        <f>A298</f>
        <v/>
      </c>
      <c r="C298">
        <f>IFERROR(INDEX(tBatches[[Batch ID]],296)&amp;"","")</f>
        <v/>
      </c>
    </row>
    <row r="299">
      <c r="A299">
        <f>IFERROR(INDEX(tPens[[Pen ID]],297)&amp;"","")</f>
        <v/>
      </c>
      <c r="B299">
        <f>A299</f>
        <v/>
      </c>
      <c r="C299">
        <f>IFERROR(INDEX(tBatches[[Batch ID]],297)&amp;"","")</f>
        <v/>
      </c>
    </row>
    <row r="300">
      <c r="A300">
        <f>IFERROR(INDEX(tPens[[Pen ID]],298)&amp;"","")</f>
        <v/>
      </c>
      <c r="B300">
        <f>A300</f>
        <v/>
      </c>
      <c r="C300">
        <f>IFERROR(INDEX(tBatches[[Batch ID]],298)&amp;"","")</f>
        <v/>
      </c>
    </row>
    <row r="301">
      <c r="A301">
        <f>IFERROR(INDEX(tPens[[Pen ID]],299)&amp;"","")</f>
        <v/>
      </c>
      <c r="B301">
        <f>A301</f>
        <v/>
      </c>
      <c r="C301">
        <f>IFERROR(INDEX(tBatches[[Batch ID]],299)&amp;"","")</f>
        <v/>
      </c>
    </row>
    <row r="302">
      <c r="A302">
        <f>IFERROR(INDEX(tPens[[Pen ID]],300)&amp;"","")</f>
        <v/>
      </c>
      <c r="B302">
        <f>A302</f>
        <v/>
      </c>
      <c r="C302">
        <f>IFERROR(INDEX(tBatches[[Batch ID]],300)&amp;"","")</f>
        <v/>
      </c>
    </row>
    <row r="303">
      <c r="A303">
        <f>IFERROR(INDEX(tPens[[Pen ID]],301)&amp;"","")</f>
        <v/>
      </c>
      <c r="B303">
        <f>A303</f>
        <v/>
      </c>
      <c r="C303">
        <f>IFERROR(INDEX(tBatches[[Batch ID]],301)&amp;"","")</f>
        <v/>
      </c>
    </row>
    <row r="304">
      <c r="A304">
        <f>IFERROR(INDEX(tPens[[Pen ID]],302)&amp;"","")</f>
        <v/>
      </c>
      <c r="B304">
        <f>A304</f>
        <v/>
      </c>
      <c r="C304">
        <f>IFERROR(INDEX(tBatches[[Batch ID]],302)&amp;"","")</f>
        <v/>
      </c>
    </row>
    <row r="305">
      <c r="A305">
        <f>IFERROR(INDEX(tPens[[Pen ID]],303)&amp;"","")</f>
        <v/>
      </c>
      <c r="B305">
        <f>A305</f>
        <v/>
      </c>
      <c r="C305">
        <f>IFERROR(INDEX(tBatches[[Batch ID]],303)&amp;"","")</f>
        <v/>
      </c>
    </row>
    <row r="306">
      <c r="A306">
        <f>IFERROR(INDEX(tPens[[Pen ID]],304)&amp;"","")</f>
        <v/>
      </c>
      <c r="B306">
        <f>A306</f>
        <v/>
      </c>
      <c r="C306">
        <f>IFERROR(INDEX(tBatches[[Batch ID]],304)&amp;"","")</f>
        <v/>
      </c>
    </row>
    <row r="307">
      <c r="A307">
        <f>IFERROR(INDEX(tPens[[Pen ID]],305)&amp;"","")</f>
        <v/>
      </c>
      <c r="B307">
        <f>A307</f>
        <v/>
      </c>
      <c r="C307">
        <f>IFERROR(INDEX(tBatches[[Batch ID]],305)&amp;"","")</f>
        <v/>
      </c>
    </row>
    <row r="308">
      <c r="A308">
        <f>IFERROR(INDEX(tPens[[Pen ID]],306)&amp;"","")</f>
        <v/>
      </c>
      <c r="B308">
        <f>A308</f>
        <v/>
      </c>
      <c r="C308">
        <f>IFERROR(INDEX(tBatches[[Batch ID]],306)&amp;"","")</f>
        <v/>
      </c>
    </row>
    <row r="309">
      <c r="A309">
        <f>IFERROR(INDEX(tPens[[Pen ID]],307)&amp;"","")</f>
        <v/>
      </c>
      <c r="B309">
        <f>A309</f>
        <v/>
      </c>
      <c r="C309">
        <f>IFERROR(INDEX(tBatches[[Batch ID]],307)&amp;"","")</f>
        <v/>
      </c>
    </row>
    <row r="310">
      <c r="A310">
        <f>IFERROR(INDEX(tPens[[Pen ID]],308)&amp;"","")</f>
        <v/>
      </c>
      <c r="B310">
        <f>A310</f>
        <v/>
      </c>
      <c r="C310">
        <f>IFERROR(INDEX(tBatches[[Batch ID]],308)&amp;"","")</f>
        <v/>
      </c>
    </row>
    <row r="311">
      <c r="A311">
        <f>IFERROR(INDEX(tPens[[Pen ID]],309)&amp;"","")</f>
        <v/>
      </c>
      <c r="B311">
        <f>A311</f>
        <v/>
      </c>
      <c r="C311">
        <f>IFERROR(INDEX(tBatches[[Batch ID]],309)&amp;"","")</f>
        <v/>
      </c>
    </row>
    <row r="312">
      <c r="A312">
        <f>IFERROR(INDEX(tPens[[Pen ID]],310)&amp;"","")</f>
        <v/>
      </c>
      <c r="B312">
        <f>A312</f>
        <v/>
      </c>
      <c r="C312">
        <f>IFERROR(INDEX(tBatches[[Batch ID]],310)&amp;"","")</f>
        <v/>
      </c>
    </row>
    <row r="313">
      <c r="A313">
        <f>IFERROR(INDEX(tPens[[Pen ID]],311)&amp;"","")</f>
        <v/>
      </c>
      <c r="B313">
        <f>A313</f>
        <v/>
      </c>
      <c r="C313">
        <f>IFERROR(INDEX(tBatches[[Batch ID]],311)&amp;"","")</f>
        <v/>
      </c>
    </row>
    <row r="314">
      <c r="A314">
        <f>IFERROR(INDEX(tPens[[Pen ID]],312)&amp;"","")</f>
        <v/>
      </c>
      <c r="B314">
        <f>A314</f>
        <v/>
      </c>
      <c r="C314">
        <f>IFERROR(INDEX(tBatches[[Batch ID]],312)&amp;"","")</f>
        <v/>
      </c>
    </row>
    <row r="315">
      <c r="A315">
        <f>IFERROR(INDEX(tPens[[Pen ID]],313)&amp;"","")</f>
        <v/>
      </c>
      <c r="B315">
        <f>A315</f>
        <v/>
      </c>
      <c r="C315">
        <f>IFERROR(INDEX(tBatches[[Batch ID]],313)&amp;"","")</f>
        <v/>
      </c>
    </row>
    <row r="316">
      <c r="A316">
        <f>IFERROR(INDEX(tPens[[Pen ID]],314)&amp;"","")</f>
        <v/>
      </c>
      <c r="B316">
        <f>A316</f>
        <v/>
      </c>
      <c r="C316">
        <f>IFERROR(INDEX(tBatches[[Batch ID]],314)&amp;"","")</f>
        <v/>
      </c>
    </row>
    <row r="317">
      <c r="A317">
        <f>IFERROR(INDEX(tPens[[Pen ID]],315)&amp;"","")</f>
        <v/>
      </c>
      <c r="B317">
        <f>A317</f>
        <v/>
      </c>
      <c r="C317">
        <f>IFERROR(INDEX(tBatches[[Batch ID]],315)&amp;"","")</f>
        <v/>
      </c>
    </row>
    <row r="318">
      <c r="A318">
        <f>IFERROR(INDEX(tPens[[Pen ID]],316)&amp;"","")</f>
        <v/>
      </c>
      <c r="B318">
        <f>A318</f>
        <v/>
      </c>
      <c r="C318">
        <f>IFERROR(INDEX(tBatches[[Batch ID]],316)&amp;"","")</f>
        <v/>
      </c>
    </row>
    <row r="319">
      <c r="A319">
        <f>IFERROR(INDEX(tPens[[Pen ID]],317)&amp;"","")</f>
        <v/>
      </c>
      <c r="B319">
        <f>A319</f>
        <v/>
      </c>
      <c r="C319">
        <f>IFERROR(INDEX(tBatches[[Batch ID]],317)&amp;"","")</f>
        <v/>
      </c>
    </row>
    <row r="320">
      <c r="A320">
        <f>IFERROR(INDEX(tPens[[Pen ID]],318)&amp;"","")</f>
        <v/>
      </c>
      <c r="B320">
        <f>A320</f>
        <v/>
      </c>
      <c r="C320">
        <f>IFERROR(INDEX(tBatches[[Batch ID]],318)&amp;"","")</f>
        <v/>
      </c>
    </row>
    <row r="321">
      <c r="A321">
        <f>IFERROR(INDEX(tPens[[Pen ID]],319)&amp;"","")</f>
        <v/>
      </c>
      <c r="B321">
        <f>A321</f>
        <v/>
      </c>
      <c r="C321">
        <f>IFERROR(INDEX(tBatches[[Batch ID]],319)&amp;"","")</f>
        <v/>
      </c>
    </row>
    <row r="322">
      <c r="A322">
        <f>IFERROR(INDEX(tPens[[Pen ID]],320)&amp;"","")</f>
        <v/>
      </c>
      <c r="B322">
        <f>A322</f>
        <v/>
      </c>
      <c r="C322">
        <f>IFERROR(INDEX(tBatches[[Batch ID]],320)&amp;"","")</f>
        <v/>
      </c>
    </row>
    <row r="323">
      <c r="A323">
        <f>IFERROR(INDEX(tPens[[Pen ID]],321)&amp;"","")</f>
        <v/>
      </c>
      <c r="B323">
        <f>A323</f>
        <v/>
      </c>
      <c r="C323">
        <f>IFERROR(INDEX(tBatches[[Batch ID]],321)&amp;"","")</f>
        <v/>
      </c>
    </row>
    <row r="324">
      <c r="A324">
        <f>IFERROR(INDEX(tPens[[Pen ID]],322)&amp;"","")</f>
        <v/>
      </c>
      <c r="B324">
        <f>A324</f>
        <v/>
      </c>
      <c r="C324">
        <f>IFERROR(INDEX(tBatches[[Batch ID]],322)&amp;"","")</f>
        <v/>
      </c>
    </row>
    <row r="325">
      <c r="A325">
        <f>IFERROR(INDEX(tPens[[Pen ID]],323)&amp;"","")</f>
        <v/>
      </c>
      <c r="B325">
        <f>A325</f>
        <v/>
      </c>
      <c r="C325">
        <f>IFERROR(INDEX(tBatches[[Batch ID]],323)&amp;"","")</f>
        <v/>
      </c>
    </row>
    <row r="326">
      <c r="A326">
        <f>IFERROR(INDEX(tPens[[Pen ID]],324)&amp;"","")</f>
        <v/>
      </c>
      <c r="B326">
        <f>A326</f>
        <v/>
      </c>
      <c r="C326">
        <f>IFERROR(INDEX(tBatches[[Batch ID]],324)&amp;"","")</f>
        <v/>
      </c>
    </row>
    <row r="327">
      <c r="A327">
        <f>IFERROR(INDEX(tPens[[Pen ID]],325)&amp;"","")</f>
        <v/>
      </c>
      <c r="B327">
        <f>A327</f>
        <v/>
      </c>
      <c r="C327">
        <f>IFERROR(INDEX(tBatches[[Batch ID]],325)&amp;"","")</f>
        <v/>
      </c>
    </row>
    <row r="328">
      <c r="A328">
        <f>IFERROR(INDEX(tPens[[Pen ID]],326)&amp;"","")</f>
        <v/>
      </c>
      <c r="B328">
        <f>A328</f>
        <v/>
      </c>
      <c r="C328">
        <f>IFERROR(INDEX(tBatches[[Batch ID]],326)&amp;"","")</f>
        <v/>
      </c>
    </row>
    <row r="329">
      <c r="A329">
        <f>IFERROR(INDEX(tPens[[Pen ID]],327)&amp;"","")</f>
        <v/>
      </c>
      <c r="B329">
        <f>A329</f>
        <v/>
      </c>
      <c r="C329">
        <f>IFERROR(INDEX(tBatches[[Batch ID]],327)&amp;"","")</f>
        <v/>
      </c>
    </row>
    <row r="330">
      <c r="A330">
        <f>IFERROR(INDEX(tPens[[Pen ID]],328)&amp;"","")</f>
        <v/>
      </c>
      <c r="B330">
        <f>A330</f>
        <v/>
      </c>
      <c r="C330">
        <f>IFERROR(INDEX(tBatches[[Batch ID]],328)&amp;"","")</f>
        <v/>
      </c>
    </row>
    <row r="331">
      <c r="A331">
        <f>IFERROR(INDEX(tPens[[Pen ID]],329)&amp;"","")</f>
        <v/>
      </c>
      <c r="B331">
        <f>A331</f>
        <v/>
      </c>
      <c r="C331">
        <f>IFERROR(INDEX(tBatches[[Batch ID]],329)&amp;"","")</f>
        <v/>
      </c>
    </row>
    <row r="332">
      <c r="A332">
        <f>IFERROR(INDEX(tPens[[Pen ID]],330)&amp;"","")</f>
        <v/>
      </c>
      <c r="B332">
        <f>A332</f>
        <v/>
      </c>
      <c r="C332">
        <f>IFERROR(INDEX(tBatches[[Batch ID]],330)&amp;"","")</f>
        <v/>
      </c>
    </row>
    <row r="333">
      <c r="A333">
        <f>IFERROR(INDEX(tPens[[Pen ID]],331)&amp;"","")</f>
        <v/>
      </c>
      <c r="B333">
        <f>A333</f>
        <v/>
      </c>
      <c r="C333">
        <f>IFERROR(INDEX(tBatches[[Batch ID]],331)&amp;"","")</f>
        <v/>
      </c>
    </row>
    <row r="334">
      <c r="A334">
        <f>IFERROR(INDEX(tPens[[Pen ID]],332)&amp;"","")</f>
        <v/>
      </c>
      <c r="B334">
        <f>A334</f>
        <v/>
      </c>
      <c r="C334">
        <f>IFERROR(INDEX(tBatches[[Batch ID]],332)&amp;"","")</f>
        <v/>
      </c>
    </row>
    <row r="335">
      <c r="A335">
        <f>IFERROR(INDEX(tPens[[Pen ID]],333)&amp;"","")</f>
        <v/>
      </c>
      <c r="B335">
        <f>A335</f>
        <v/>
      </c>
      <c r="C335">
        <f>IFERROR(INDEX(tBatches[[Batch ID]],333)&amp;"","")</f>
        <v/>
      </c>
    </row>
    <row r="336">
      <c r="A336">
        <f>IFERROR(INDEX(tPens[[Pen ID]],334)&amp;"","")</f>
        <v/>
      </c>
      <c r="B336">
        <f>A336</f>
        <v/>
      </c>
      <c r="C336">
        <f>IFERROR(INDEX(tBatches[[Batch ID]],334)&amp;"","")</f>
        <v/>
      </c>
    </row>
    <row r="337">
      <c r="A337">
        <f>IFERROR(INDEX(tPens[[Pen ID]],335)&amp;"","")</f>
        <v/>
      </c>
      <c r="B337">
        <f>A337</f>
        <v/>
      </c>
      <c r="C337">
        <f>IFERROR(INDEX(tBatches[[Batch ID]],335)&amp;"","")</f>
        <v/>
      </c>
    </row>
    <row r="338">
      <c r="A338">
        <f>IFERROR(INDEX(tPens[[Pen ID]],336)&amp;"","")</f>
        <v/>
      </c>
      <c r="B338">
        <f>A338</f>
        <v/>
      </c>
      <c r="C338">
        <f>IFERROR(INDEX(tBatches[[Batch ID]],336)&amp;"","")</f>
        <v/>
      </c>
    </row>
    <row r="339">
      <c r="A339">
        <f>IFERROR(INDEX(tPens[[Pen ID]],337)&amp;"","")</f>
        <v/>
      </c>
      <c r="B339">
        <f>A339</f>
        <v/>
      </c>
      <c r="C339">
        <f>IFERROR(INDEX(tBatches[[Batch ID]],337)&amp;"","")</f>
        <v/>
      </c>
    </row>
    <row r="340">
      <c r="A340">
        <f>IFERROR(INDEX(tPens[[Pen ID]],338)&amp;"","")</f>
        <v/>
      </c>
      <c r="B340">
        <f>A340</f>
        <v/>
      </c>
      <c r="C340">
        <f>IFERROR(INDEX(tBatches[[Batch ID]],338)&amp;"","")</f>
        <v/>
      </c>
    </row>
    <row r="341">
      <c r="A341">
        <f>IFERROR(INDEX(tPens[[Pen ID]],339)&amp;"","")</f>
        <v/>
      </c>
      <c r="B341">
        <f>A341</f>
        <v/>
      </c>
      <c r="C341">
        <f>IFERROR(INDEX(tBatches[[Batch ID]],339)&amp;"","")</f>
        <v/>
      </c>
    </row>
    <row r="342">
      <c r="A342">
        <f>IFERROR(INDEX(tPens[[Pen ID]],340)&amp;"","")</f>
        <v/>
      </c>
      <c r="B342">
        <f>A342</f>
        <v/>
      </c>
      <c r="C342">
        <f>IFERROR(INDEX(tBatches[[Batch ID]],340)&amp;"","")</f>
        <v/>
      </c>
    </row>
    <row r="343">
      <c r="A343">
        <f>IFERROR(INDEX(tPens[[Pen ID]],341)&amp;"","")</f>
        <v/>
      </c>
      <c r="B343">
        <f>A343</f>
        <v/>
      </c>
      <c r="C343">
        <f>IFERROR(INDEX(tBatches[[Batch ID]],341)&amp;"","")</f>
        <v/>
      </c>
    </row>
    <row r="344">
      <c r="A344">
        <f>IFERROR(INDEX(tPens[[Pen ID]],342)&amp;"","")</f>
        <v/>
      </c>
      <c r="B344">
        <f>A344</f>
        <v/>
      </c>
      <c r="C344">
        <f>IFERROR(INDEX(tBatches[[Batch ID]],342)&amp;"","")</f>
        <v/>
      </c>
    </row>
    <row r="345">
      <c r="A345">
        <f>IFERROR(INDEX(tPens[[Pen ID]],343)&amp;"","")</f>
        <v/>
      </c>
      <c r="B345">
        <f>A345</f>
        <v/>
      </c>
      <c r="C345">
        <f>IFERROR(INDEX(tBatches[[Batch ID]],343)&amp;"","")</f>
        <v/>
      </c>
    </row>
    <row r="346">
      <c r="A346">
        <f>IFERROR(INDEX(tPens[[Pen ID]],344)&amp;"","")</f>
        <v/>
      </c>
      <c r="B346">
        <f>A346</f>
        <v/>
      </c>
      <c r="C346">
        <f>IFERROR(INDEX(tBatches[[Batch ID]],344)&amp;"","")</f>
        <v/>
      </c>
    </row>
    <row r="347">
      <c r="A347">
        <f>IFERROR(INDEX(tPens[[Pen ID]],345)&amp;"","")</f>
        <v/>
      </c>
      <c r="B347">
        <f>A347</f>
        <v/>
      </c>
      <c r="C347">
        <f>IFERROR(INDEX(tBatches[[Batch ID]],345)&amp;"","")</f>
        <v/>
      </c>
    </row>
    <row r="348">
      <c r="A348">
        <f>IFERROR(INDEX(tPens[[Pen ID]],346)&amp;"","")</f>
        <v/>
      </c>
      <c r="B348">
        <f>A348</f>
        <v/>
      </c>
      <c r="C348">
        <f>IFERROR(INDEX(tBatches[[Batch ID]],346)&amp;"","")</f>
        <v/>
      </c>
    </row>
    <row r="349">
      <c r="A349">
        <f>IFERROR(INDEX(tPens[[Pen ID]],347)&amp;"","")</f>
        <v/>
      </c>
      <c r="B349">
        <f>A349</f>
        <v/>
      </c>
      <c r="C349">
        <f>IFERROR(INDEX(tBatches[[Batch ID]],347)&amp;"","")</f>
        <v/>
      </c>
    </row>
    <row r="350">
      <c r="A350">
        <f>IFERROR(INDEX(tPens[[Pen ID]],348)&amp;"","")</f>
        <v/>
      </c>
      <c r="B350">
        <f>A350</f>
        <v/>
      </c>
      <c r="C350">
        <f>IFERROR(INDEX(tBatches[[Batch ID]],348)&amp;"","")</f>
        <v/>
      </c>
    </row>
    <row r="351">
      <c r="A351">
        <f>IFERROR(INDEX(tPens[[Pen ID]],349)&amp;"","")</f>
        <v/>
      </c>
      <c r="B351">
        <f>A351</f>
        <v/>
      </c>
      <c r="C351">
        <f>IFERROR(INDEX(tBatches[[Batch ID]],349)&amp;"","")</f>
        <v/>
      </c>
    </row>
    <row r="352">
      <c r="A352">
        <f>IFERROR(INDEX(tPens[[Pen ID]],350)&amp;"","")</f>
        <v/>
      </c>
      <c r="B352">
        <f>A352</f>
        <v/>
      </c>
      <c r="C352">
        <f>IFERROR(INDEX(tBatches[[Batch ID]],350)&amp;"","")</f>
        <v/>
      </c>
    </row>
    <row r="353">
      <c r="A353">
        <f>IFERROR(INDEX(tPens[[Pen ID]],351)&amp;"","")</f>
        <v/>
      </c>
      <c r="B353">
        <f>A353</f>
        <v/>
      </c>
      <c r="C353">
        <f>IFERROR(INDEX(tBatches[[Batch ID]],351)&amp;"","")</f>
        <v/>
      </c>
    </row>
    <row r="354">
      <c r="A354">
        <f>IFERROR(INDEX(tPens[[Pen ID]],352)&amp;"","")</f>
        <v/>
      </c>
      <c r="B354">
        <f>A354</f>
        <v/>
      </c>
      <c r="C354">
        <f>IFERROR(INDEX(tBatches[[Batch ID]],352)&amp;"","")</f>
        <v/>
      </c>
    </row>
    <row r="355">
      <c r="A355">
        <f>IFERROR(INDEX(tPens[[Pen ID]],353)&amp;"","")</f>
        <v/>
      </c>
      <c r="B355">
        <f>A355</f>
        <v/>
      </c>
      <c r="C355">
        <f>IFERROR(INDEX(tBatches[[Batch ID]],353)&amp;"","")</f>
        <v/>
      </c>
    </row>
    <row r="356">
      <c r="A356">
        <f>IFERROR(INDEX(tPens[[Pen ID]],354)&amp;"","")</f>
        <v/>
      </c>
      <c r="B356">
        <f>A356</f>
        <v/>
      </c>
      <c r="C356">
        <f>IFERROR(INDEX(tBatches[[Batch ID]],354)&amp;"","")</f>
        <v/>
      </c>
    </row>
    <row r="357">
      <c r="A357">
        <f>IFERROR(INDEX(tPens[[Pen ID]],355)&amp;"","")</f>
        <v/>
      </c>
      <c r="B357">
        <f>A357</f>
        <v/>
      </c>
      <c r="C357">
        <f>IFERROR(INDEX(tBatches[[Batch ID]],355)&amp;"","")</f>
        <v/>
      </c>
    </row>
    <row r="358">
      <c r="A358">
        <f>IFERROR(INDEX(tPens[[Pen ID]],356)&amp;"","")</f>
        <v/>
      </c>
      <c r="B358">
        <f>A358</f>
        <v/>
      </c>
      <c r="C358">
        <f>IFERROR(INDEX(tBatches[[Batch ID]],356)&amp;"","")</f>
        <v/>
      </c>
    </row>
    <row r="359">
      <c r="A359">
        <f>IFERROR(INDEX(tPens[[Pen ID]],357)&amp;"","")</f>
        <v/>
      </c>
      <c r="B359">
        <f>A359</f>
        <v/>
      </c>
      <c r="C359">
        <f>IFERROR(INDEX(tBatches[[Batch ID]],357)&amp;"","")</f>
        <v/>
      </c>
    </row>
    <row r="360">
      <c r="A360">
        <f>IFERROR(INDEX(tPens[[Pen ID]],358)&amp;"","")</f>
        <v/>
      </c>
      <c r="B360">
        <f>A360</f>
        <v/>
      </c>
      <c r="C360">
        <f>IFERROR(INDEX(tBatches[[Batch ID]],358)&amp;"","")</f>
        <v/>
      </c>
    </row>
    <row r="361">
      <c r="A361">
        <f>IFERROR(INDEX(tPens[[Pen ID]],359)&amp;"","")</f>
        <v/>
      </c>
      <c r="B361">
        <f>A361</f>
        <v/>
      </c>
      <c r="C361">
        <f>IFERROR(INDEX(tBatches[[Batch ID]],359)&amp;"","")</f>
        <v/>
      </c>
    </row>
    <row r="362">
      <c r="A362">
        <f>IFERROR(INDEX(tPens[[Pen ID]],360)&amp;"","")</f>
        <v/>
      </c>
      <c r="B362">
        <f>A362</f>
        <v/>
      </c>
      <c r="C362">
        <f>IFERROR(INDEX(tBatches[[Batch ID]],360)&amp;"","")</f>
        <v/>
      </c>
    </row>
    <row r="363">
      <c r="A363">
        <f>IFERROR(INDEX(tPens[[Pen ID]],361)&amp;"","")</f>
        <v/>
      </c>
      <c r="B363">
        <f>A363</f>
        <v/>
      </c>
      <c r="C363">
        <f>IFERROR(INDEX(tBatches[[Batch ID]],361)&amp;"","")</f>
        <v/>
      </c>
    </row>
    <row r="364">
      <c r="A364">
        <f>IFERROR(INDEX(tPens[[Pen ID]],362)&amp;"","")</f>
        <v/>
      </c>
      <c r="B364">
        <f>A364</f>
        <v/>
      </c>
      <c r="C364">
        <f>IFERROR(INDEX(tBatches[[Batch ID]],362)&amp;"","")</f>
        <v/>
      </c>
    </row>
    <row r="365">
      <c r="A365">
        <f>IFERROR(INDEX(tPens[[Pen ID]],363)&amp;"","")</f>
        <v/>
      </c>
      <c r="B365">
        <f>A365</f>
        <v/>
      </c>
      <c r="C365">
        <f>IFERROR(INDEX(tBatches[[Batch ID]],363)&amp;"","")</f>
        <v/>
      </c>
    </row>
    <row r="366">
      <c r="A366">
        <f>IFERROR(INDEX(tPens[[Pen ID]],364)&amp;"","")</f>
        <v/>
      </c>
      <c r="B366">
        <f>A366</f>
        <v/>
      </c>
      <c r="C366">
        <f>IFERROR(INDEX(tBatches[[Batch ID]],364)&amp;"","")</f>
        <v/>
      </c>
    </row>
    <row r="367">
      <c r="A367">
        <f>IFERROR(INDEX(tPens[[Pen ID]],365)&amp;"","")</f>
        <v/>
      </c>
      <c r="B367">
        <f>A367</f>
        <v/>
      </c>
      <c r="C367">
        <f>IFERROR(INDEX(tBatches[[Batch ID]],365)&amp;"","")</f>
        <v/>
      </c>
    </row>
    <row r="368">
      <c r="A368">
        <f>IFERROR(INDEX(tPens[[Pen ID]],366)&amp;"","")</f>
        <v/>
      </c>
      <c r="B368">
        <f>A368</f>
        <v/>
      </c>
      <c r="C368">
        <f>IFERROR(INDEX(tBatches[[Batch ID]],366)&amp;"","")</f>
        <v/>
      </c>
    </row>
    <row r="369">
      <c r="A369">
        <f>IFERROR(INDEX(tPens[[Pen ID]],367)&amp;"","")</f>
        <v/>
      </c>
      <c r="B369">
        <f>A369</f>
        <v/>
      </c>
      <c r="C369">
        <f>IFERROR(INDEX(tBatches[[Batch ID]],367)&amp;"","")</f>
        <v/>
      </c>
    </row>
    <row r="370">
      <c r="A370">
        <f>IFERROR(INDEX(tPens[[Pen ID]],368)&amp;"","")</f>
        <v/>
      </c>
      <c r="B370">
        <f>A370</f>
        <v/>
      </c>
      <c r="C370">
        <f>IFERROR(INDEX(tBatches[[Batch ID]],368)&amp;"","")</f>
        <v/>
      </c>
    </row>
    <row r="371">
      <c r="A371">
        <f>IFERROR(INDEX(tPens[[Pen ID]],369)&amp;"","")</f>
        <v/>
      </c>
      <c r="B371">
        <f>A371</f>
        <v/>
      </c>
      <c r="C371">
        <f>IFERROR(INDEX(tBatches[[Batch ID]],369)&amp;"","")</f>
        <v/>
      </c>
    </row>
    <row r="372">
      <c r="A372">
        <f>IFERROR(INDEX(tPens[[Pen ID]],370)&amp;"","")</f>
        <v/>
      </c>
      <c r="B372">
        <f>A372</f>
        <v/>
      </c>
      <c r="C372">
        <f>IFERROR(INDEX(tBatches[[Batch ID]],370)&amp;"","")</f>
        <v/>
      </c>
    </row>
    <row r="373">
      <c r="A373">
        <f>IFERROR(INDEX(tPens[[Pen ID]],371)&amp;"","")</f>
        <v/>
      </c>
      <c r="B373">
        <f>A373</f>
        <v/>
      </c>
      <c r="C373">
        <f>IFERROR(INDEX(tBatches[[Batch ID]],371)&amp;"","")</f>
        <v/>
      </c>
    </row>
    <row r="374">
      <c r="A374">
        <f>IFERROR(INDEX(tPens[[Pen ID]],372)&amp;"","")</f>
        <v/>
      </c>
      <c r="B374">
        <f>A374</f>
        <v/>
      </c>
      <c r="C374">
        <f>IFERROR(INDEX(tBatches[[Batch ID]],372)&amp;"","")</f>
        <v/>
      </c>
    </row>
    <row r="375">
      <c r="A375">
        <f>IFERROR(INDEX(tPens[[Pen ID]],373)&amp;"","")</f>
        <v/>
      </c>
      <c r="B375">
        <f>A375</f>
        <v/>
      </c>
      <c r="C375">
        <f>IFERROR(INDEX(tBatches[[Batch ID]],373)&amp;"","")</f>
        <v/>
      </c>
    </row>
    <row r="376">
      <c r="A376">
        <f>IFERROR(INDEX(tPens[[Pen ID]],374)&amp;"","")</f>
        <v/>
      </c>
      <c r="B376">
        <f>A376</f>
        <v/>
      </c>
      <c r="C376">
        <f>IFERROR(INDEX(tBatches[[Batch ID]],374)&amp;"","")</f>
        <v/>
      </c>
    </row>
    <row r="377">
      <c r="A377">
        <f>IFERROR(INDEX(tPens[[Pen ID]],375)&amp;"","")</f>
        <v/>
      </c>
      <c r="B377">
        <f>A377</f>
        <v/>
      </c>
      <c r="C377">
        <f>IFERROR(INDEX(tBatches[[Batch ID]],375)&amp;"","")</f>
        <v/>
      </c>
    </row>
    <row r="378">
      <c r="A378">
        <f>IFERROR(INDEX(tPens[[Pen ID]],376)&amp;"","")</f>
        <v/>
      </c>
      <c r="B378">
        <f>A378</f>
        <v/>
      </c>
      <c r="C378">
        <f>IFERROR(INDEX(tBatches[[Batch ID]],376)&amp;"","")</f>
        <v/>
      </c>
    </row>
    <row r="379">
      <c r="A379">
        <f>IFERROR(INDEX(tPens[[Pen ID]],377)&amp;"","")</f>
        <v/>
      </c>
      <c r="B379">
        <f>A379</f>
        <v/>
      </c>
      <c r="C379">
        <f>IFERROR(INDEX(tBatches[[Batch ID]],377)&amp;"","")</f>
        <v/>
      </c>
    </row>
    <row r="380">
      <c r="A380">
        <f>IFERROR(INDEX(tPens[[Pen ID]],378)&amp;"","")</f>
        <v/>
      </c>
      <c r="B380">
        <f>A380</f>
        <v/>
      </c>
      <c r="C380">
        <f>IFERROR(INDEX(tBatches[[Batch ID]],378)&amp;"","")</f>
        <v/>
      </c>
    </row>
    <row r="381">
      <c r="A381">
        <f>IFERROR(INDEX(tPens[[Pen ID]],379)&amp;"","")</f>
        <v/>
      </c>
      <c r="B381">
        <f>A381</f>
        <v/>
      </c>
      <c r="C381">
        <f>IFERROR(INDEX(tBatches[[Batch ID]],379)&amp;"","")</f>
        <v/>
      </c>
    </row>
    <row r="382">
      <c r="A382">
        <f>IFERROR(INDEX(tPens[[Pen ID]],380)&amp;"","")</f>
        <v/>
      </c>
      <c r="B382">
        <f>A382</f>
        <v/>
      </c>
      <c r="C382">
        <f>IFERROR(INDEX(tBatches[[Batch ID]],380)&amp;"","")</f>
        <v/>
      </c>
    </row>
    <row r="383">
      <c r="A383">
        <f>IFERROR(INDEX(tPens[[Pen ID]],381)&amp;"","")</f>
        <v/>
      </c>
      <c r="B383">
        <f>A383</f>
        <v/>
      </c>
      <c r="C383">
        <f>IFERROR(INDEX(tBatches[[Batch ID]],381)&amp;"","")</f>
        <v/>
      </c>
    </row>
    <row r="384">
      <c r="A384">
        <f>IFERROR(INDEX(tPens[[Pen ID]],382)&amp;"","")</f>
        <v/>
      </c>
      <c r="B384">
        <f>A384</f>
        <v/>
      </c>
      <c r="C384">
        <f>IFERROR(INDEX(tBatches[[Batch ID]],382)&amp;"","")</f>
        <v/>
      </c>
    </row>
    <row r="385">
      <c r="A385">
        <f>IFERROR(INDEX(tPens[[Pen ID]],383)&amp;"","")</f>
        <v/>
      </c>
      <c r="B385">
        <f>A385</f>
        <v/>
      </c>
      <c r="C385">
        <f>IFERROR(INDEX(tBatches[[Batch ID]],383)&amp;"","")</f>
        <v/>
      </c>
    </row>
    <row r="386">
      <c r="A386">
        <f>IFERROR(INDEX(tPens[[Pen ID]],384)&amp;"","")</f>
        <v/>
      </c>
      <c r="B386">
        <f>A386</f>
        <v/>
      </c>
      <c r="C386">
        <f>IFERROR(INDEX(tBatches[[Batch ID]],384)&amp;"","")</f>
        <v/>
      </c>
    </row>
    <row r="387">
      <c r="A387">
        <f>IFERROR(INDEX(tPens[[Pen ID]],385)&amp;"","")</f>
        <v/>
      </c>
      <c r="B387">
        <f>A387</f>
        <v/>
      </c>
      <c r="C387">
        <f>IFERROR(INDEX(tBatches[[Batch ID]],385)&amp;"","")</f>
        <v/>
      </c>
    </row>
    <row r="388">
      <c r="A388">
        <f>IFERROR(INDEX(tPens[[Pen ID]],386)&amp;"","")</f>
        <v/>
      </c>
      <c r="B388">
        <f>A388</f>
        <v/>
      </c>
      <c r="C388">
        <f>IFERROR(INDEX(tBatches[[Batch ID]],386)&amp;"","")</f>
        <v/>
      </c>
    </row>
    <row r="389">
      <c r="A389">
        <f>IFERROR(INDEX(tPens[[Pen ID]],387)&amp;"","")</f>
        <v/>
      </c>
      <c r="B389">
        <f>A389</f>
        <v/>
      </c>
      <c r="C389">
        <f>IFERROR(INDEX(tBatches[[Batch ID]],387)&amp;"","")</f>
        <v/>
      </c>
    </row>
    <row r="390">
      <c r="A390">
        <f>IFERROR(INDEX(tPens[[Pen ID]],388)&amp;"","")</f>
        <v/>
      </c>
      <c r="B390">
        <f>A390</f>
        <v/>
      </c>
      <c r="C390">
        <f>IFERROR(INDEX(tBatches[[Batch ID]],388)&amp;"","")</f>
        <v/>
      </c>
    </row>
    <row r="391">
      <c r="A391">
        <f>IFERROR(INDEX(tPens[[Pen ID]],389)&amp;"","")</f>
        <v/>
      </c>
      <c r="B391">
        <f>A391</f>
        <v/>
      </c>
      <c r="C391">
        <f>IFERROR(INDEX(tBatches[[Batch ID]],389)&amp;"","")</f>
        <v/>
      </c>
    </row>
    <row r="392">
      <c r="A392">
        <f>IFERROR(INDEX(tPens[[Pen ID]],390)&amp;"","")</f>
        <v/>
      </c>
      <c r="B392">
        <f>A392</f>
        <v/>
      </c>
      <c r="C392">
        <f>IFERROR(INDEX(tBatches[[Batch ID]],390)&amp;"","")</f>
        <v/>
      </c>
    </row>
    <row r="393">
      <c r="A393">
        <f>IFERROR(INDEX(tPens[[Pen ID]],391)&amp;"","")</f>
        <v/>
      </c>
      <c r="B393">
        <f>A393</f>
        <v/>
      </c>
      <c r="C393">
        <f>IFERROR(INDEX(tBatches[[Batch ID]],391)&amp;"","")</f>
        <v/>
      </c>
    </row>
    <row r="394">
      <c r="A394">
        <f>IFERROR(INDEX(tPens[[Pen ID]],392)&amp;"","")</f>
        <v/>
      </c>
      <c r="B394">
        <f>A394</f>
        <v/>
      </c>
      <c r="C394">
        <f>IFERROR(INDEX(tBatches[[Batch ID]],392)&amp;"","")</f>
        <v/>
      </c>
    </row>
    <row r="395">
      <c r="A395">
        <f>IFERROR(INDEX(tPens[[Pen ID]],393)&amp;"","")</f>
        <v/>
      </c>
      <c r="B395">
        <f>A395</f>
        <v/>
      </c>
      <c r="C395">
        <f>IFERROR(INDEX(tBatches[[Batch ID]],393)&amp;"","")</f>
        <v/>
      </c>
    </row>
    <row r="396">
      <c r="A396">
        <f>IFERROR(INDEX(tPens[[Pen ID]],394)&amp;"","")</f>
        <v/>
      </c>
      <c r="B396">
        <f>A396</f>
        <v/>
      </c>
      <c r="C396">
        <f>IFERROR(INDEX(tBatches[[Batch ID]],394)&amp;"","")</f>
        <v/>
      </c>
    </row>
    <row r="397">
      <c r="A397">
        <f>IFERROR(INDEX(tPens[[Pen ID]],395)&amp;"","")</f>
        <v/>
      </c>
      <c r="B397">
        <f>A397</f>
        <v/>
      </c>
      <c r="C397">
        <f>IFERROR(INDEX(tBatches[[Batch ID]],395)&amp;"","")</f>
        <v/>
      </c>
    </row>
    <row r="398">
      <c r="A398">
        <f>IFERROR(INDEX(tPens[[Pen ID]],396)&amp;"","")</f>
        <v/>
      </c>
      <c r="B398">
        <f>A398</f>
        <v/>
      </c>
      <c r="C398">
        <f>IFERROR(INDEX(tBatches[[Batch ID]],396)&amp;"","")</f>
        <v/>
      </c>
    </row>
    <row r="399">
      <c r="A399">
        <f>IFERROR(INDEX(tPens[[Pen ID]],397)&amp;"","")</f>
        <v/>
      </c>
      <c r="B399">
        <f>A399</f>
        <v/>
      </c>
      <c r="C399">
        <f>IFERROR(INDEX(tBatches[[Batch ID]],397)&amp;"","")</f>
        <v/>
      </c>
    </row>
    <row r="400">
      <c r="A400">
        <f>IFERROR(INDEX(tPens[[Pen ID]],398)&amp;"","")</f>
        <v/>
      </c>
      <c r="B400">
        <f>A400</f>
        <v/>
      </c>
      <c r="C400">
        <f>IFERROR(INDEX(tBatches[[Batch ID]],398)&amp;"","")</f>
        <v/>
      </c>
    </row>
    <row r="401">
      <c r="A401">
        <f>IFERROR(INDEX(tPens[[Pen ID]],399)&amp;"","")</f>
        <v/>
      </c>
      <c r="B401">
        <f>A401</f>
        <v/>
      </c>
      <c r="C401">
        <f>IFERROR(INDEX(tBatches[[Batch ID]],399)&amp;"","")</f>
        <v/>
      </c>
    </row>
    <row r="402">
      <c r="A402">
        <f>IFERROR(INDEX(tPens[[Pen ID]],400)&amp;"","")</f>
        <v/>
      </c>
      <c r="B402">
        <f>A402</f>
        <v/>
      </c>
      <c r="C402">
        <f>IFERROR(INDEX(tBatches[[Batch ID]],400)&amp;"","")</f>
        <v/>
      </c>
    </row>
    <row r="403">
      <c r="C403">
        <f>IFERROR(INDEX(tBatches[[Batch ID]],401)&amp;"","")</f>
        <v/>
      </c>
    </row>
    <row r="404">
      <c r="C404">
        <f>IFERROR(INDEX(tBatches[[Batch ID]],402)&amp;"","")</f>
        <v/>
      </c>
    </row>
    <row r="405">
      <c r="C405">
        <f>IFERROR(INDEX(tBatches[[Batch ID]],403)&amp;"","")</f>
        <v/>
      </c>
    </row>
    <row r="406">
      <c r="C406">
        <f>IFERROR(INDEX(tBatches[[Batch ID]],404)&amp;"","")</f>
        <v/>
      </c>
    </row>
    <row r="407">
      <c r="C407">
        <f>IFERROR(INDEX(tBatches[[Batch ID]],405)&amp;"","")</f>
        <v/>
      </c>
    </row>
    <row r="408">
      <c r="C408">
        <f>IFERROR(INDEX(tBatches[[Batch ID]],406)&amp;"","")</f>
        <v/>
      </c>
    </row>
    <row r="409">
      <c r="C409">
        <f>IFERROR(INDEX(tBatches[[Batch ID]],407)&amp;"","")</f>
        <v/>
      </c>
    </row>
    <row r="410">
      <c r="C410">
        <f>IFERROR(INDEX(tBatches[[Batch ID]],408)&amp;"","")</f>
        <v/>
      </c>
    </row>
    <row r="411">
      <c r="C411">
        <f>IFERROR(INDEX(tBatches[[Batch ID]],409)&amp;"","")</f>
        <v/>
      </c>
    </row>
    <row r="412">
      <c r="C412">
        <f>IFERROR(INDEX(tBatches[[Batch ID]],410)&amp;"","")</f>
        <v/>
      </c>
    </row>
    <row r="413">
      <c r="C413">
        <f>IFERROR(INDEX(tBatches[[Batch ID]],411)&amp;"","")</f>
        <v/>
      </c>
    </row>
    <row r="414">
      <c r="C414">
        <f>IFERROR(INDEX(tBatches[[Batch ID]],412)&amp;"","")</f>
        <v/>
      </c>
    </row>
    <row r="415">
      <c r="C415">
        <f>IFERROR(INDEX(tBatches[[Batch ID]],413)&amp;"","")</f>
        <v/>
      </c>
    </row>
    <row r="416">
      <c r="C416">
        <f>IFERROR(INDEX(tBatches[[Batch ID]],414)&amp;"","")</f>
        <v/>
      </c>
    </row>
    <row r="417">
      <c r="C417">
        <f>IFERROR(INDEX(tBatches[[Batch ID]],415)&amp;"","")</f>
        <v/>
      </c>
    </row>
    <row r="418">
      <c r="C418">
        <f>IFERROR(INDEX(tBatches[[Batch ID]],416)&amp;"","")</f>
        <v/>
      </c>
    </row>
    <row r="419">
      <c r="C419">
        <f>IFERROR(INDEX(tBatches[[Batch ID]],417)&amp;"","")</f>
        <v/>
      </c>
    </row>
    <row r="420">
      <c r="C420">
        <f>IFERROR(INDEX(tBatches[[Batch ID]],418)&amp;"","")</f>
        <v/>
      </c>
    </row>
    <row r="421">
      <c r="C421">
        <f>IFERROR(INDEX(tBatches[[Batch ID]],419)&amp;"","")</f>
        <v/>
      </c>
    </row>
    <row r="422">
      <c r="C422">
        <f>IFERROR(INDEX(tBatches[[Batch ID]],420)&amp;"","")</f>
        <v/>
      </c>
    </row>
    <row r="423">
      <c r="C423">
        <f>IFERROR(INDEX(tBatches[[Batch ID]],421)&amp;"","")</f>
        <v/>
      </c>
    </row>
    <row r="424">
      <c r="C424">
        <f>IFERROR(INDEX(tBatches[[Batch ID]],422)&amp;"","")</f>
        <v/>
      </c>
    </row>
    <row r="425">
      <c r="C425">
        <f>IFERROR(INDEX(tBatches[[Batch ID]],423)&amp;"","")</f>
        <v/>
      </c>
    </row>
    <row r="426">
      <c r="C426">
        <f>IFERROR(INDEX(tBatches[[Batch ID]],424)&amp;"","")</f>
        <v/>
      </c>
    </row>
    <row r="427">
      <c r="C427">
        <f>IFERROR(INDEX(tBatches[[Batch ID]],425)&amp;"","")</f>
        <v/>
      </c>
    </row>
    <row r="428">
      <c r="C428">
        <f>IFERROR(INDEX(tBatches[[Batch ID]],426)&amp;"","")</f>
        <v/>
      </c>
    </row>
    <row r="429">
      <c r="C429">
        <f>IFERROR(INDEX(tBatches[[Batch ID]],427)&amp;"","")</f>
        <v/>
      </c>
    </row>
    <row r="430">
      <c r="C430">
        <f>IFERROR(INDEX(tBatches[[Batch ID]],428)&amp;"","")</f>
        <v/>
      </c>
    </row>
    <row r="431">
      <c r="C431">
        <f>IFERROR(INDEX(tBatches[[Batch ID]],429)&amp;"","")</f>
        <v/>
      </c>
    </row>
    <row r="432">
      <c r="C432">
        <f>IFERROR(INDEX(tBatches[[Batch ID]],430)&amp;"","")</f>
        <v/>
      </c>
    </row>
    <row r="433">
      <c r="C433">
        <f>IFERROR(INDEX(tBatches[[Batch ID]],431)&amp;"","")</f>
        <v/>
      </c>
    </row>
    <row r="434">
      <c r="C434">
        <f>IFERROR(INDEX(tBatches[[Batch ID]],432)&amp;"","")</f>
        <v/>
      </c>
    </row>
    <row r="435">
      <c r="C435">
        <f>IFERROR(INDEX(tBatches[[Batch ID]],433)&amp;"","")</f>
        <v/>
      </c>
    </row>
    <row r="436">
      <c r="C436">
        <f>IFERROR(INDEX(tBatches[[Batch ID]],434)&amp;"","")</f>
        <v/>
      </c>
    </row>
    <row r="437">
      <c r="C437">
        <f>IFERROR(INDEX(tBatches[[Batch ID]],435)&amp;"","")</f>
        <v/>
      </c>
    </row>
    <row r="438">
      <c r="C438">
        <f>IFERROR(INDEX(tBatches[[Batch ID]],436)&amp;"","")</f>
        <v/>
      </c>
    </row>
    <row r="439">
      <c r="C439">
        <f>IFERROR(INDEX(tBatches[[Batch ID]],437)&amp;"","")</f>
        <v/>
      </c>
    </row>
    <row r="440">
      <c r="C440">
        <f>IFERROR(INDEX(tBatches[[Batch ID]],438)&amp;"","")</f>
        <v/>
      </c>
    </row>
    <row r="441">
      <c r="C441">
        <f>IFERROR(INDEX(tBatches[[Batch ID]],439)&amp;"","")</f>
        <v/>
      </c>
    </row>
    <row r="442">
      <c r="C442">
        <f>IFERROR(INDEX(tBatches[[Batch ID]],440)&amp;"","")</f>
        <v/>
      </c>
    </row>
    <row r="443">
      <c r="C443">
        <f>IFERROR(INDEX(tBatches[[Batch ID]],441)&amp;"","")</f>
        <v/>
      </c>
    </row>
    <row r="444">
      <c r="C444">
        <f>IFERROR(INDEX(tBatches[[Batch ID]],442)&amp;"","")</f>
        <v/>
      </c>
    </row>
    <row r="445">
      <c r="C445">
        <f>IFERROR(INDEX(tBatches[[Batch ID]],443)&amp;"","")</f>
        <v/>
      </c>
    </row>
    <row r="446">
      <c r="C446">
        <f>IFERROR(INDEX(tBatches[[Batch ID]],444)&amp;"","")</f>
        <v/>
      </c>
    </row>
    <row r="447">
      <c r="C447">
        <f>IFERROR(INDEX(tBatches[[Batch ID]],445)&amp;"","")</f>
        <v/>
      </c>
    </row>
    <row r="448">
      <c r="C448">
        <f>IFERROR(INDEX(tBatches[[Batch ID]],446)&amp;"","")</f>
        <v/>
      </c>
    </row>
    <row r="449">
      <c r="C449">
        <f>IFERROR(INDEX(tBatches[[Batch ID]],447)&amp;"","")</f>
        <v/>
      </c>
    </row>
    <row r="450">
      <c r="C450">
        <f>IFERROR(INDEX(tBatches[[Batch ID]],448)&amp;"","")</f>
        <v/>
      </c>
    </row>
    <row r="451">
      <c r="C451">
        <f>IFERROR(INDEX(tBatches[[Batch ID]],449)&amp;"","")</f>
        <v/>
      </c>
    </row>
    <row r="452">
      <c r="C452">
        <f>IFERROR(INDEX(tBatches[[Batch ID]],450)&amp;"","")</f>
        <v/>
      </c>
    </row>
    <row r="453">
      <c r="C453">
        <f>IFERROR(INDEX(tBatches[[Batch ID]],451)&amp;"","")</f>
        <v/>
      </c>
    </row>
    <row r="454">
      <c r="C454">
        <f>IFERROR(INDEX(tBatches[[Batch ID]],452)&amp;"","")</f>
        <v/>
      </c>
    </row>
    <row r="455">
      <c r="C455">
        <f>IFERROR(INDEX(tBatches[[Batch ID]],453)&amp;"","")</f>
        <v/>
      </c>
    </row>
    <row r="456">
      <c r="C456">
        <f>IFERROR(INDEX(tBatches[[Batch ID]],454)&amp;"","")</f>
        <v/>
      </c>
    </row>
    <row r="457">
      <c r="C457">
        <f>IFERROR(INDEX(tBatches[[Batch ID]],455)&amp;"","")</f>
        <v/>
      </c>
    </row>
    <row r="458">
      <c r="C458">
        <f>IFERROR(INDEX(tBatches[[Batch ID]],456)&amp;"","")</f>
        <v/>
      </c>
    </row>
    <row r="459">
      <c r="C459">
        <f>IFERROR(INDEX(tBatches[[Batch ID]],457)&amp;"","")</f>
        <v/>
      </c>
    </row>
    <row r="460">
      <c r="C460">
        <f>IFERROR(INDEX(tBatches[[Batch ID]],458)&amp;"","")</f>
        <v/>
      </c>
    </row>
    <row r="461">
      <c r="C461">
        <f>IFERROR(INDEX(tBatches[[Batch ID]],459)&amp;"","")</f>
        <v/>
      </c>
    </row>
    <row r="462">
      <c r="C462">
        <f>IFERROR(INDEX(tBatches[[Batch ID]],460)&amp;"","")</f>
        <v/>
      </c>
    </row>
    <row r="463">
      <c r="C463">
        <f>IFERROR(INDEX(tBatches[[Batch ID]],461)&amp;"","")</f>
        <v/>
      </c>
    </row>
    <row r="464">
      <c r="C464">
        <f>IFERROR(INDEX(tBatches[[Batch ID]],462)&amp;"","")</f>
        <v/>
      </c>
    </row>
    <row r="465">
      <c r="C465">
        <f>IFERROR(INDEX(tBatches[[Batch ID]],463)&amp;"","")</f>
        <v/>
      </c>
    </row>
    <row r="466">
      <c r="C466">
        <f>IFERROR(INDEX(tBatches[[Batch ID]],464)&amp;"","")</f>
        <v/>
      </c>
    </row>
    <row r="467">
      <c r="C467">
        <f>IFERROR(INDEX(tBatches[[Batch ID]],465)&amp;"","")</f>
        <v/>
      </c>
    </row>
    <row r="468">
      <c r="C468">
        <f>IFERROR(INDEX(tBatches[[Batch ID]],466)&amp;"","")</f>
        <v/>
      </c>
    </row>
    <row r="469">
      <c r="C469">
        <f>IFERROR(INDEX(tBatches[[Batch ID]],467)&amp;"","")</f>
        <v/>
      </c>
    </row>
    <row r="470">
      <c r="C470">
        <f>IFERROR(INDEX(tBatches[[Batch ID]],468)&amp;"","")</f>
        <v/>
      </c>
    </row>
    <row r="471">
      <c r="C471">
        <f>IFERROR(INDEX(tBatches[[Batch ID]],469)&amp;"","")</f>
        <v/>
      </c>
    </row>
    <row r="472">
      <c r="C472">
        <f>IFERROR(INDEX(tBatches[[Batch ID]],470)&amp;"","")</f>
        <v/>
      </c>
    </row>
    <row r="473">
      <c r="C473">
        <f>IFERROR(INDEX(tBatches[[Batch ID]],471)&amp;"","")</f>
        <v/>
      </c>
    </row>
    <row r="474">
      <c r="C474">
        <f>IFERROR(INDEX(tBatches[[Batch ID]],472)&amp;"","")</f>
        <v/>
      </c>
    </row>
    <row r="475">
      <c r="C475">
        <f>IFERROR(INDEX(tBatches[[Batch ID]],473)&amp;"","")</f>
        <v/>
      </c>
    </row>
    <row r="476">
      <c r="C476">
        <f>IFERROR(INDEX(tBatches[[Batch ID]],474)&amp;"","")</f>
        <v/>
      </c>
    </row>
    <row r="477">
      <c r="C477">
        <f>IFERROR(INDEX(tBatches[[Batch ID]],475)&amp;"","")</f>
        <v/>
      </c>
    </row>
    <row r="478">
      <c r="C478">
        <f>IFERROR(INDEX(tBatches[[Batch ID]],476)&amp;"","")</f>
        <v/>
      </c>
    </row>
    <row r="479">
      <c r="C479">
        <f>IFERROR(INDEX(tBatches[[Batch ID]],477)&amp;"","")</f>
        <v/>
      </c>
    </row>
    <row r="480">
      <c r="C480">
        <f>IFERROR(INDEX(tBatches[[Batch ID]],478)&amp;"","")</f>
        <v/>
      </c>
    </row>
    <row r="481">
      <c r="C481">
        <f>IFERROR(INDEX(tBatches[[Batch ID]],479)&amp;"","")</f>
        <v/>
      </c>
    </row>
    <row r="482">
      <c r="C482">
        <f>IFERROR(INDEX(tBatches[[Batch ID]],480)&amp;"","")</f>
        <v/>
      </c>
    </row>
    <row r="483">
      <c r="C483">
        <f>IFERROR(INDEX(tBatches[[Batch ID]],481)&amp;"","")</f>
        <v/>
      </c>
    </row>
    <row r="484">
      <c r="C484">
        <f>IFERROR(INDEX(tBatches[[Batch ID]],482)&amp;"","")</f>
        <v/>
      </c>
    </row>
    <row r="485">
      <c r="C485">
        <f>IFERROR(INDEX(tBatches[[Batch ID]],483)&amp;"","")</f>
        <v/>
      </c>
    </row>
    <row r="486">
      <c r="C486">
        <f>IFERROR(INDEX(tBatches[[Batch ID]],484)&amp;"","")</f>
        <v/>
      </c>
    </row>
    <row r="487">
      <c r="C487">
        <f>IFERROR(INDEX(tBatches[[Batch ID]],485)&amp;"","")</f>
        <v/>
      </c>
    </row>
    <row r="488">
      <c r="C488">
        <f>IFERROR(INDEX(tBatches[[Batch ID]],486)&amp;"","")</f>
        <v/>
      </c>
    </row>
    <row r="489">
      <c r="C489">
        <f>IFERROR(INDEX(tBatches[[Batch ID]],487)&amp;"","")</f>
        <v/>
      </c>
    </row>
    <row r="490">
      <c r="C490">
        <f>IFERROR(INDEX(tBatches[[Batch ID]],488)&amp;"","")</f>
        <v/>
      </c>
    </row>
    <row r="491">
      <c r="C491">
        <f>IFERROR(INDEX(tBatches[[Batch ID]],489)&amp;"","")</f>
        <v/>
      </c>
    </row>
    <row r="492">
      <c r="C492">
        <f>IFERROR(INDEX(tBatches[[Batch ID]],490)&amp;"","")</f>
        <v/>
      </c>
    </row>
    <row r="493">
      <c r="C493">
        <f>IFERROR(INDEX(tBatches[[Batch ID]],491)&amp;"","")</f>
        <v/>
      </c>
    </row>
    <row r="494">
      <c r="C494">
        <f>IFERROR(INDEX(tBatches[[Batch ID]],492)&amp;"","")</f>
        <v/>
      </c>
    </row>
    <row r="495">
      <c r="C495">
        <f>IFERROR(INDEX(tBatches[[Batch ID]],493)&amp;"","")</f>
        <v/>
      </c>
    </row>
    <row r="496">
      <c r="C496">
        <f>IFERROR(INDEX(tBatches[[Batch ID]],494)&amp;"","")</f>
        <v/>
      </c>
    </row>
    <row r="497">
      <c r="C497">
        <f>IFERROR(INDEX(tBatches[[Batch ID]],495)&amp;"","")</f>
        <v/>
      </c>
    </row>
    <row r="498">
      <c r="C498">
        <f>IFERROR(INDEX(tBatches[[Batch ID]],496)&amp;"","")</f>
        <v/>
      </c>
    </row>
    <row r="499">
      <c r="C499">
        <f>IFERROR(INDEX(tBatches[[Batch ID]],497)&amp;"","")</f>
        <v/>
      </c>
    </row>
    <row r="500">
      <c r="C500">
        <f>IFERROR(INDEX(tBatches[[Batch ID]],498)&amp;"","")</f>
        <v/>
      </c>
    </row>
    <row r="501">
      <c r="C501">
        <f>IFERROR(INDEX(tBatches[[Batch ID]],499)&amp;"","")</f>
        <v/>
      </c>
    </row>
    <row r="502">
      <c r="C502">
        <f>IFERROR(INDEX(tBatches[[Batch ID]],500)&amp;"","")</f>
        <v/>
      </c>
    </row>
    <row r="503">
      <c r="C503">
        <f>IFERROR(INDEX(tBatches[[Batch ID]],501)&amp;"","")</f>
        <v/>
      </c>
    </row>
    <row r="504">
      <c r="C504">
        <f>IFERROR(INDEX(tBatches[[Batch ID]],502)&amp;"","")</f>
        <v/>
      </c>
    </row>
    <row r="505">
      <c r="C505">
        <f>IFERROR(INDEX(tBatches[[Batch ID]],503)&amp;"","")</f>
        <v/>
      </c>
    </row>
    <row r="506">
      <c r="C506">
        <f>IFERROR(INDEX(tBatches[[Batch ID]],504)&amp;"","")</f>
        <v/>
      </c>
    </row>
    <row r="507">
      <c r="C507">
        <f>IFERROR(INDEX(tBatches[[Batch ID]],505)&amp;"","")</f>
        <v/>
      </c>
    </row>
    <row r="508">
      <c r="C508">
        <f>IFERROR(INDEX(tBatches[[Batch ID]],506)&amp;"","")</f>
        <v/>
      </c>
    </row>
    <row r="509">
      <c r="C509">
        <f>IFERROR(INDEX(tBatches[[Batch ID]],507)&amp;"","")</f>
        <v/>
      </c>
    </row>
    <row r="510">
      <c r="C510">
        <f>IFERROR(INDEX(tBatches[[Batch ID]],508)&amp;"","")</f>
        <v/>
      </c>
    </row>
    <row r="511">
      <c r="C511">
        <f>IFERROR(INDEX(tBatches[[Batch ID]],509)&amp;"","")</f>
        <v/>
      </c>
    </row>
    <row r="512">
      <c r="C512">
        <f>IFERROR(INDEX(tBatches[[Batch ID]],510)&amp;"","")</f>
        <v/>
      </c>
    </row>
    <row r="513">
      <c r="C513">
        <f>IFERROR(INDEX(tBatches[[Batch ID]],511)&amp;"","")</f>
        <v/>
      </c>
    </row>
    <row r="514">
      <c r="C514">
        <f>IFERROR(INDEX(tBatches[[Batch ID]],512)&amp;"","")</f>
        <v/>
      </c>
    </row>
    <row r="515">
      <c r="C515">
        <f>IFERROR(INDEX(tBatches[[Batch ID]],513)&amp;"","")</f>
        <v/>
      </c>
    </row>
    <row r="516">
      <c r="C516">
        <f>IFERROR(INDEX(tBatches[[Batch ID]],514)&amp;"","")</f>
        <v/>
      </c>
    </row>
    <row r="517">
      <c r="C517">
        <f>IFERROR(INDEX(tBatches[[Batch ID]],515)&amp;"","")</f>
        <v/>
      </c>
    </row>
    <row r="518">
      <c r="C518">
        <f>IFERROR(INDEX(tBatches[[Batch ID]],516)&amp;"","")</f>
        <v/>
      </c>
    </row>
    <row r="519">
      <c r="C519">
        <f>IFERROR(INDEX(tBatches[[Batch ID]],517)&amp;"","")</f>
        <v/>
      </c>
    </row>
    <row r="520">
      <c r="C520">
        <f>IFERROR(INDEX(tBatches[[Batch ID]],518)&amp;"","")</f>
        <v/>
      </c>
    </row>
    <row r="521">
      <c r="C521">
        <f>IFERROR(INDEX(tBatches[[Batch ID]],519)&amp;"","")</f>
        <v/>
      </c>
    </row>
    <row r="522">
      <c r="C522">
        <f>IFERROR(INDEX(tBatches[[Batch ID]],520)&amp;"","")</f>
        <v/>
      </c>
    </row>
    <row r="523">
      <c r="C523">
        <f>IFERROR(INDEX(tBatches[[Batch ID]],521)&amp;"","")</f>
        <v/>
      </c>
    </row>
    <row r="524">
      <c r="C524">
        <f>IFERROR(INDEX(tBatches[[Batch ID]],522)&amp;"","")</f>
        <v/>
      </c>
    </row>
    <row r="525">
      <c r="C525">
        <f>IFERROR(INDEX(tBatches[[Batch ID]],523)&amp;"","")</f>
        <v/>
      </c>
    </row>
    <row r="526">
      <c r="C526">
        <f>IFERROR(INDEX(tBatches[[Batch ID]],524)&amp;"","")</f>
        <v/>
      </c>
    </row>
    <row r="527">
      <c r="C527">
        <f>IFERROR(INDEX(tBatches[[Batch ID]],525)&amp;"","")</f>
        <v/>
      </c>
    </row>
    <row r="528">
      <c r="C528">
        <f>IFERROR(INDEX(tBatches[[Batch ID]],526)&amp;"","")</f>
        <v/>
      </c>
    </row>
    <row r="529">
      <c r="C529">
        <f>IFERROR(INDEX(tBatches[[Batch ID]],527)&amp;"","")</f>
        <v/>
      </c>
    </row>
    <row r="530">
      <c r="C530">
        <f>IFERROR(INDEX(tBatches[[Batch ID]],528)&amp;"","")</f>
        <v/>
      </c>
    </row>
    <row r="531">
      <c r="C531">
        <f>IFERROR(INDEX(tBatches[[Batch ID]],529)&amp;"","")</f>
        <v/>
      </c>
    </row>
    <row r="532">
      <c r="C532">
        <f>IFERROR(INDEX(tBatches[[Batch ID]],530)&amp;"","")</f>
        <v/>
      </c>
    </row>
    <row r="533">
      <c r="C533">
        <f>IFERROR(INDEX(tBatches[[Batch ID]],531)&amp;"","")</f>
        <v/>
      </c>
    </row>
    <row r="534">
      <c r="C534">
        <f>IFERROR(INDEX(tBatches[[Batch ID]],532)&amp;"","")</f>
        <v/>
      </c>
    </row>
    <row r="535">
      <c r="C535">
        <f>IFERROR(INDEX(tBatches[[Batch ID]],533)&amp;"","")</f>
        <v/>
      </c>
    </row>
    <row r="536">
      <c r="C536">
        <f>IFERROR(INDEX(tBatches[[Batch ID]],534)&amp;"","")</f>
        <v/>
      </c>
    </row>
    <row r="537">
      <c r="C537">
        <f>IFERROR(INDEX(tBatches[[Batch ID]],535)&amp;"","")</f>
        <v/>
      </c>
    </row>
    <row r="538">
      <c r="C538">
        <f>IFERROR(INDEX(tBatches[[Batch ID]],536)&amp;"","")</f>
        <v/>
      </c>
    </row>
    <row r="539">
      <c r="C539">
        <f>IFERROR(INDEX(tBatches[[Batch ID]],537)&amp;"","")</f>
        <v/>
      </c>
    </row>
    <row r="540">
      <c r="C540">
        <f>IFERROR(INDEX(tBatches[[Batch ID]],538)&amp;"","")</f>
        <v/>
      </c>
    </row>
    <row r="541">
      <c r="C541">
        <f>IFERROR(INDEX(tBatches[[Batch ID]],539)&amp;"","")</f>
        <v/>
      </c>
    </row>
    <row r="542">
      <c r="C542">
        <f>IFERROR(INDEX(tBatches[[Batch ID]],540)&amp;"","")</f>
        <v/>
      </c>
    </row>
    <row r="543">
      <c r="C543">
        <f>IFERROR(INDEX(tBatches[[Batch ID]],541)&amp;"","")</f>
        <v/>
      </c>
    </row>
    <row r="544">
      <c r="C544">
        <f>IFERROR(INDEX(tBatches[[Batch ID]],542)&amp;"","")</f>
        <v/>
      </c>
    </row>
    <row r="545">
      <c r="C545">
        <f>IFERROR(INDEX(tBatches[[Batch ID]],543)&amp;"","")</f>
        <v/>
      </c>
    </row>
    <row r="546">
      <c r="C546">
        <f>IFERROR(INDEX(tBatches[[Batch ID]],544)&amp;"","")</f>
        <v/>
      </c>
    </row>
    <row r="547">
      <c r="C547">
        <f>IFERROR(INDEX(tBatches[[Batch ID]],545)&amp;"","")</f>
        <v/>
      </c>
    </row>
    <row r="548">
      <c r="C548">
        <f>IFERROR(INDEX(tBatches[[Batch ID]],546)&amp;"","")</f>
        <v/>
      </c>
    </row>
    <row r="549">
      <c r="C549">
        <f>IFERROR(INDEX(tBatches[[Batch ID]],547)&amp;"","")</f>
        <v/>
      </c>
    </row>
    <row r="550">
      <c r="C550">
        <f>IFERROR(INDEX(tBatches[[Batch ID]],548)&amp;"","")</f>
        <v/>
      </c>
    </row>
    <row r="551">
      <c r="C551">
        <f>IFERROR(INDEX(tBatches[[Batch ID]],549)&amp;"","")</f>
        <v/>
      </c>
    </row>
    <row r="552">
      <c r="C552">
        <f>IFERROR(INDEX(tBatches[[Batch ID]],550)&amp;"","")</f>
        <v/>
      </c>
    </row>
    <row r="553">
      <c r="C553">
        <f>IFERROR(INDEX(tBatches[[Batch ID]],551)&amp;"","")</f>
        <v/>
      </c>
    </row>
    <row r="554">
      <c r="C554">
        <f>IFERROR(INDEX(tBatches[[Batch ID]],552)&amp;"","")</f>
        <v/>
      </c>
    </row>
    <row r="555">
      <c r="C555">
        <f>IFERROR(INDEX(tBatches[[Batch ID]],553)&amp;"","")</f>
        <v/>
      </c>
    </row>
    <row r="556">
      <c r="C556">
        <f>IFERROR(INDEX(tBatches[[Batch ID]],554)&amp;"","")</f>
        <v/>
      </c>
    </row>
    <row r="557">
      <c r="C557">
        <f>IFERROR(INDEX(tBatches[[Batch ID]],555)&amp;"","")</f>
        <v/>
      </c>
    </row>
    <row r="558">
      <c r="C558">
        <f>IFERROR(INDEX(tBatches[[Batch ID]],556)&amp;"","")</f>
        <v/>
      </c>
    </row>
    <row r="559">
      <c r="C559">
        <f>IFERROR(INDEX(tBatches[[Batch ID]],557)&amp;"","")</f>
        <v/>
      </c>
    </row>
    <row r="560">
      <c r="C560">
        <f>IFERROR(INDEX(tBatches[[Batch ID]],558)&amp;"","")</f>
        <v/>
      </c>
    </row>
    <row r="561">
      <c r="C561">
        <f>IFERROR(INDEX(tBatches[[Batch ID]],559)&amp;"","")</f>
        <v/>
      </c>
    </row>
    <row r="562">
      <c r="C562">
        <f>IFERROR(INDEX(tBatches[[Batch ID]],560)&amp;"","")</f>
        <v/>
      </c>
    </row>
    <row r="563">
      <c r="C563">
        <f>IFERROR(INDEX(tBatches[[Batch ID]],561)&amp;"","")</f>
        <v/>
      </c>
    </row>
    <row r="564">
      <c r="C564">
        <f>IFERROR(INDEX(tBatches[[Batch ID]],562)&amp;"","")</f>
        <v/>
      </c>
    </row>
    <row r="565">
      <c r="C565">
        <f>IFERROR(INDEX(tBatches[[Batch ID]],563)&amp;"","")</f>
        <v/>
      </c>
    </row>
    <row r="566">
      <c r="C566">
        <f>IFERROR(INDEX(tBatches[[Batch ID]],564)&amp;"","")</f>
        <v/>
      </c>
    </row>
    <row r="567">
      <c r="C567">
        <f>IFERROR(INDEX(tBatches[[Batch ID]],565)&amp;"","")</f>
        <v/>
      </c>
    </row>
    <row r="568">
      <c r="C568">
        <f>IFERROR(INDEX(tBatches[[Batch ID]],566)&amp;"","")</f>
        <v/>
      </c>
    </row>
    <row r="569">
      <c r="C569">
        <f>IFERROR(INDEX(tBatches[[Batch ID]],567)&amp;"","")</f>
        <v/>
      </c>
    </row>
    <row r="570">
      <c r="C570">
        <f>IFERROR(INDEX(tBatches[[Batch ID]],568)&amp;"","")</f>
        <v/>
      </c>
    </row>
    <row r="571">
      <c r="C571">
        <f>IFERROR(INDEX(tBatches[[Batch ID]],569)&amp;"","")</f>
        <v/>
      </c>
    </row>
    <row r="572">
      <c r="C572">
        <f>IFERROR(INDEX(tBatches[[Batch ID]],570)&amp;"","")</f>
        <v/>
      </c>
    </row>
    <row r="573">
      <c r="C573">
        <f>IFERROR(INDEX(tBatches[[Batch ID]],571)&amp;"","")</f>
        <v/>
      </c>
    </row>
    <row r="574">
      <c r="C574">
        <f>IFERROR(INDEX(tBatches[[Batch ID]],572)&amp;"","")</f>
        <v/>
      </c>
    </row>
    <row r="575">
      <c r="C575">
        <f>IFERROR(INDEX(tBatches[[Batch ID]],573)&amp;"","")</f>
        <v/>
      </c>
    </row>
    <row r="576">
      <c r="C576">
        <f>IFERROR(INDEX(tBatches[[Batch ID]],574)&amp;"","")</f>
        <v/>
      </c>
    </row>
    <row r="577">
      <c r="C577">
        <f>IFERROR(INDEX(tBatches[[Batch ID]],575)&amp;"","")</f>
        <v/>
      </c>
    </row>
    <row r="578">
      <c r="C578">
        <f>IFERROR(INDEX(tBatches[[Batch ID]],576)&amp;"","")</f>
        <v/>
      </c>
    </row>
    <row r="579">
      <c r="C579">
        <f>IFERROR(INDEX(tBatches[[Batch ID]],577)&amp;"","")</f>
        <v/>
      </c>
    </row>
    <row r="580">
      <c r="C580">
        <f>IFERROR(INDEX(tBatches[[Batch ID]],578)&amp;"","")</f>
        <v/>
      </c>
    </row>
    <row r="581">
      <c r="C581">
        <f>IFERROR(INDEX(tBatches[[Batch ID]],579)&amp;"","")</f>
        <v/>
      </c>
    </row>
    <row r="582">
      <c r="C582">
        <f>IFERROR(INDEX(tBatches[[Batch ID]],580)&amp;"","")</f>
        <v/>
      </c>
    </row>
    <row r="583">
      <c r="C583">
        <f>IFERROR(INDEX(tBatches[[Batch ID]],581)&amp;"","")</f>
        <v/>
      </c>
    </row>
    <row r="584">
      <c r="C584">
        <f>IFERROR(INDEX(tBatches[[Batch ID]],582)&amp;"","")</f>
        <v/>
      </c>
    </row>
    <row r="585">
      <c r="C585">
        <f>IFERROR(INDEX(tBatches[[Batch ID]],583)&amp;"","")</f>
        <v/>
      </c>
    </row>
    <row r="586">
      <c r="C586">
        <f>IFERROR(INDEX(tBatches[[Batch ID]],584)&amp;"","")</f>
        <v/>
      </c>
    </row>
    <row r="587">
      <c r="C587">
        <f>IFERROR(INDEX(tBatches[[Batch ID]],585)&amp;"","")</f>
        <v/>
      </c>
    </row>
    <row r="588">
      <c r="C588">
        <f>IFERROR(INDEX(tBatches[[Batch ID]],586)&amp;"","")</f>
        <v/>
      </c>
    </row>
    <row r="589">
      <c r="C589">
        <f>IFERROR(INDEX(tBatches[[Batch ID]],587)&amp;"","")</f>
        <v/>
      </c>
    </row>
    <row r="590">
      <c r="C590">
        <f>IFERROR(INDEX(tBatches[[Batch ID]],588)&amp;"","")</f>
        <v/>
      </c>
    </row>
    <row r="591">
      <c r="C591">
        <f>IFERROR(INDEX(tBatches[[Batch ID]],589)&amp;"","")</f>
        <v/>
      </c>
    </row>
    <row r="592">
      <c r="C592">
        <f>IFERROR(INDEX(tBatches[[Batch ID]],590)&amp;"","")</f>
        <v/>
      </c>
    </row>
    <row r="593">
      <c r="C593">
        <f>IFERROR(INDEX(tBatches[[Batch ID]],591)&amp;"","")</f>
        <v/>
      </c>
    </row>
    <row r="594">
      <c r="C594">
        <f>IFERROR(INDEX(tBatches[[Batch ID]],592)&amp;"","")</f>
        <v/>
      </c>
    </row>
    <row r="595">
      <c r="C595">
        <f>IFERROR(INDEX(tBatches[[Batch ID]],593)&amp;"","")</f>
        <v/>
      </c>
    </row>
    <row r="596">
      <c r="C596">
        <f>IFERROR(INDEX(tBatches[[Batch ID]],594)&amp;"","")</f>
        <v/>
      </c>
    </row>
    <row r="597">
      <c r="C597">
        <f>IFERROR(INDEX(tBatches[[Batch ID]],595)&amp;"","")</f>
        <v/>
      </c>
    </row>
    <row r="598">
      <c r="C598">
        <f>IFERROR(INDEX(tBatches[[Batch ID]],596)&amp;"","")</f>
        <v/>
      </c>
    </row>
    <row r="599">
      <c r="C599">
        <f>IFERROR(INDEX(tBatches[[Batch ID]],597)&amp;"","")</f>
        <v/>
      </c>
    </row>
    <row r="600">
      <c r="C600">
        <f>IFERROR(INDEX(tBatches[[Batch ID]],598)&amp;"","")</f>
        <v/>
      </c>
    </row>
    <row r="601">
      <c r="C601">
        <f>IFERROR(INDEX(tBatches[[Batch ID]],599)&amp;"","")</f>
        <v/>
      </c>
    </row>
    <row r="602">
      <c r="C602">
        <f>IFERROR(INDEX(tBatches[[Batch ID]],600)&amp;"","")</f>
        <v/>
      </c>
    </row>
    <row r="603">
      <c r="C603">
        <f>IFERROR(INDEX(tBatches[[Batch ID]],601)&amp;"","")</f>
        <v/>
      </c>
    </row>
    <row r="604">
      <c r="C604">
        <f>IFERROR(INDEX(tBatches[[Batch ID]],602)&amp;"","")</f>
        <v/>
      </c>
    </row>
    <row r="605">
      <c r="C605">
        <f>IFERROR(INDEX(tBatches[[Batch ID]],603)&amp;"","")</f>
        <v/>
      </c>
    </row>
    <row r="606">
      <c r="C606">
        <f>IFERROR(INDEX(tBatches[[Batch ID]],604)&amp;"","")</f>
        <v/>
      </c>
    </row>
    <row r="607">
      <c r="C607">
        <f>IFERROR(INDEX(tBatches[[Batch ID]],605)&amp;"","")</f>
        <v/>
      </c>
    </row>
    <row r="608">
      <c r="C608">
        <f>IFERROR(INDEX(tBatches[[Batch ID]],606)&amp;"","")</f>
        <v/>
      </c>
    </row>
    <row r="609">
      <c r="C609">
        <f>IFERROR(INDEX(tBatches[[Batch ID]],607)&amp;"","")</f>
        <v/>
      </c>
    </row>
    <row r="610">
      <c r="C610">
        <f>IFERROR(INDEX(tBatches[[Batch ID]],608)&amp;"","")</f>
        <v/>
      </c>
    </row>
    <row r="611">
      <c r="C611">
        <f>IFERROR(INDEX(tBatches[[Batch ID]],609)&amp;"","")</f>
        <v/>
      </c>
    </row>
    <row r="612">
      <c r="C612">
        <f>IFERROR(INDEX(tBatches[[Batch ID]],610)&amp;"","")</f>
        <v/>
      </c>
    </row>
    <row r="613">
      <c r="C613">
        <f>IFERROR(INDEX(tBatches[[Batch ID]],611)&amp;"","")</f>
        <v/>
      </c>
    </row>
    <row r="614">
      <c r="C614">
        <f>IFERROR(INDEX(tBatches[[Batch ID]],612)&amp;"","")</f>
        <v/>
      </c>
    </row>
    <row r="615">
      <c r="C615">
        <f>IFERROR(INDEX(tBatches[[Batch ID]],613)&amp;"","")</f>
        <v/>
      </c>
    </row>
    <row r="616">
      <c r="C616">
        <f>IFERROR(INDEX(tBatches[[Batch ID]],614)&amp;"","")</f>
        <v/>
      </c>
    </row>
    <row r="617">
      <c r="C617">
        <f>IFERROR(INDEX(tBatches[[Batch ID]],615)&amp;"","")</f>
        <v/>
      </c>
    </row>
    <row r="618">
      <c r="C618">
        <f>IFERROR(INDEX(tBatches[[Batch ID]],616)&amp;"","")</f>
        <v/>
      </c>
    </row>
    <row r="619">
      <c r="C619">
        <f>IFERROR(INDEX(tBatches[[Batch ID]],617)&amp;"","")</f>
        <v/>
      </c>
    </row>
    <row r="620">
      <c r="C620">
        <f>IFERROR(INDEX(tBatches[[Batch ID]],618)&amp;"","")</f>
        <v/>
      </c>
    </row>
    <row r="621">
      <c r="C621">
        <f>IFERROR(INDEX(tBatches[[Batch ID]],619)&amp;"","")</f>
        <v/>
      </c>
    </row>
    <row r="622">
      <c r="C622">
        <f>IFERROR(INDEX(tBatches[[Batch ID]],620)&amp;"","")</f>
        <v/>
      </c>
    </row>
    <row r="623">
      <c r="C623">
        <f>IFERROR(INDEX(tBatches[[Batch ID]],621)&amp;"","")</f>
        <v/>
      </c>
    </row>
    <row r="624">
      <c r="C624">
        <f>IFERROR(INDEX(tBatches[[Batch ID]],622)&amp;"","")</f>
        <v/>
      </c>
    </row>
    <row r="625">
      <c r="C625">
        <f>IFERROR(INDEX(tBatches[[Batch ID]],623)&amp;"","")</f>
        <v/>
      </c>
    </row>
    <row r="626">
      <c r="C626">
        <f>IFERROR(INDEX(tBatches[[Batch ID]],624)&amp;"","")</f>
        <v/>
      </c>
    </row>
    <row r="627">
      <c r="C627">
        <f>IFERROR(INDEX(tBatches[[Batch ID]],625)&amp;"","")</f>
        <v/>
      </c>
    </row>
    <row r="628">
      <c r="C628">
        <f>IFERROR(INDEX(tBatches[[Batch ID]],626)&amp;"","")</f>
        <v/>
      </c>
    </row>
    <row r="629">
      <c r="C629">
        <f>IFERROR(INDEX(tBatches[[Batch ID]],627)&amp;"","")</f>
        <v/>
      </c>
    </row>
    <row r="630">
      <c r="C630">
        <f>IFERROR(INDEX(tBatches[[Batch ID]],628)&amp;"","")</f>
        <v/>
      </c>
    </row>
    <row r="631">
      <c r="C631">
        <f>IFERROR(INDEX(tBatches[[Batch ID]],629)&amp;"","")</f>
        <v/>
      </c>
    </row>
    <row r="632">
      <c r="C632">
        <f>IFERROR(INDEX(tBatches[[Batch ID]],630)&amp;"","")</f>
        <v/>
      </c>
    </row>
    <row r="633">
      <c r="C633">
        <f>IFERROR(INDEX(tBatches[[Batch ID]],631)&amp;"","")</f>
        <v/>
      </c>
    </row>
    <row r="634">
      <c r="C634">
        <f>IFERROR(INDEX(tBatches[[Batch ID]],632)&amp;"","")</f>
        <v/>
      </c>
    </row>
    <row r="635">
      <c r="C635">
        <f>IFERROR(INDEX(tBatches[[Batch ID]],633)&amp;"","")</f>
        <v/>
      </c>
    </row>
    <row r="636">
      <c r="C636">
        <f>IFERROR(INDEX(tBatches[[Batch ID]],634)&amp;"","")</f>
        <v/>
      </c>
    </row>
    <row r="637">
      <c r="C637">
        <f>IFERROR(INDEX(tBatches[[Batch ID]],635)&amp;"","")</f>
        <v/>
      </c>
    </row>
    <row r="638">
      <c r="C638">
        <f>IFERROR(INDEX(tBatches[[Batch ID]],636)&amp;"","")</f>
        <v/>
      </c>
    </row>
    <row r="639">
      <c r="C639">
        <f>IFERROR(INDEX(tBatches[[Batch ID]],637)&amp;"","")</f>
        <v/>
      </c>
    </row>
    <row r="640">
      <c r="C640">
        <f>IFERROR(INDEX(tBatches[[Batch ID]],638)&amp;"","")</f>
        <v/>
      </c>
    </row>
    <row r="641">
      <c r="C641">
        <f>IFERROR(INDEX(tBatches[[Batch ID]],639)&amp;"","")</f>
        <v/>
      </c>
    </row>
    <row r="642">
      <c r="C642">
        <f>IFERROR(INDEX(tBatches[[Batch ID]],640)&amp;"","")</f>
        <v/>
      </c>
    </row>
    <row r="643">
      <c r="C643">
        <f>IFERROR(INDEX(tBatches[[Batch ID]],641)&amp;"","")</f>
        <v/>
      </c>
    </row>
    <row r="644">
      <c r="C644">
        <f>IFERROR(INDEX(tBatches[[Batch ID]],642)&amp;"","")</f>
        <v/>
      </c>
    </row>
    <row r="645">
      <c r="C645">
        <f>IFERROR(INDEX(tBatches[[Batch ID]],643)&amp;"","")</f>
        <v/>
      </c>
    </row>
    <row r="646">
      <c r="C646">
        <f>IFERROR(INDEX(tBatches[[Batch ID]],644)&amp;"","")</f>
        <v/>
      </c>
    </row>
    <row r="647">
      <c r="C647">
        <f>IFERROR(INDEX(tBatches[[Batch ID]],645)&amp;"","")</f>
        <v/>
      </c>
    </row>
    <row r="648">
      <c r="C648">
        <f>IFERROR(INDEX(tBatches[[Batch ID]],646)&amp;"","")</f>
        <v/>
      </c>
    </row>
    <row r="649">
      <c r="C649">
        <f>IFERROR(INDEX(tBatches[[Batch ID]],647)&amp;"","")</f>
        <v/>
      </c>
    </row>
    <row r="650">
      <c r="C650">
        <f>IFERROR(INDEX(tBatches[[Batch ID]],648)&amp;"","")</f>
        <v/>
      </c>
    </row>
    <row r="651">
      <c r="C651">
        <f>IFERROR(INDEX(tBatches[[Batch ID]],649)&amp;"","")</f>
        <v/>
      </c>
    </row>
    <row r="652">
      <c r="C652">
        <f>IFERROR(INDEX(tBatches[[Batch ID]],650)&amp;"","")</f>
        <v/>
      </c>
    </row>
    <row r="653">
      <c r="C653">
        <f>IFERROR(INDEX(tBatches[[Batch ID]],651)&amp;"","")</f>
        <v/>
      </c>
    </row>
    <row r="654">
      <c r="C654">
        <f>IFERROR(INDEX(tBatches[[Batch ID]],652)&amp;"","")</f>
        <v/>
      </c>
    </row>
    <row r="655">
      <c r="C655">
        <f>IFERROR(INDEX(tBatches[[Batch ID]],653)&amp;"","")</f>
        <v/>
      </c>
    </row>
    <row r="656">
      <c r="C656">
        <f>IFERROR(INDEX(tBatches[[Batch ID]],654)&amp;"","")</f>
        <v/>
      </c>
    </row>
    <row r="657">
      <c r="C657">
        <f>IFERROR(INDEX(tBatches[[Batch ID]],655)&amp;"","")</f>
        <v/>
      </c>
    </row>
    <row r="658">
      <c r="C658">
        <f>IFERROR(INDEX(tBatches[[Batch ID]],656)&amp;"","")</f>
        <v/>
      </c>
    </row>
    <row r="659">
      <c r="C659">
        <f>IFERROR(INDEX(tBatches[[Batch ID]],657)&amp;"","")</f>
        <v/>
      </c>
    </row>
    <row r="660">
      <c r="C660">
        <f>IFERROR(INDEX(tBatches[[Batch ID]],658)&amp;"","")</f>
        <v/>
      </c>
    </row>
    <row r="661">
      <c r="C661">
        <f>IFERROR(INDEX(tBatches[[Batch ID]],659)&amp;"","")</f>
        <v/>
      </c>
    </row>
    <row r="662">
      <c r="C662">
        <f>IFERROR(INDEX(tBatches[[Batch ID]],660)&amp;"","")</f>
        <v/>
      </c>
    </row>
    <row r="663">
      <c r="C663">
        <f>IFERROR(INDEX(tBatches[[Batch ID]],661)&amp;"","")</f>
        <v/>
      </c>
    </row>
    <row r="664">
      <c r="C664">
        <f>IFERROR(INDEX(tBatches[[Batch ID]],662)&amp;"","")</f>
        <v/>
      </c>
    </row>
    <row r="665">
      <c r="C665">
        <f>IFERROR(INDEX(tBatches[[Batch ID]],663)&amp;"","")</f>
        <v/>
      </c>
    </row>
    <row r="666">
      <c r="C666">
        <f>IFERROR(INDEX(tBatches[[Batch ID]],664)&amp;"","")</f>
        <v/>
      </c>
    </row>
    <row r="667">
      <c r="C667">
        <f>IFERROR(INDEX(tBatches[[Batch ID]],665)&amp;"","")</f>
        <v/>
      </c>
    </row>
    <row r="668">
      <c r="C668">
        <f>IFERROR(INDEX(tBatches[[Batch ID]],666)&amp;"","")</f>
        <v/>
      </c>
    </row>
    <row r="669">
      <c r="C669">
        <f>IFERROR(INDEX(tBatches[[Batch ID]],667)&amp;"","")</f>
        <v/>
      </c>
    </row>
    <row r="670">
      <c r="C670">
        <f>IFERROR(INDEX(tBatches[[Batch ID]],668)&amp;"","")</f>
        <v/>
      </c>
    </row>
    <row r="671">
      <c r="C671">
        <f>IFERROR(INDEX(tBatches[[Batch ID]],669)&amp;"","")</f>
        <v/>
      </c>
    </row>
    <row r="672">
      <c r="C672">
        <f>IFERROR(INDEX(tBatches[[Batch ID]],670)&amp;"","")</f>
        <v/>
      </c>
    </row>
    <row r="673">
      <c r="C673">
        <f>IFERROR(INDEX(tBatches[[Batch ID]],671)&amp;"","")</f>
        <v/>
      </c>
    </row>
    <row r="674">
      <c r="C674">
        <f>IFERROR(INDEX(tBatches[[Batch ID]],672)&amp;"","")</f>
        <v/>
      </c>
    </row>
    <row r="675">
      <c r="C675">
        <f>IFERROR(INDEX(tBatches[[Batch ID]],673)&amp;"","")</f>
        <v/>
      </c>
    </row>
    <row r="676">
      <c r="C676">
        <f>IFERROR(INDEX(tBatches[[Batch ID]],674)&amp;"","")</f>
        <v/>
      </c>
    </row>
    <row r="677">
      <c r="C677">
        <f>IFERROR(INDEX(tBatches[[Batch ID]],675)&amp;"","")</f>
        <v/>
      </c>
    </row>
    <row r="678">
      <c r="C678">
        <f>IFERROR(INDEX(tBatches[[Batch ID]],676)&amp;"","")</f>
        <v/>
      </c>
    </row>
    <row r="679">
      <c r="C679">
        <f>IFERROR(INDEX(tBatches[[Batch ID]],677)&amp;"","")</f>
        <v/>
      </c>
    </row>
    <row r="680">
      <c r="C680">
        <f>IFERROR(INDEX(tBatches[[Batch ID]],678)&amp;"","")</f>
        <v/>
      </c>
    </row>
    <row r="681">
      <c r="C681">
        <f>IFERROR(INDEX(tBatches[[Batch ID]],679)&amp;"","")</f>
        <v/>
      </c>
    </row>
    <row r="682">
      <c r="C682">
        <f>IFERROR(INDEX(tBatches[[Batch ID]],680)&amp;"","")</f>
        <v/>
      </c>
    </row>
    <row r="683">
      <c r="C683">
        <f>IFERROR(INDEX(tBatches[[Batch ID]],681)&amp;"","")</f>
        <v/>
      </c>
    </row>
    <row r="684">
      <c r="C684">
        <f>IFERROR(INDEX(tBatches[[Batch ID]],682)&amp;"","")</f>
        <v/>
      </c>
    </row>
    <row r="685">
      <c r="C685">
        <f>IFERROR(INDEX(tBatches[[Batch ID]],683)&amp;"","")</f>
        <v/>
      </c>
    </row>
    <row r="686">
      <c r="C686">
        <f>IFERROR(INDEX(tBatches[[Batch ID]],684)&amp;"","")</f>
        <v/>
      </c>
    </row>
    <row r="687">
      <c r="C687">
        <f>IFERROR(INDEX(tBatches[[Batch ID]],685)&amp;"","")</f>
        <v/>
      </c>
    </row>
    <row r="688">
      <c r="C688">
        <f>IFERROR(INDEX(tBatches[[Batch ID]],686)&amp;"","")</f>
        <v/>
      </c>
    </row>
    <row r="689">
      <c r="C689">
        <f>IFERROR(INDEX(tBatches[[Batch ID]],687)&amp;"","")</f>
        <v/>
      </c>
    </row>
    <row r="690">
      <c r="C690">
        <f>IFERROR(INDEX(tBatches[[Batch ID]],688)&amp;"","")</f>
        <v/>
      </c>
    </row>
    <row r="691">
      <c r="C691">
        <f>IFERROR(INDEX(tBatches[[Batch ID]],689)&amp;"","")</f>
        <v/>
      </c>
    </row>
    <row r="692">
      <c r="C692">
        <f>IFERROR(INDEX(tBatches[[Batch ID]],690)&amp;"","")</f>
        <v/>
      </c>
    </row>
    <row r="693">
      <c r="C693">
        <f>IFERROR(INDEX(tBatches[[Batch ID]],691)&amp;"","")</f>
        <v/>
      </c>
    </row>
    <row r="694">
      <c r="C694">
        <f>IFERROR(INDEX(tBatches[[Batch ID]],692)&amp;"","")</f>
        <v/>
      </c>
    </row>
    <row r="695">
      <c r="C695">
        <f>IFERROR(INDEX(tBatches[[Batch ID]],693)&amp;"","")</f>
        <v/>
      </c>
    </row>
    <row r="696">
      <c r="C696">
        <f>IFERROR(INDEX(tBatches[[Batch ID]],694)&amp;"","")</f>
        <v/>
      </c>
    </row>
    <row r="697">
      <c r="C697">
        <f>IFERROR(INDEX(tBatches[[Batch ID]],695)&amp;"","")</f>
        <v/>
      </c>
    </row>
    <row r="698">
      <c r="C698">
        <f>IFERROR(INDEX(tBatches[[Batch ID]],696)&amp;"","")</f>
        <v/>
      </c>
    </row>
    <row r="699">
      <c r="C699">
        <f>IFERROR(INDEX(tBatches[[Batch ID]],697)&amp;"","")</f>
        <v/>
      </c>
    </row>
    <row r="700">
      <c r="C700">
        <f>IFERROR(INDEX(tBatches[[Batch ID]],698)&amp;"","")</f>
        <v/>
      </c>
    </row>
    <row r="701">
      <c r="C701">
        <f>IFERROR(INDEX(tBatches[[Batch ID]],699)&amp;"","")</f>
        <v/>
      </c>
    </row>
    <row r="702">
      <c r="C702">
        <f>IFERROR(INDEX(tBatches[[Batch ID]],700)&amp;"","")</f>
        <v/>
      </c>
    </row>
    <row r="703">
      <c r="C703">
        <f>IFERROR(INDEX(tBatches[[Batch ID]],701)&amp;"","")</f>
        <v/>
      </c>
    </row>
    <row r="704">
      <c r="C704">
        <f>IFERROR(INDEX(tBatches[[Batch ID]],702)&amp;"","")</f>
        <v/>
      </c>
    </row>
    <row r="705">
      <c r="C705">
        <f>IFERROR(INDEX(tBatches[[Batch ID]],703)&amp;"","")</f>
        <v/>
      </c>
    </row>
    <row r="706">
      <c r="C706">
        <f>IFERROR(INDEX(tBatches[[Batch ID]],704)&amp;"","")</f>
        <v/>
      </c>
    </row>
    <row r="707">
      <c r="C707">
        <f>IFERROR(INDEX(tBatches[[Batch ID]],705)&amp;"","")</f>
        <v/>
      </c>
    </row>
    <row r="708">
      <c r="C708">
        <f>IFERROR(INDEX(tBatches[[Batch ID]],706)&amp;"","")</f>
        <v/>
      </c>
    </row>
    <row r="709">
      <c r="C709">
        <f>IFERROR(INDEX(tBatches[[Batch ID]],707)&amp;"","")</f>
        <v/>
      </c>
    </row>
    <row r="710">
      <c r="C710">
        <f>IFERROR(INDEX(tBatches[[Batch ID]],708)&amp;"","")</f>
        <v/>
      </c>
    </row>
    <row r="711">
      <c r="C711">
        <f>IFERROR(INDEX(tBatches[[Batch ID]],709)&amp;"","")</f>
        <v/>
      </c>
    </row>
    <row r="712">
      <c r="C712">
        <f>IFERROR(INDEX(tBatches[[Batch ID]],710)&amp;"","")</f>
        <v/>
      </c>
    </row>
    <row r="713">
      <c r="C713">
        <f>IFERROR(INDEX(tBatches[[Batch ID]],711)&amp;"","")</f>
        <v/>
      </c>
    </row>
    <row r="714">
      <c r="C714">
        <f>IFERROR(INDEX(tBatches[[Batch ID]],712)&amp;"","")</f>
        <v/>
      </c>
    </row>
    <row r="715">
      <c r="C715">
        <f>IFERROR(INDEX(tBatches[[Batch ID]],713)&amp;"","")</f>
        <v/>
      </c>
    </row>
    <row r="716">
      <c r="C716">
        <f>IFERROR(INDEX(tBatches[[Batch ID]],714)&amp;"","")</f>
        <v/>
      </c>
    </row>
    <row r="717">
      <c r="C717">
        <f>IFERROR(INDEX(tBatches[[Batch ID]],715)&amp;"","")</f>
        <v/>
      </c>
    </row>
    <row r="718">
      <c r="C718">
        <f>IFERROR(INDEX(tBatches[[Batch ID]],716)&amp;"","")</f>
        <v/>
      </c>
    </row>
    <row r="719">
      <c r="C719">
        <f>IFERROR(INDEX(tBatches[[Batch ID]],717)&amp;"","")</f>
        <v/>
      </c>
    </row>
    <row r="720">
      <c r="C720">
        <f>IFERROR(INDEX(tBatches[[Batch ID]],718)&amp;"","")</f>
        <v/>
      </c>
    </row>
    <row r="721">
      <c r="C721">
        <f>IFERROR(INDEX(tBatches[[Batch ID]],719)&amp;"","")</f>
        <v/>
      </c>
    </row>
    <row r="722">
      <c r="C722">
        <f>IFERROR(INDEX(tBatches[[Batch ID]],720)&amp;"","")</f>
        <v/>
      </c>
    </row>
    <row r="723">
      <c r="C723">
        <f>IFERROR(INDEX(tBatches[[Batch ID]],721)&amp;"","")</f>
        <v/>
      </c>
    </row>
    <row r="724">
      <c r="C724">
        <f>IFERROR(INDEX(tBatches[[Batch ID]],722)&amp;"","")</f>
        <v/>
      </c>
    </row>
    <row r="725">
      <c r="C725">
        <f>IFERROR(INDEX(tBatches[[Batch ID]],723)&amp;"","")</f>
        <v/>
      </c>
    </row>
    <row r="726">
      <c r="C726">
        <f>IFERROR(INDEX(tBatches[[Batch ID]],724)&amp;"","")</f>
        <v/>
      </c>
    </row>
    <row r="727">
      <c r="C727">
        <f>IFERROR(INDEX(tBatches[[Batch ID]],725)&amp;"","")</f>
        <v/>
      </c>
    </row>
    <row r="728">
      <c r="C728">
        <f>IFERROR(INDEX(tBatches[[Batch ID]],726)&amp;"","")</f>
        <v/>
      </c>
    </row>
    <row r="729">
      <c r="C729">
        <f>IFERROR(INDEX(tBatches[[Batch ID]],727)&amp;"","")</f>
        <v/>
      </c>
    </row>
    <row r="730">
      <c r="C730">
        <f>IFERROR(INDEX(tBatches[[Batch ID]],728)&amp;"","")</f>
        <v/>
      </c>
    </row>
    <row r="731">
      <c r="C731">
        <f>IFERROR(INDEX(tBatches[[Batch ID]],729)&amp;"","")</f>
        <v/>
      </c>
    </row>
    <row r="732">
      <c r="C732">
        <f>IFERROR(INDEX(tBatches[[Batch ID]],730)&amp;"","")</f>
        <v/>
      </c>
    </row>
    <row r="733">
      <c r="C733">
        <f>IFERROR(INDEX(tBatches[[Batch ID]],731)&amp;"","")</f>
        <v/>
      </c>
    </row>
    <row r="734">
      <c r="C734">
        <f>IFERROR(INDEX(tBatches[[Batch ID]],732)&amp;"","")</f>
        <v/>
      </c>
    </row>
    <row r="735">
      <c r="C735">
        <f>IFERROR(INDEX(tBatches[[Batch ID]],733)&amp;"","")</f>
        <v/>
      </c>
    </row>
    <row r="736">
      <c r="C736">
        <f>IFERROR(INDEX(tBatches[[Batch ID]],734)&amp;"","")</f>
        <v/>
      </c>
    </row>
    <row r="737">
      <c r="C737">
        <f>IFERROR(INDEX(tBatches[[Batch ID]],735)&amp;"","")</f>
        <v/>
      </c>
    </row>
    <row r="738">
      <c r="C738">
        <f>IFERROR(INDEX(tBatches[[Batch ID]],736)&amp;"","")</f>
        <v/>
      </c>
    </row>
    <row r="739">
      <c r="C739">
        <f>IFERROR(INDEX(tBatches[[Batch ID]],737)&amp;"","")</f>
        <v/>
      </c>
    </row>
    <row r="740">
      <c r="C740">
        <f>IFERROR(INDEX(tBatches[[Batch ID]],738)&amp;"","")</f>
        <v/>
      </c>
    </row>
    <row r="741">
      <c r="C741">
        <f>IFERROR(INDEX(tBatches[[Batch ID]],739)&amp;"","")</f>
        <v/>
      </c>
    </row>
    <row r="742">
      <c r="C742">
        <f>IFERROR(INDEX(tBatches[[Batch ID]],740)&amp;"","")</f>
        <v/>
      </c>
    </row>
    <row r="743">
      <c r="C743">
        <f>IFERROR(INDEX(tBatches[[Batch ID]],741)&amp;"","")</f>
        <v/>
      </c>
    </row>
    <row r="744">
      <c r="C744">
        <f>IFERROR(INDEX(tBatches[[Batch ID]],742)&amp;"","")</f>
        <v/>
      </c>
    </row>
    <row r="745">
      <c r="C745">
        <f>IFERROR(INDEX(tBatches[[Batch ID]],743)&amp;"","")</f>
        <v/>
      </c>
    </row>
    <row r="746">
      <c r="C746">
        <f>IFERROR(INDEX(tBatches[[Batch ID]],744)&amp;"","")</f>
        <v/>
      </c>
    </row>
    <row r="747">
      <c r="C747">
        <f>IFERROR(INDEX(tBatches[[Batch ID]],745)&amp;"","")</f>
        <v/>
      </c>
    </row>
    <row r="748">
      <c r="C748">
        <f>IFERROR(INDEX(tBatches[[Batch ID]],746)&amp;"","")</f>
        <v/>
      </c>
    </row>
    <row r="749">
      <c r="C749">
        <f>IFERROR(INDEX(tBatches[[Batch ID]],747)&amp;"","")</f>
        <v/>
      </c>
    </row>
    <row r="750">
      <c r="C750">
        <f>IFERROR(INDEX(tBatches[[Batch ID]],748)&amp;"","")</f>
        <v/>
      </c>
    </row>
    <row r="751">
      <c r="C751">
        <f>IFERROR(INDEX(tBatches[[Batch ID]],749)&amp;"","")</f>
        <v/>
      </c>
    </row>
    <row r="752">
      <c r="C752">
        <f>IFERROR(INDEX(tBatches[[Batch ID]],750)&amp;"","")</f>
        <v/>
      </c>
    </row>
    <row r="753">
      <c r="C753">
        <f>IFERROR(INDEX(tBatches[[Batch ID]],751)&amp;"","")</f>
        <v/>
      </c>
    </row>
    <row r="754">
      <c r="C754">
        <f>IFERROR(INDEX(tBatches[[Batch ID]],752)&amp;"","")</f>
        <v/>
      </c>
    </row>
    <row r="755">
      <c r="C755">
        <f>IFERROR(INDEX(tBatches[[Batch ID]],753)&amp;"","")</f>
        <v/>
      </c>
    </row>
    <row r="756">
      <c r="C756">
        <f>IFERROR(INDEX(tBatches[[Batch ID]],754)&amp;"","")</f>
        <v/>
      </c>
    </row>
    <row r="757">
      <c r="C757">
        <f>IFERROR(INDEX(tBatches[[Batch ID]],755)&amp;"","")</f>
        <v/>
      </c>
    </row>
    <row r="758">
      <c r="C758">
        <f>IFERROR(INDEX(tBatches[[Batch ID]],756)&amp;"","")</f>
        <v/>
      </c>
    </row>
    <row r="759">
      <c r="C759">
        <f>IFERROR(INDEX(tBatches[[Batch ID]],757)&amp;"","")</f>
        <v/>
      </c>
    </row>
    <row r="760">
      <c r="C760">
        <f>IFERROR(INDEX(tBatches[[Batch ID]],758)&amp;"","")</f>
        <v/>
      </c>
    </row>
    <row r="761">
      <c r="C761">
        <f>IFERROR(INDEX(tBatches[[Batch ID]],759)&amp;"","")</f>
        <v/>
      </c>
    </row>
    <row r="762">
      <c r="C762">
        <f>IFERROR(INDEX(tBatches[[Batch ID]],760)&amp;"","")</f>
        <v/>
      </c>
    </row>
    <row r="763">
      <c r="C763">
        <f>IFERROR(INDEX(tBatches[[Batch ID]],761)&amp;"","")</f>
        <v/>
      </c>
    </row>
    <row r="764">
      <c r="C764">
        <f>IFERROR(INDEX(tBatches[[Batch ID]],762)&amp;"","")</f>
        <v/>
      </c>
    </row>
    <row r="765">
      <c r="C765">
        <f>IFERROR(INDEX(tBatches[[Batch ID]],763)&amp;"","")</f>
        <v/>
      </c>
    </row>
    <row r="766">
      <c r="C766">
        <f>IFERROR(INDEX(tBatches[[Batch ID]],764)&amp;"","")</f>
        <v/>
      </c>
    </row>
    <row r="767">
      <c r="C767">
        <f>IFERROR(INDEX(tBatches[[Batch ID]],765)&amp;"","")</f>
        <v/>
      </c>
    </row>
    <row r="768">
      <c r="C768">
        <f>IFERROR(INDEX(tBatches[[Batch ID]],766)&amp;"","")</f>
        <v/>
      </c>
    </row>
    <row r="769">
      <c r="C769">
        <f>IFERROR(INDEX(tBatches[[Batch ID]],767)&amp;"","")</f>
        <v/>
      </c>
    </row>
    <row r="770">
      <c r="C770">
        <f>IFERROR(INDEX(tBatches[[Batch ID]],768)&amp;"","")</f>
        <v/>
      </c>
    </row>
    <row r="771">
      <c r="C771">
        <f>IFERROR(INDEX(tBatches[[Batch ID]],769)&amp;"","")</f>
        <v/>
      </c>
    </row>
    <row r="772">
      <c r="C772">
        <f>IFERROR(INDEX(tBatches[[Batch ID]],770)&amp;"","")</f>
        <v/>
      </c>
    </row>
    <row r="773">
      <c r="C773">
        <f>IFERROR(INDEX(tBatches[[Batch ID]],771)&amp;"","")</f>
        <v/>
      </c>
    </row>
    <row r="774">
      <c r="C774">
        <f>IFERROR(INDEX(tBatches[[Batch ID]],772)&amp;"","")</f>
        <v/>
      </c>
    </row>
    <row r="775">
      <c r="C775">
        <f>IFERROR(INDEX(tBatches[[Batch ID]],773)&amp;"","")</f>
        <v/>
      </c>
    </row>
    <row r="776">
      <c r="C776">
        <f>IFERROR(INDEX(tBatches[[Batch ID]],774)&amp;"","")</f>
        <v/>
      </c>
    </row>
    <row r="777">
      <c r="C777">
        <f>IFERROR(INDEX(tBatches[[Batch ID]],775)&amp;"","")</f>
        <v/>
      </c>
    </row>
    <row r="778">
      <c r="C778">
        <f>IFERROR(INDEX(tBatches[[Batch ID]],776)&amp;"","")</f>
        <v/>
      </c>
    </row>
    <row r="779">
      <c r="C779">
        <f>IFERROR(INDEX(tBatches[[Batch ID]],777)&amp;"","")</f>
        <v/>
      </c>
    </row>
    <row r="780">
      <c r="C780">
        <f>IFERROR(INDEX(tBatches[[Batch ID]],778)&amp;"","")</f>
        <v/>
      </c>
    </row>
    <row r="781">
      <c r="C781">
        <f>IFERROR(INDEX(tBatches[[Batch ID]],779)&amp;"","")</f>
        <v/>
      </c>
    </row>
    <row r="782">
      <c r="C782">
        <f>IFERROR(INDEX(tBatches[[Batch ID]],780)&amp;"","")</f>
        <v/>
      </c>
    </row>
    <row r="783">
      <c r="C783">
        <f>IFERROR(INDEX(tBatches[[Batch ID]],781)&amp;"","")</f>
        <v/>
      </c>
    </row>
    <row r="784">
      <c r="C784">
        <f>IFERROR(INDEX(tBatches[[Batch ID]],782)&amp;"","")</f>
        <v/>
      </c>
    </row>
    <row r="785">
      <c r="C785">
        <f>IFERROR(INDEX(tBatches[[Batch ID]],783)&amp;"","")</f>
        <v/>
      </c>
    </row>
    <row r="786">
      <c r="C786">
        <f>IFERROR(INDEX(tBatches[[Batch ID]],784)&amp;"","")</f>
        <v/>
      </c>
    </row>
    <row r="787">
      <c r="C787">
        <f>IFERROR(INDEX(tBatches[[Batch ID]],785)&amp;"","")</f>
        <v/>
      </c>
    </row>
    <row r="788">
      <c r="C788">
        <f>IFERROR(INDEX(tBatches[[Batch ID]],786)&amp;"","")</f>
        <v/>
      </c>
    </row>
    <row r="789">
      <c r="C789">
        <f>IFERROR(INDEX(tBatches[[Batch ID]],787)&amp;"","")</f>
        <v/>
      </c>
    </row>
    <row r="790">
      <c r="C790">
        <f>IFERROR(INDEX(tBatches[[Batch ID]],788)&amp;"","")</f>
        <v/>
      </c>
    </row>
    <row r="791">
      <c r="C791">
        <f>IFERROR(INDEX(tBatches[[Batch ID]],789)&amp;"","")</f>
        <v/>
      </c>
    </row>
    <row r="792">
      <c r="C792">
        <f>IFERROR(INDEX(tBatches[[Batch ID]],790)&amp;"","")</f>
        <v/>
      </c>
    </row>
    <row r="793">
      <c r="C793">
        <f>IFERROR(INDEX(tBatches[[Batch ID]],791)&amp;"","")</f>
        <v/>
      </c>
    </row>
    <row r="794">
      <c r="C794">
        <f>IFERROR(INDEX(tBatches[[Batch ID]],792)&amp;"","")</f>
        <v/>
      </c>
    </row>
    <row r="795">
      <c r="C795">
        <f>IFERROR(INDEX(tBatches[[Batch ID]],793)&amp;"","")</f>
        <v/>
      </c>
    </row>
    <row r="796">
      <c r="C796">
        <f>IFERROR(INDEX(tBatches[[Batch ID]],794)&amp;"","")</f>
        <v/>
      </c>
    </row>
    <row r="797">
      <c r="C797">
        <f>IFERROR(INDEX(tBatches[[Batch ID]],795)&amp;"","")</f>
        <v/>
      </c>
    </row>
    <row r="798">
      <c r="C798">
        <f>IFERROR(INDEX(tBatches[[Batch ID]],796)&amp;"","")</f>
        <v/>
      </c>
    </row>
    <row r="799">
      <c r="C799">
        <f>IFERROR(INDEX(tBatches[[Batch ID]],797)&amp;"","")</f>
        <v/>
      </c>
    </row>
    <row r="800">
      <c r="C800">
        <f>IFERROR(INDEX(tBatches[[Batch ID]],798)&amp;"","")</f>
        <v/>
      </c>
    </row>
    <row r="801">
      <c r="C801">
        <f>IFERROR(INDEX(tBatches[[Batch ID]],799)&amp;"","")</f>
        <v/>
      </c>
    </row>
    <row r="802">
      <c r="C802">
        <f>IFERROR(INDEX(tBatches[[Batch ID]],800)&amp;"","")</f>
        <v/>
      </c>
    </row>
    <row r="803">
      <c r="C803">
        <f>IFERROR(INDEX(tBatches[[Batch ID]],801)&amp;"","")</f>
        <v/>
      </c>
    </row>
    <row r="804">
      <c r="C804">
        <f>IFERROR(INDEX(tBatches[[Batch ID]],802)&amp;"","")</f>
        <v/>
      </c>
    </row>
    <row r="805">
      <c r="C805">
        <f>IFERROR(INDEX(tBatches[[Batch ID]],803)&amp;"","")</f>
        <v/>
      </c>
    </row>
    <row r="806">
      <c r="C806">
        <f>IFERROR(INDEX(tBatches[[Batch ID]],804)&amp;"","")</f>
        <v/>
      </c>
    </row>
    <row r="807">
      <c r="C807">
        <f>IFERROR(INDEX(tBatches[[Batch ID]],805)&amp;"","")</f>
        <v/>
      </c>
    </row>
    <row r="808">
      <c r="C808">
        <f>IFERROR(INDEX(tBatches[[Batch ID]],806)&amp;"","")</f>
        <v/>
      </c>
    </row>
    <row r="809">
      <c r="C809">
        <f>IFERROR(INDEX(tBatches[[Batch ID]],807)&amp;"","")</f>
        <v/>
      </c>
    </row>
    <row r="810">
      <c r="C810">
        <f>IFERROR(INDEX(tBatches[[Batch ID]],808)&amp;"","")</f>
        <v/>
      </c>
    </row>
    <row r="811">
      <c r="C811">
        <f>IFERROR(INDEX(tBatches[[Batch ID]],809)&amp;"","")</f>
        <v/>
      </c>
    </row>
    <row r="812">
      <c r="C812">
        <f>IFERROR(INDEX(tBatches[[Batch ID]],810)&amp;"","")</f>
        <v/>
      </c>
    </row>
    <row r="813">
      <c r="C813">
        <f>IFERROR(INDEX(tBatches[[Batch ID]],811)&amp;"","")</f>
        <v/>
      </c>
    </row>
    <row r="814">
      <c r="C814">
        <f>IFERROR(INDEX(tBatches[[Batch ID]],812)&amp;"","")</f>
        <v/>
      </c>
    </row>
    <row r="815">
      <c r="C815">
        <f>IFERROR(INDEX(tBatches[[Batch ID]],813)&amp;"","")</f>
        <v/>
      </c>
    </row>
    <row r="816">
      <c r="C816">
        <f>IFERROR(INDEX(tBatches[[Batch ID]],814)&amp;"","")</f>
        <v/>
      </c>
    </row>
    <row r="817">
      <c r="C817">
        <f>IFERROR(INDEX(tBatches[[Batch ID]],815)&amp;"","")</f>
        <v/>
      </c>
    </row>
    <row r="818">
      <c r="C818">
        <f>IFERROR(INDEX(tBatches[[Batch ID]],816)&amp;"","")</f>
        <v/>
      </c>
    </row>
    <row r="819">
      <c r="C819">
        <f>IFERROR(INDEX(tBatches[[Batch ID]],817)&amp;"","")</f>
        <v/>
      </c>
    </row>
    <row r="820">
      <c r="C820">
        <f>IFERROR(INDEX(tBatches[[Batch ID]],818)&amp;"","")</f>
        <v/>
      </c>
    </row>
    <row r="821">
      <c r="C821">
        <f>IFERROR(INDEX(tBatches[[Batch ID]],819)&amp;"","")</f>
        <v/>
      </c>
    </row>
    <row r="822">
      <c r="C822">
        <f>IFERROR(INDEX(tBatches[[Batch ID]],820)&amp;"","")</f>
        <v/>
      </c>
    </row>
    <row r="823">
      <c r="C823">
        <f>IFERROR(INDEX(tBatches[[Batch ID]],821)&amp;"","")</f>
        <v/>
      </c>
    </row>
    <row r="824">
      <c r="C824">
        <f>IFERROR(INDEX(tBatches[[Batch ID]],822)&amp;"","")</f>
        <v/>
      </c>
    </row>
    <row r="825">
      <c r="C825">
        <f>IFERROR(INDEX(tBatches[[Batch ID]],823)&amp;"","")</f>
        <v/>
      </c>
    </row>
    <row r="826">
      <c r="C826">
        <f>IFERROR(INDEX(tBatches[[Batch ID]],824)&amp;"","")</f>
        <v/>
      </c>
    </row>
    <row r="827">
      <c r="C827">
        <f>IFERROR(INDEX(tBatches[[Batch ID]],825)&amp;"","")</f>
        <v/>
      </c>
    </row>
    <row r="828">
      <c r="C828">
        <f>IFERROR(INDEX(tBatches[[Batch ID]],826)&amp;"","")</f>
        <v/>
      </c>
    </row>
    <row r="829">
      <c r="C829">
        <f>IFERROR(INDEX(tBatches[[Batch ID]],827)&amp;"","")</f>
        <v/>
      </c>
    </row>
    <row r="830">
      <c r="C830">
        <f>IFERROR(INDEX(tBatches[[Batch ID]],828)&amp;"","")</f>
        <v/>
      </c>
    </row>
    <row r="831">
      <c r="C831">
        <f>IFERROR(INDEX(tBatches[[Batch ID]],829)&amp;"","")</f>
        <v/>
      </c>
    </row>
    <row r="832">
      <c r="C832">
        <f>IFERROR(INDEX(tBatches[[Batch ID]],830)&amp;"","")</f>
        <v/>
      </c>
    </row>
    <row r="833">
      <c r="C833">
        <f>IFERROR(INDEX(tBatches[[Batch ID]],831)&amp;"","")</f>
        <v/>
      </c>
    </row>
    <row r="834">
      <c r="C834">
        <f>IFERROR(INDEX(tBatches[[Batch ID]],832)&amp;"","")</f>
        <v/>
      </c>
    </row>
    <row r="835">
      <c r="C835">
        <f>IFERROR(INDEX(tBatches[[Batch ID]],833)&amp;"","")</f>
        <v/>
      </c>
    </row>
    <row r="836">
      <c r="C836">
        <f>IFERROR(INDEX(tBatches[[Batch ID]],834)&amp;"","")</f>
        <v/>
      </c>
    </row>
    <row r="837">
      <c r="C837">
        <f>IFERROR(INDEX(tBatches[[Batch ID]],835)&amp;"","")</f>
        <v/>
      </c>
    </row>
    <row r="838">
      <c r="C838">
        <f>IFERROR(INDEX(tBatches[[Batch ID]],836)&amp;"","")</f>
        <v/>
      </c>
    </row>
    <row r="839">
      <c r="C839">
        <f>IFERROR(INDEX(tBatches[[Batch ID]],837)&amp;"","")</f>
        <v/>
      </c>
    </row>
    <row r="840">
      <c r="C840">
        <f>IFERROR(INDEX(tBatches[[Batch ID]],838)&amp;"","")</f>
        <v/>
      </c>
    </row>
    <row r="841">
      <c r="C841">
        <f>IFERROR(INDEX(tBatches[[Batch ID]],839)&amp;"","")</f>
        <v/>
      </c>
    </row>
    <row r="842">
      <c r="C842">
        <f>IFERROR(INDEX(tBatches[[Batch ID]],840)&amp;"","")</f>
        <v/>
      </c>
    </row>
    <row r="843">
      <c r="C843">
        <f>IFERROR(INDEX(tBatches[[Batch ID]],841)&amp;"","")</f>
        <v/>
      </c>
    </row>
    <row r="844">
      <c r="C844">
        <f>IFERROR(INDEX(tBatches[[Batch ID]],842)&amp;"","")</f>
        <v/>
      </c>
    </row>
    <row r="845">
      <c r="C845">
        <f>IFERROR(INDEX(tBatches[[Batch ID]],843)&amp;"","")</f>
        <v/>
      </c>
    </row>
    <row r="846">
      <c r="C846">
        <f>IFERROR(INDEX(tBatches[[Batch ID]],844)&amp;"","")</f>
        <v/>
      </c>
    </row>
    <row r="847">
      <c r="C847">
        <f>IFERROR(INDEX(tBatches[[Batch ID]],845)&amp;"","")</f>
        <v/>
      </c>
    </row>
    <row r="848">
      <c r="C848">
        <f>IFERROR(INDEX(tBatches[[Batch ID]],846)&amp;"","")</f>
        <v/>
      </c>
    </row>
    <row r="849">
      <c r="C849">
        <f>IFERROR(INDEX(tBatches[[Batch ID]],847)&amp;"","")</f>
        <v/>
      </c>
    </row>
    <row r="850">
      <c r="C850">
        <f>IFERROR(INDEX(tBatches[[Batch ID]],848)&amp;"","")</f>
        <v/>
      </c>
    </row>
    <row r="851">
      <c r="C851">
        <f>IFERROR(INDEX(tBatches[[Batch ID]],849)&amp;"","")</f>
        <v/>
      </c>
    </row>
    <row r="852">
      <c r="C852">
        <f>IFERROR(INDEX(tBatches[[Batch ID]],850)&amp;"","")</f>
        <v/>
      </c>
    </row>
    <row r="853">
      <c r="C853">
        <f>IFERROR(INDEX(tBatches[[Batch ID]],851)&amp;"","")</f>
        <v/>
      </c>
    </row>
    <row r="854">
      <c r="C854">
        <f>IFERROR(INDEX(tBatches[[Batch ID]],852)&amp;"","")</f>
        <v/>
      </c>
    </row>
    <row r="855">
      <c r="C855">
        <f>IFERROR(INDEX(tBatches[[Batch ID]],853)&amp;"","")</f>
        <v/>
      </c>
    </row>
    <row r="856">
      <c r="C856">
        <f>IFERROR(INDEX(tBatches[[Batch ID]],854)&amp;"","")</f>
        <v/>
      </c>
    </row>
    <row r="857">
      <c r="C857">
        <f>IFERROR(INDEX(tBatches[[Batch ID]],855)&amp;"","")</f>
        <v/>
      </c>
    </row>
    <row r="858">
      <c r="C858">
        <f>IFERROR(INDEX(tBatches[[Batch ID]],856)&amp;"","")</f>
        <v/>
      </c>
    </row>
    <row r="859">
      <c r="C859">
        <f>IFERROR(INDEX(tBatches[[Batch ID]],857)&amp;"","")</f>
        <v/>
      </c>
    </row>
    <row r="860">
      <c r="C860">
        <f>IFERROR(INDEX(tBatches[[Batch ID]],858)&amp;"","")</f>
        <v/>
      </c>
    </row>
    <row r="861">
      <c r="C861">
        <f>IFERROR(INDEX(tBatches[[Batch ID]],859)&amp;"","")</f>
        <v/>
      </c>
    </row>
    <row r="862">
      <c r="C862">
        <f>IFERROR(INDEX(tBatches[[Batch ID]],860)&amp;"","")</f>
        <v/>
      </c>
    </row>
    <row r="863">
      <c r="C863">
        <f>IFERROR(INDEX(tBatches[[Batch ID]],861)&amp;"","")</f>
        <v/>
      </c>
    </row>
    <row r="864">
      <c r="C864">
        <f>IFERROR(INDEX(tBatches[[Batch ID]],862)&amp;"","")</f>
        <v/>
      </c>
    </row>
    <row r="865">
      <c r="C865">
        <f>IFERROR(INDEX(tBatches[[Batch ID]],863)&amp;"","")</f>
        <v/>
      </c>
    </row>
    <row r="866">
      <c r="C866">
        <f>IFERROR(INDEX(tBatches[[Batch ID]],864)&amp;"","")</f>
        <v/>
      </c>
    </row>
    <row r="867">
      <c r="C867">
        <f>IFERROR(INDEX(tBatches[[Batch ID]],865)&amp;"","")</f>
        <v/>
      </c>
    </row>
    <row r="868">
      <c r="C868">
        <f>IFERROR(INDEX(tBatches[[Batch ID]],866)&amp;"","")</f>
        <v/>
      </c>
    </row>
    <row r="869">
      <c r="C869">
        <f>IFERROR(INDEX(tBatches[[Batch ID]],867)&amp;"","")</f>
        <v/>
      </c>
    </row>
    <row r="870">
      <c r="C870">
        <f>IFERROR(INDEX(tBatches[[Batch ID]],868)&amp;"","")</f>
        <v/>
      </c>
    </row>
    <row r="871">
      <c r="C871">
        <f>IFERROR(INDEX(tBatches[[Batch ID]],869)&amp;"","")</f>
        <v/>
      </c>
    </row>
    <row r="872">
      <c r="C872">
        <f>IFERROR(INDEX(tBatches[[Batch ID]],870)&amp;"","")</f>
        <v/>
      </c>
    </row>
    <row r="873">
      <c r="C873">
        <f>IFERROR(INDEX(tBatches[[Batch ID]],871)&amp;"","")</f>
        <v/>
      </c>
    </row>
    <row r="874">
      <c r="C874">
        <f>IFERROR(INDEX(tBatches[[Batch ID]],872)&amp;"","")</f>
        <v/>
      </c>
    </row>
    <row r="875">
      <c r="C875">
        <f>IFERROR(INDEX(tBatches[[Batch ID]],873)&amp;"","")</f>
        <v/>
      </c>
    </row>
    <row r="876">
      <c r="C876">
        <f>IFERROR(INDEX(tBatches[[Batch ID]],874)&amp;"","")</f>
        <v/>
      </c>
    </row>
    <row r="877">
      <c r="C877">
        <f>IFERROR(INDEX(tBatches[[Batch ID]],875)&amp;"","")</f>
        <v/>
      </c>
    </row>
    <row r="878">
      <c r="C878">
        <f>IFERROR(INDEX(tBatches[[Batch ID]],876)&amp;"","")</f>
        <v/>
      </c>
    </row>
    <row r="879">
      <c r="C879">
        <f>IFERROR(INDEX(tBatches[[Batch ID]],877)&amp;"","")</f>
        <v/>
      </c>
    </row>
    <row r="880">
      <c r="C880">
        <f>IFERROR(INDEX(tBatches[[Batch ID]],878)&amp;"","")</f>
        <v/>
      </c>
    </row>
    <row r="881">
      <c r="C881">
        <f>IFERROR(INDEX(tBatches[[Batch ID]],879)&amp;"","")</f>
        <v/>
      </c>
    </row>
    <row r="882">
      <c r="C882">
        <f>IFERROR(INDEX(tBatches[[Batch ID]],880)&amp;"","")</f>
        <v/>
      </c>
    </row>
    <row r="883">
      <c r="C883">
        <f>IFERROR(INDEX(tBatches[[Batch ID]],881)&amp;"","")</f>
        <v/>
      </c>
    </row>
    <row r="884">
      <c r="C884">
        <f>IFERROR(INDEX(tBatches[[Batch ID]],882)&amp;"","")</f>
        <v/>
      </c>
    </row>
    <row r="885">
      <c r="C885">
        <f>IFERROR(INDEX(tBatches[[Batch ID]],883)&amp;"","")</f>
        <v/>
      </c>
    </row>
    <row r="886">
      <c r="C886">
        <f>IFERROR(INDEX(tBatches[[Batch ID]],884)&amp;"","")</f>
        <v/>
      </c>
    </row>
    <row r="887">
      <c r="C887">
        <f>IFERROR(INDEX(tBatches[[Batch ID]],885)&amp;"","")</f>
        <v/>
      </c>
    </row>
    <row r="888">
      <c r="C888">
        <f>IFERROR(INDEX(tBatches[[Batch ID]],886)&amp;"","")</f>
        <v/>
      </c>
    </row>
    <row r="889">
      <c r="C889">
        <f>IFERROR(INDEX(tBatches[[Batch ID]],887)&amp;"","")</f>
        <v/>
      </c>
    </row>
    <row r="890">
      <c r="C890">
        <f>IFERROR(INDEX(tBatches[[Batch ID]],888)&amp;"","")</f>
        <v/>
      </c>
    </row>
    <row r="891">
      <c r="C891">
        <f>IFERROR(INDEX(tBatches[[Batch ID]],889)&amp;"","")</f>
        <v/>
      </c>
    </row>
    <row r="892">
      <c r="C892">
        <f>IFERROR(INDEX(tBatches[[Batch ID]],890)&amp;"","")</f>
        <v/>
      </c>
    </row>
    <row r="893">
      <c r="C893">
        <f>IFERROR(INDEX(tBatches[[Batch ID]],891)&amp;"","")</f>
        <v/>
      </c>
    </row>
    <row r="894">
      <c r="C894">
        <f>IFERROR(INDEX(tBatches[[Batch ID]],892)&amp;"","")</f>
        <v/>
      </c>
    </row>
    <row r="895">
      <c r="C895">
        <f>IFERROR(INDEX(tBatches[[Batch ID]],893)&amp;"","")</f>
        <v/>
      </c>
    </row>
    <row r="896">
      <c r="C896">
        <f>IFERROR(INDEX(tBatches[[Batch ID]],894)&amp;"","")</f>
        <v/>
      </c>
    </row>
    <row r="897">
      <c r="C897">
        <f>IFERROR(INDEX(tBatches[[Batch ID]],895)&amp;"","")</f>
        <v/>
      </c>
    </row>
    <row r="898">
      <c r="C898">
        <f>IFERROR(INDEX(tBatches[[Batch ID]],896)&amp;"","")</f>
        <v/>
      </c>
    </row>
    <row r="899">
      <c r="C899">
        <f>IFERROR(INDEX(tBatches[[Batch ID]],897)&amp;"","")</f>
        <v/>
      </c>
    </row>
    <row r="900">
      <c r="C900">
        <f>IFERROR(INDEX(tBatches[[Batch ID]],898)&amp;"","")</f>
        <v/>
      </c>
    </row>
    <row r="901">
      <c r="C901">
        <f>IFERROR(INDEX(tBatches[[Batch ID]],899)&amp;"","")</f>
        <v/>
      </c>
    </row>
    <row r="902">
      <c r="C902">
        <f>IFERROR(INDEX(tBatches[[Batch ID]],900)&amp;"","")</f>
        <v/>
      </c>
    </row>
    <row r="903">
      <c r="C903">
        <f>IFERROR(INDEX(tBatches[[Batch ID]],901)&amp;"","")</f>
        <v/>
      </c>
    </row>
    <row r="904">
      <c r="C904">
        <f>IFERROR(INDEX(tBatches[[Batch ID]],902)&amp;"","")</f>
        <v/>
      </c>
    </row>
    <row r="905">
      <c r="C905">
        <f>IFERROR(INDEX(tBatches[[Batch ID]],903)&amp;"","")</f>
        <v/>
      </c>
    </row>
    <row r="906">
      <c r="C906">
        <f>IFERROR(INDEX(tBatches[[Batch ID]],904)&amp;"","")</f>
        <v/>
      </c>
    </row>
    <row r="907">
      <c r="C907">
        <f>IFERROR(INDEX(tBatches[[Batch ID]],905)&amp;"","")</f>
        <v/>
      </c>
    </row>
    <row r="908">
      <c r="C908">
        <f>IFERROR(INDEX(tBatches[[Batch ID]],906)&amp;"","")</f>
        <v/>
      </c>
    </row>
    <row r="909">
      <c r="C909">
        <f>IFERROR(INDEX(tBatches[[Batch ID]],907)&amp;"","")</f>
        <v/>
      </c>
    </row>
    <row r="910">
      <c r="C910">
        <f>IFERROR(INDEX(tBatches[[Batch ID]],908)&amp;"","")</f>
        <v/>
      </c>
    </row>
    <row r="911">
      <c r="C911">
        <f>IFERROR(INDEX(tBatches[[Batch ID]],909)&amp;"","")</f>
        <v/>
      </c>
    </row>
    <row r="912">
      <c r="C912">
        <f>IFERROR(INDEX(tBatches[[Batch ID]],910)&amp;"","")</f>
        <v/>
      </c>
    </row>
    <row r="913">
      <c r="C913">
        <f>IFERROR(INDEX(tBatches[[Batch ID]],911)&amp;"","")</f>
        <v/>
      </c>
    </row>
    <row r="914">
      <c r="C914">
        <f>IFERROR(INDEX(tBatches[[Batch ID]],912)&amp;"","")</f>
        <v/>
      </c>
    </row>
    <row r="915">
      <c r="C915">
        <f>IFERROR(INDEX(tBatches[[Batch ID]],913)&amp;"","")</f>
        <v/>
      </c>
    </row>
    <row r="916">
      <c r="C916">
        <f>IFERROR(INDEX(tBatches[[Batch ID]],914)&amp;"","")</f>
        <v/>
      </c>
    </row>
    <row r="917">
      <c r="C917">
        <f>IFERROR(INDEX(tBatches[[Batch ID]],915)&amp;"","")</f>
        <v/>
      </c>
    </row>
    <row r="918">
      <c r="C918">
        <f>IFERROR(INDEX(tBatches[[Batch ID]],916)&amp;"","")</f>
        <v/>
      </c>
    </row>
    <row r="919">
      <c r="C919">
        <f>IFERROR(INDEX(tBatches[[Batch ID]],917)&amp;"","")</f>
        <v/>
      </c>
    </row>
    <row r="920">
      <c r="C920">
        <f>IFERROR(INDEX(tBatches[[Batch ID]],918)&amp;"","")</f>
        <v/>
      </c>
    </row>
    <row r="921">
      <c r="C921">
        <f>IFERROR(INDEX(tBatches[[Batch ID]],919)&amp;"","")</f>
        <v/>
      </c>
    </row>
    <row r="922">
      <c r="C922">
        <f>IFERROR(INDEX(tBatches[[Batch ID]],920)&amp;"","")</f>
        <v/>
      </c>
    </row>
    <row r="923">
      <c r="C923">
        <f>IFERROR(INDEX(tBatches[[Batch ID]],921)&amp;"","")</f>
        <v/>
      </c>
    </row>
    <row r="924">
      <c r="C924">
        <f>IFERROR(INDEX(tBatches[[Batch ID]],922)&amp;"","")</f>
        <v/>
      </c>
    </row>
    <row r="925">
      <c r="C925">
        <f>IFERROR(INDEX(tBatches[[Batch ID]],923)&amp;"","")</f>
        <v/>
      </c>
    </row>
    <row r="926">
      <c r="C926">
        <f>IFERROR(INDEX(tBatches[[Batch ID]],924)&amp;"","")</f>
        <v/>
      </c>
    </row>
    <row r="927">
      <c r="C927">
        <f>IFERROR(INDEX(tBatches[[Batch ID]],925)&amp;"","")</f>
        <v/>
      </c>
    </row>
    <row r="928">
      <c r="C928">
        <f>IFERROR(INDEX(tBatches[[Batch ID]],926)&amp;"","")</f>
        <v/>
      </c>
    </row>
    <row r="929">
      <c r="C929">
        <f>IFERROR(INDEX(tBatches[[Batch ID]],927)&amp;"","")</f>
        <v/>
      </c>
    </row>
    <row r="930">
      <c r="C930">
        <f>IFERROR(INDEX(tBatches[[Batch ID]],928)&amp;"","")</f>
        <v/>
      </c>
    </row>
    <row r="931">
      <c r="C931">
        <f>IFERROR(INDEX(tBatches[[Batch ID]],929)&amp;"","")</f>
        <v/>
      </c>
    </row>
    <row r="932">
      <c r="C932">
        <f>IFERROR(INDEX(tBatches[[Batch ID]],930)&amp;"","")</f>
        <v/>
      </c>
    </row>
    <row r="933">
      <c r="C933">
        <f>IFERROR(INDEX(tBatches[[Batch ID]],931)&amp;"","")</f>
        <v/>
      </c>
    </row>
    <row r="934">
      <c r="C934">
        <f>IFERROR(INDEX(tBatches[[Batch ID]],932)&amp;"","")</f>
        <v/>
      </c>
    </row>
    <row r="935">
      <c r="C935">
        <f>IFERROR(INDEX(tBatches[[Batch ID]],933)&amp;"","")</f>
        <v/>
      </c>
    </row>
    <row r="936">
      <c r="C936">
        <f>IFERROR(INDEX(tBatches[[Batch ID]],934)&amp;"","")</f>
        <v/>
      </c>
    </row>
    <row r="937">
      <c r="C937">
        <f>IFERROR(INDEX(tBatches[[Batch ID]],935)&amp;"","")</f>
        <v/>
      </c>
    </row>
    <row r="938">
      <c r="C938">
        <f>IFERROR(INDEX(tBatches[[Batch ID]],936)&amp;"","")</f>
        <v/>
      </c>
    </row>
    <row r="939">
      <c r="C939">
        <f>IFERROR(INDEX(tBatches[[Batch ID]],937)&amp;"","")</f>
        <v/>
      </c>
    </row>
    <row r="940">
      <c r="C940">
        <f>IFERROR(INDEX(tBatches[[Batch ID]],938)&amp;"","")</f>
        <v/>
      </c>
    </row>
    <row r="941">
      <c r="C941">
        <f>IFERROR(INDEX(tBatches[[Batch ID]],939)&amp;"","")</f>
        <v/>
      </c>
    </row>
    <row r="942">
      <c r="C942">
        <f>IFERROR(INDEX(tBatches[[Batch ID]],940)&amp;"","")</f>
        <v/>
      </c>
    </row>
    <row r="943">
      <c r="C943">
        <f>IFERROR(INDEX(tBatches[[Batch ID]],941)&amp;"","")</f>
        <v/>
      </c>
    </row>
    <row r="944">
      <c r="C944">
        <f>IFERROR(INDEX(tBatches[[Batch ID]],942)&amp;"","")</f>
        <v/>
      </c>
    </row>
    <row r="945">
      <c r="C945">
        <f>IFERROR(INDEX(tBatches[[Batch ID]],943)&amp;"","")</f>
        <v/>
      </c>
    </row>
    <row r="946">
      <c r="C946">
        <f>IFERROR(INDEX(tBatches[[Batch ID]],944)&amp;"","")</f>
        <v/>
      </c>
    </row>
    <row r="947">
      <c r="C947">
        <f>IFERROR(INDEX(tBatches[[Batch ID]],945)&amp;"","")</f>
        <v/>
      </c>
    </row>
    <row r="948">
      <c r="C948">
        <f>IFERROR(INDEX(tBatches[[Batch ID]],946)&amp;"","")</f>
        <v/>
      </c>
    </row>
    <row r="949">
      <c r="C949">
        <f>IFERROR(INDEX(tBatches[[Batch ID]],947)&amp;"","")</f>
        <v/>
      </c>
    </row>
    <row r="950">
      <c r="C950">
        <f>IFERROR(INDEX(tBatches[[Batch ID]],948)&amp;"","")</f>
        <v/>
      </c>
    </row>
    <row r="951">
      <c r="C951">
        <f>IFERROR(INDEX(tBatches[[Batch ID]],949)&amp;"","")</f>
        <v/>
      </c>
    </row>
    <row r="952">
      <c r="C952">
        <f>IFERROR(INDEX(tBatches[[Batch ID]],950)&amp;"","")</f>
        <v/>
      </c>
    </row>
    <row r="953">
      <c r="C953">
        <f>IFERROR(INDEX(tBatches[[Batch ID]],951)&amp;"","")</f>
        <v/>
      </c>
    </row>
    <row r="954">
      <c r="C954">
        <f>IFERROR(INDEX(tBatches[[Batch ID]],952)&amp;"","")</f>
        <v/>
      </c>
    </row>
    <row r="955">
      <c r="C955">
        <f>IFERROR(INDEX(tBatches[[Batch ID]],953)&amp;"","")</f>
        <v/>
      </c>
    </row>
    <row r="956">
      <c r="C956">
        <f>IFERROR(INDEX(tBatches[[Batch ID]],954)&amp;"","")</f>
        <v/>
      </c>
    </row>
    <row r="957">
      <c r="C957">
        <f>IFERROR(INDEX(tBatches[[Batch ID]],955)&amp;"","")</f>
        <v/>
      </c>
    </row>
    <row r="958">
      <c r="C958">
        <f>IFERROR(INDEX(tBatches[[Batch ID]],956)&amp;"","")</f>
        <v/>
      </c>
    </row>
    <row r="959">
      <c r="C959">
        <f>IFERROR(INDEX(tBatches[[Batch ID]],957)&amp;"","")</f>
        <v/>
      </c>
    </row>
    <row r="960">
      <c r="C960">
        <f>IFERROR(INDEX(tBatches[[Batch ID]],958)&amp;"","")</f>
        <v/>
      </c>
    </row>
    <row r="961">
      <c r="C961">
        <f>IFERROR(INDEX(tBatches[[Batch ID]],959)&amp;"","")</f>
        <v/>
      </c>
    </row>
    <row r="962">
      <c r="C962">
        <f>IFERROR(INDEX(tBatches[[Batch ID]],960)&amp;"","")</f>
        <v/>
      </c>
    </row>
    <row r="963">
      <c r="C963">
        <f>IFERROR(INDEX(tBatches[[Batch ID]],961)&amp;"","")</f>
        <v/>
      </c>
    </row>
    <row r="964">
      <c r="C964">
        <f>IFERROR(INDEX(tBatches[[Batch ID]],962)&amp;"","")</f>
        <v/>
      </c>
    </row>
    <row r="965">
      <c r="C965">
        <f>IFERROR(INDEX(tBatches[[Batch ID]],963)&amp;"","")</f>
        <v/>
      </c>
    </row>
    <row r="966">
      <c r="C966">
        <f>IFERROR(INDEX(tBatches[[Batch ID]],964)&amp;"","")</f>
        <v/>
      </c>
    </row>
    <row r="967">
      <c r="C967">
        <f>IFERROR(INDEX(tBatches[[Batch ID]],965)&amp;"","")</f>
        <v/>
      </c>
    </row>
    <row r="968">
      <c r="C968">
        <f>IFERROR(INDEX(tBatches[[Batch ID]],966)&amp;"","")</f>
        <v/>
      </c>
    </row>
    <row r="969">
      <c r="C969">
        <f>IFERROR(INDEX(tBatches[[Batch ID]],967)&amp;"","")</f>
        <v/>
      </c>
    </row>
    <row r="970">
      <c r="C970">
        <f>IFERROR(INDEX(tBatches[[Batch ID]],968)&amp;"","")</f>
        <v/>
      </c>
    </row>
    <row r="971">
      <c r="C971">
        <f>IFERROR(INDEX(tBatches[[Batch ID]],969)&amp;"","")</f>
        <v/>
      </c>
    </row>
    <row r="972">
      <c r="C972">
        <f>IFERROR(INDEX(tBatches[[Batch ID]],970)&amp;"","")</f>
        <v/>
      </c>
    </row>
    <row r="973">
      <c r="C973">
        <f>IFERROR(INDEX(tBatches[[Batch ID]],971)&amp;"","")</f>
        <v/>
      </c>
    </row>
    <row r="974">
      <c r="C974">
        <f>IFERROR(INDEX(tBatches[[Batch ID]],972)&amp;"","")</f>
        <v/>
      </c>
    </row>
    <row r="975">
      <c r="C975">
        <f>IFERROR(INDEX(tBatches[[Batch ID]],973)&amp;"","")</f>
        <v/>
      </c>
    </row>
    <row r="976">
      <c r="C976">
        <f>IFERROR(INDEX(tBatches[[Batch ID]],974)&amp;"","")</f>
        <v/>
      </c>
    </row>
    <row r="977">
      <c r="C977">
        <f>IFERROR(INDEX(tBatches[[Batch ID]],975)&amp;"","")</f>
        <v/>
      </c>
    </row>
    <row r="978">
      <c r="C978">
        <f>IFERROR(INDEX(tBatches[[Batch ID]],976)&amp;"","")</f>
        <v/>
      </c>
    </row>
    <row r="979">
      <c r="C979">
        <f>IFERROR(INDEX(tBatches[[Batch ID]],977)&amp;"","")</f>
        <v/>
      </c>
    </row>
    <row r="980">
      <c r="C980">
        <f>IFERROR(INDEX(tBatches[[Batch ID]],978)&amp;"","")</f>
        <v/>
      </c>
    </row>
    <row r="981">
      <c r="C981">
        <f>IFERROR(INDEX(tBatches[[Batch ID]],979)&amp;"","")</f>
        <v/>
      </c>
    </row>
    <row r="982">
      <c r="C982">
        <f>IFERROR(INDEX(tBatches[[Batch ID]],980)&amp;"","")</f>
        <v/>
      </c>
    </row>
    <row r="983">
      <c r="C983">
        <f>IFERROR(INDEX(tBatches[[Batch ID]],981)&amp;"","")</f>
        <v/>
      </c>
    </row>
    <row r="984">
      <c r="C984">
        <f>IFERROR(INDEX(tBatches[[Batch ID]],982)&amp;"","")</f>
        <v/>
      </c>
    </row>
    <row r="985">
      <c r="C985">
        <f>IFERROR(INDEX(tBatches[[Batch ID]],983)&amp;"","")</f>
        <v/>
      </c>
    </row>
    <row r="986">
      <c r="C986">
        <f>IFERROR(INDEX(tBatches[[Batch ID]],984)&amp;"","")</f>
        <v/>
      </c>
    </row>
    <row r="987">
      <c r="C987">
        <f>IFERROR(INDEX(tBatches[[Batch ID]],985)&amp;"","")</f>
        <v/>
      </c>
    </row>
    <row r="988">
      <c r="C988">
        <f>IFERROR(INDEX(tBatches[[Batch ID]],986)&amp;"","")</f>
        <v/>
      </c>
    </row>
    <row r="989">
      <c r="C989">
        <f>IFERROR(INDEX(tBatches[[Batch ID]],987)&amp;"","")</f>
        <v/>
      </c>
    </row>
    <row r="990">
      <c r="C990">
        <f>IFERROR(INDEX(tBatches[[Batch ID]],988)&amp;"","")</f>
        <v/>
      </c>
    </row>
    <row r="991">
      <c r="C991">
        <f>IFERROR(INDEX(tBatches[[Batch ID]],989)&amp;"","")</f>
        <v/>
      </c>
    </row>
    <row r="992">
      <c r="C992">
        <f>IFERROR(INDEX(tBatches[[Batch ID]],990)&amp;"","")</f>
        <v/>
      </c>
    </row>
    <row r="993">
      <c r="C993">
        <f>IFERROR(INDEX(tBatches[[Batch ID]],991)&amp;"","")</f>
        <v/>
      </c>
    </row>
    <row r="994">
      <c r="C994">
        <f>IFERROR(INDEX(tBatches[[Batch ID]],992)&amp;"","")</f>
        <v/>
      </c>
    </row>
    <row r="995">
      <c r="C995">
        <f>IFERROR(INDEX(tBatches[[Batch ID]],993)&amp;"","")</f>
        <v/>
      </c>
    </row>
    <row r="996">
      <c r="C996">
        <f>IFERROR(INDEX(tBatches[[Batch ID]],994)&amp;"","")</f>
        <v/>
      </c>
    </row>
    <row r="997">
      <c r="C997">
        <f>IFERROR(INDEX(tBatches[[Batch ID]],995)&amp;"","")</f>
        <v/>
      </c>
    </row>
    <row r="998">
      <c r="C998">
        <f>IFERROR(INDEX(tBatches[[Batch ID]],996)&amp;"","")</f>
        <v/>
      </c>
    </row>
    <row r="999">
      <c r="C999">
        <f>IFERROR(INDEX(tBatches[[Batch ID]],997)&amp;"","")</f>
        <v/>
      </c>
    </row>
    <row r="1000">
      <c r="C1000">
        <f>IFERROR(INDEX(tBatches[[Batch ID]],998)&amp;"","")</f>
        <v/>
      </c>
    </row>
    <row r="1001">
      <c r="C1001">
        <f>IFERROR(INDEX(tBatches[[Batch ID]],999)&amp;"","")</f>
        <v/>
      </c>
    </row>
    <row r="1002">
      <c r="C1002">
        <f>IFERROR(INDEX(tBatches[[Batch ID]],1000)&amp;"","")</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2026-09-28T18:00:53Z</dcterms:created>
  <dcterms:modified xsi:type="dcterms:W3CDTF">2026-09-28T18:00:53Z</dcterms:modified>
</cp:coreProperties>
</file>